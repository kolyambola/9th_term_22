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3.xml" ContentType="application/vnd.openxmlformats-officedocument.spreadsheetml.comments+xml"/>
  <Override PartName="/xl/drawings/drawing17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19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20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omments14.xml" ContentType="application/vnd.openxmlformats-officedocument.spreadsheetml.comments+xml"/>
  <Override PartName="/xl/drawings/drawing2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22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3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H:\My folder\University's files\9th term'22\Schedules, other docs\"/>
    </mc:Choice>
  </mc:AlternateContent>
  <xr:revisionPtr revIDLastSave="0" documentId="13_ncr:1_{48CFA11F-76EB-4F16-8145-DF9866F3E0E0}" xr6:coauthVersionLast="40" xr6:coauthVersionMax="40" xr10:uidLastSave="{00000000-0000-0000-0000-000000000000}"/>
  <bookViews>
    <workbookView xWindow="0" yWindow="0" windowWidth="28800" windowHeight="12105" xr2:uid="{00000000-000D-0000-FFFF-FFFF00000000}"/>
  </bookViews>
  <sheets>
    <sheet name="Начало" sheetId="1" r:id="rId1"/>
    <sheet name="1Уголок равнобок" sheetId="2" r:id="rId2"/>
    <sheet name="Модуль для листа1" sheetId="3" state="veryHidden" r:id=""/>
    <sheet name="2Уголок неравнобок" sheetId="4" r:id="rId3"/>
    <sheet name="Модуль для листа2" sheetId="5" state="veryHidden" r:id=""/>
    <sheet name="3Швеллер с уклоном полок" sheetId="6" r:id="rId4"/>
    <sheet name="Модуль для листа3" sheetId="7" state="veryHidden" r:id=""/>
    <sheet name="4Швеллер с параллельн. полками" sheetId="8" r:id="rId5"/>
    <sheet name="Модуль для листа4" sheetId="9" state="veryHidden" r:id=""/>
    <sheet name="5Швеллеры специальные" sheetId="10" r:id="rId6"/>
    <sheet name="Модуль для листа5" sheetId="11" state="veryHidden" r:id=""/>
    <sheet name="6Двутавр" sheetId="12" r:id="rId7"/>
    <sheet name="Модуль для листа6" sheetId="13" state="veryHidden" r:id=""/>
    <sheet name="7Двут с парал. полк.норм." sheetId="14" r:id="rId8"/>
    <sheet name="8Двут. с парал. полк. широкоп." sheetId="15" r:id="rId9"/>
    <sheet name="9Двут. с парал. полк. колонны" sheetId="16" r:id="rId10"/>
    <sheet name="Модуль для листа9" sheetId="17" state="veryHidden" r:id=""/>
    <sheet name="10Двут.с парал. полк. доп.серии" sheetId="18" r:id="rId11"/>
    <sheet name="Модуль для листа10" sheetId="19" state="veryHidden" r:id=""/>
    <sheet name="11Двутавры специальные" sheetId="20" r:id="rId12"/>
    <sheet name="Модуль для листа11" sheetId="21" state="veryHidden" r:id=""/>
    <sheet name="Толстолистовая" sheetId="22" r:id="rId13"/>
    <sheet name="12Сталь листовая" sheetId="23" r:id="rId14"/>
    <sheet name="Тонколистовая" sheetId="24" r:id="rId15"/>
    <sheet name="13Сталь полосовая" sheetId="25" r:id="rId16"/>
    <sheet name="14Стержни" sheetId="26" r:id="rId17"/>
    <sheet name="15Трубы" sheetId="27" r:id="rId18"/>
    <sheet name="16Труба квадр сварная" sheetId="28" r:id="rId19"/>
    <sheet name="17Труба прямоуг сварная" sheetId="29" r:id="rId20"/>
    <sheet name="18Труба квадратная" sheetId="36" r:id="rId21"/>
    <sheet name="19Труба прямоугольная" sheetId="37" r:id="rId22"/>
    <sheet name="20Трубы канализационные" sheetId="38" r:id="rId23"/>
    <sheet name="21Арматура" sheetId="39" r:id="rId24"/>
    <sheet name="22Арматура" sheetId="40" r:id="rId25"/>
    <sheet name="ГОСТы размеров" sheetId="30" r:id="rId26"/>
    <sheet name="Модуль загрузочный2" sheetId="31" state="veryHidden" r:id=""/>
    <sheet name="Модульдлялиста8" sheetId="32" state="veryHidden" r:id=""/>
    <sheet name="Модульдлялиста7" sheetId="33" state="veryHidden" r:id=""/>
    <sheet name="Модульдляначала" sheetId="34" state="veryHidden" r:id=""/>
  </sheets>
  <definedNames>
    <definedName name="Dlina1">Толстолистовая!$AX$4:$BP$4</definedName>
    <definedName name="Dlina10">Толстолистовая!$AX$13:$BP$13</definedName>
    <definedName name="Dlina11">Толстолистовая!$AX$14:$BP$14</definedName>
    <definedName name="Dlina12">Толстолистовая!$AX$15:$BP$15</definedName>
    <definedName name="Dlina13">Толстолистовая!$AX$16:$BP$16</definedName>
    <definedName name="Dlina14">Толстолистовая!$AX$17:$BP$17</definedName>
    <definedName name="Dlina15">Толстолистовая!$AX$18:$BP$18</definedName>
    <definedName name="Dlina16">Толстолистовая!$AX$19:$BP$19</definedName>
    <definedName name="Dlina17">Толстолистовая!$AX$20:$BP$20</definedName>
    <definedName name="Dlina18">Толстолистовая!$AX$21:$BP$21</definedName>
    <definedName name="Dlina19">Толстолистовая!$AX$22:$BP$22</definedName>
    <definedName name="Dlina2">Толстолистовая!$AX$5:$BP$5</definedName>
    <definedName name="Dlina20">Толстолистовая!$AX$23:$BP$23</definedName>
    <definedName name="Dlina21">Толстолистовая!$AX$24:$BP$24</definedName>
    <definedName name="Dlina22">Толстолистовая!$AX$25:$BP$25</definedName>
    <definedName name="Dlina23">Толстолистовая!$AX$26:$BP$26</definedName>
    <definedName name="Dlina24">Толстолистовая!$AX$27:$BP$27</definedName>
    <definedName name="Dlina25">Толстолистовая!$AX$28:$BP$28</definedName>
    <definedName name="Dlina26">Толстолистовая!$AX$29:$BP$29</definedName>
    <definedName name="Dlina27">Толстолистовая!$AX$30:$BP$30</definedName>
    <definedName name="Dlina28">Толстолистовая!$AX$31:$BP$31</definedName>
    <definedName name="Dlina29">Толстолистовая!$AX$32:$BP$32</definedName>
    <definedName name="Dlina3">Толстолистовая!$AX$6:$BP$6</definedName>
    <definedName name="Dlina30">Толстолистовая!$AX$33:$BP$33</definedName>
    <definedName name="Dlina31">Толстолистовая!$AX$34:$BP$34</definedName>
    <definedName name="Dlina32">Толстолистовая!$AX$35:$BP$35</definedName>
    <definedName name="Dlina4">Толстолистовая!$AX$7:$BP$7</definedName>
    <definedName name="Dlina5">Толстолистовая!$AX$8:$BP$8</definedName>
    <definedName name="Dlina6">Толстолистовая!$AX$9:$BP$9</definedName>
    <definedName name="Dlina7">Толстолистовая!$AX$10:$BP$10</definedName>
    <definedName name="Dlina8">Толстолистовая!$AX$11:$BP$11</definedName>
    <definedName name="Dlina9">Толстолистовая!$AX$12:$BP$12</definedName>
    <definedName name="Shirina05_06">Толстолистовая!$F$7:$AB$7</definedName>
    <definedName name="Shirina065_075">Толстолистовая!$F$10:$AB$10</definedName>
    <definedName name="Shirina08_09">Толстолистовая!$F$12:$AB$12</definedName>
    <definedName name="Shirina1">Толстолистовая!$F$13:$AB$13</definedName>
    <definedName name="Shirina110_120">Толстолистовая!$F$38:$AB$38</definedName>
    <definedName name="Shirina12_14">Толстолистовая!$F$16:$AB$16</definedName>
    <definedName name="Shirina130_250">Толстолистовая!$F$49:$AB$49</definedName>
    <definedName name="Shirina15_18">Толстолистовая!$F$19:$AB$19</definedName>
    <definedName name="Shirina20_28">Толстолистовая!$F$23:$AB$23</definedName>
    <definedName name="Shirina260_400">Толстолистовая!$F$57:$AB$57</definedName>
    <definedName name="Shirina30_39">Толстолистовая!$F$28:$AB$28</definedName>
    <definedName name="Shirina40_50">Толстолистовая!$F$31:$AB$31</definedName>
    <definedName name="Shirina420_1600">Толстолистовая!$F$80:$AB$80</definedName>
    <definedName name="Shirina60_70">Толстолистовая!$F$33:$AB$33</definedName>
    <definedName name="Shirina80_100">Толстолистовая!$F$36:$AB$36</definedName>
    <definedName name="Ugol100">#REF!</definedName>
    <definedName name="Ugol110">#REF!</definedName>
    <definedName name="Ugol125">#REF!</definedName>
    <definedName name="Ugol140">#REF!</definedName>
    <definedName name="Ugol160">#REF!</definedName>
    <definedName name="Ugol180">#REF!</definedName>
    <definedName name="Ugol20">#REF!</definedName>
    <definedName name="Ugol200">#REF!</definedName>
    <definedName name="Ugol220">#REF!</definedName>
    <definedName name="ugol25">#REF!</definedName>
    <definedName name="Ugol250">#REF!</definedName>
    <definedName name="Ugol28">#REF!</definedName>
    <definedName name="Ugol30">#REF!</definedName>
    <definedName name="Ugol32">#REF!</definedName>
    <definedName name="Ugol35">#REF!</definedName>
    <definedName name="Ugol40">#REF!</definedName>
    <definedName name="Ugol45">#REF!</definedName>
    <definedName name="Ugol50">#REF!</definedName>
    <definedName name="Ugol56">#REF!</definedName>
    <definedName name="Ugol63">#REF!</definedName>
    <definedName name="Ugol70">#REF!</definedName>
    <definedName name="Ugol75">#REF!</definedName>
    <definedName name="Ugol80">#REF!</definedName>
    <definedName name="Ugol90">#REF!</definedName>
    <definedName name="длина1">Тонколистовая!$M$16:$Z$16</definedName>
    <definedName name="длина10">Тонколистовая!$M$25:$Z$25</definedName>
    <definedName name="длина11">Тонколистовая!$M$26:$Z$26</definedName>
    <definedName name="длина12">Тонколистовая!$M$27:$Z$27</definedName>
    <definedName name="длина13">Тонколистовая!$M$28:$Z$28</definedName>
    <definedName name="длина14">Тонколистовая!$M$29:$Z$29</definedName>
    <definedName name="длина15">Тонколистовая!$M$30:$Z$30</definedName>
    <definedName name="длина16">Тонколистовая!$M$31:$Z$31</definedName>
    <definedName name="длина17">Тонколистовая!$M$32:$Z$32</definedName>
    <definedName name="длина18">Тонколистовая!$M$33:$Z$33</definedName>
    <definedName name="длина19">Тонколистовая!$M$34:$Z$34</definedName>
    <definedName name="длина2">Тонколистовая!$M$17:$Z$17</definedName>
    <definedName name="длина20">Тонколистовая!$M$35:$Z$35</definedName>
    <definedName name="длина21">Тонколистовая!$M$36:$Z$36</definedName>
    <definedName name="длина22">Тонколистовая!$M$37:$Z$37</definedName>
    <definedName name="длина3">Тонколистовая!$M$18:$Z$18</definedName>
    <definedName name="длина4">Тонколистовая!$M$19:$Z$19</definedName>
    <definedName name="длина5">Тонколистовая!$M$20:$Z$20</definedName>
    <definedName name="длина6">Тонколистовая!$M$21:$Z$21</definedName>
    <definedName name="длина7">Тонколистовая!$M$22:$Z$22</definedName>
    <definedName name="длина8">Тонколистовая!$M$23:$Z$23</definedName>
    <definedName name="длина9">Тонколистовая!$M$24:$Z$24</definedName>
    <definedName name="ширина1">Тонколистовая!$G$5:$AF$5</definedName>
    <definedName name="ширина2">Тонколистовая!$G$6:$AF$6</definedName>
    <definedName name="ширина3">Тонколистовая!$G$7:$AF$7</definedName>
    <definedName name="ширина4">Тонколистовая!$G$8:$AF$8</definedName>
    <definedName name="ширина5">Тонколистовая!$G$9:$AF$9</definedName>
    <definedName name="ширина6">Тонколистовая!$G$10:$AF$10</definedName>
    <definedName name="ширина7">Тонколистовая!$G$11:$AF$11</definedName>
    <definedName name="ширина8">Тонколистовая!$G$12:$AF$12</definedName>
  </definedNames>
  <calcPr calcId="191029"/>
</workbook>
</file>

<file path=xl/calcChain.xml><?xml version="1.0" encoding="utf-8"?>
<calcChain xmlns="http://schemas.openxmlformats.org/spreadsheetml/2006/main">
  <c r="M3" i="18" l="1"/>
  <c r="L4" i="18"/>
  <c r="M4" i="18" s="1"/>
  <c r="N6" i="18"/>
  <c r="M3" i="20"/>
  <c r="L4" i="20"/>
  <c r="M4" i="20"/>
  <c r="N6" i="20"/>
  <c r="F25" i="25"/>
  <c r="AB32" i="25"/>
  <c r="C17" i="25" s="1"/>
  <c r="AE32" i="25"/>
  <c r="H17" i="25" s="1"/>
  <c r="AI32" i="25"/>
  <c r="AJ30" i="25" s="1"/>
  <c r="AL32" i="25"/>
  <c r="S17" i="25" s="1"/>
  <c r="AL56" i="25"/>
  <c r="D23" i="26"/>
  <c r="AD32" i="26"/>
  <c r="E15" i="26" s="1"/>
  <c r="AH32" i="26"/>
  <c r="L15" i="26" s="1"/>
  <c r="AL32" i="26"/>
  <c r="AL31" i="26" s="1"/>
  <c r="D63" i="27"/>
  <c r="K60" i="27" s="1"/>
  <c r="J60" i="27" s="1"/>
  <c r="F63" i="27"/>
  <c r="L63" i="27"/>
  <c r="D65" i="27"/>
  <c r="K65" i="27"/>
  <c r="J65" i="27" s="1"/>
  <c r="D66" i="27"/>
  <c r="K66" i="27"/>
  <c r="J66" i="27" s="1"/>
  <c r="D67" i="27"/>
  <c r="K67" i="27"/>
  <c r="J67" i="27" s="1"/>
  <c r="D68" i="27"/>
  <c r="K68" i="27"/>
  <c r="J68" i="27" s="1"/>
  <c r="D69" i="27"/>
  <c r="K69" i="27"/>
  <c r="J69" i="27" s="1"/>
  <c r="D70" i="27"/>
  <c r="K70" i="27"/>
  <c r="J70" i="27" s="1"/>
  <c r="D71" i="27"/>
  <c r="K71" i="27"/>
  <c r="J71" i="27" s="1"/>
  <c r="D72" i="27"/>
  <c r="J72" i="27"/>
  <c r="K72" i="27"/>
  <c r="D73" i="27"/>
  <c r="K73" i="27"/>
  <c r="J73" i="27" s="1"/>
  <c r="N73" i="27"/>
  <c r="D74" i="27"/>
  <c r="K74" i="27"/>
  <c r="J74" i="27" s="1"/>
  <c r="D75" i="27"/>
  <c r="K75" i="27"/>
  <c r="J75" i="27" s="1"/>
  <c r="D76" i="27"/>
  <c r="K76" i="27"/>
  <c r="J76" i="27" s="1"/>
  <c r="N76" i="27"/>
  <c r="D77" i="27"/>
  <c r="K77" i="27"/>
  <c r="J77" i="27" s="1"/>
  <c r="D78" i="27"/>
  <c r="K78" i="27"/>
  <c r="J78" i="27" s="1"/>
  <c r="N78" i="27"/>
  <c r="D79" i="27"/>
  <c r="K79" i="27"/>
  <c r="J79" i="27" s="1"/>
  <c r="N79" i="27"/>
  <c r="D80" i="27"/>
  <c r="K80" i="27"/>
  <c r="J80" i="27" s="1"/>
  <c r="N80" i="27"/>
  <c r="D81" i="27"/>
  <c r="J81" i="27"/>
  <c r="K81" i="27"/>
  <c r="N81" i="27"/>
  <c r="D82" i="27"/>
  <c r="J82" i="27"/>
  <c r="K82" i="27"/>
  <c r="N82" i="27"/>
  <c r="D83" i="27"/>
  <c r="K83" i="27"/>
  <c r="J83" i="27" s="1"/>
  <c r="N83" i="27"/>
  <c r="D84" i="27"/>
  <c r="K84" i="27"/>
  <c r="J84" i="27" s="1"/>
  <c r="N84" i="27"/>
  <c r="D85" i="27"/>
  <c r="K85" i="27"/>
  <c r="J85" i="27" s="1"/>
  <c r="N85" i="27"/>
  <c r="D86" i="27"/>
  <c r="K86" i="27"/>
  <c r="J86" i="27" s="1"/>
  <c r="N86" i="27"/>
  <c r="D87" i="27"/>
  <c r="K87" i="27"/>
  <c r="J87" i="27" s="1"/>
  <c r="N87" i="27"/>
  <c r="D88" i="27"/>
  <c r="K88" i="27"/>
  <c r="J88" i="27" s="1"/>
  <c r="N88" i="27"/>
  <c r="D89" i="27"/>
  <c r="K89" i="27"/>
  <c r="J89" i="27" s="1"/>
  <c r="N89" i="27"/>
  <c r="D90" i="27"/>
  <c r="J90" i="27"/>
  <c r="K90" i="27"/>
  <c r="N90" i="27"/>
  <c r="D91" i="27"/>
  <c r="K91" i="27"/>
  <c r="J91" i="27" s="1"/>
  <c r="N91" i="27"/>
  <c r="D92" i="27"/>
  <c r="K92" i="27"/>
  <c r="J92" i="27" s="1"/>
  <c r="N92" i="27"/>
  <c r="D93" i="27"/>
  <c r="J93" i="27"/>
  <c r="K93" i="27"/>
  <c r="N93" i="27"/>
  <c r="D94" i="27"/>
  <c r="K94" i="27"/>
  <c r="J94" i="27" s="1"/>
  <c r="N94" i="27"/>
  <c r="D95" i="27"/>
  <c r="K95" i="27"/>
  <c r="J95" i="27" s="1"/>
  <c r="N95" i="27"/>
  <c r="D96" i="27"/>
  <c r="K96" i="27"/>
  <c r="J96" i="27" s="1"/>
  <c r="N96" i="27"/>
  <c r="D97" i="27"/>
  <c r="K97" i="27"/>
  <c r="J97" i="27" s="1"/>
  <c r="N97" i="27"/>
  <c r="D98" i="27"/>
  <c r="K98" i="27"/>
  <c r="J98" i="27" s="1"/>
  <c r="N98" i="27"/>
  <c r="D99" i="27"/>
  <c r="K99" i="27"/>
  <c r="J99" i="27" s="1"/>
  <c r="N99" i="27"/>
  <c r="D100" i="27"/>
  <c r="J100" i="27"/>
  <c r="K100" i="27"/>
  <c r="N100" i="27"/>
  <c r="D101" i="27"/>
  <c r="K101" i="27"/>
  <c r="J101" i="27" s="1"/>
  <c r="N101" i="27"/>
  <c r="D102" i="27"/>
  <c r="K102" i="27"/>
  <c r="J102" i="27" s="1"/>
  <c r="N102" i="27"/>
  <c r="D103" i="27"/>
  <c r="K103" i="27"/>
  <c r="J103" i="27" s="1"/>
  <c r="N103" i="27"/>
  <c r="D104" i="27"/>
  <c r="K104" i="27"/>
  <c r="J104" i="27" s="1"/>
  <c r="N104" i="27"/>
  <c r="D105" i="27"/>
  <c r="K105" i="27"/>
  <c r="J105" i="27" s="1"/>
  <c r="N105" i="27"/>
  <c r="D106" i="27"/>
  <c r="J106" i="27"/>
  <c r="K106" i="27"/>
  <c r="N106" i="27"/>
  <c r="D107" i="27"/>
  <c r="K107" i="27"/>
  <c r="J107" i="27" s="1"/>
  <c r="N107" i="27"/>
  <c r="D108" i="27"/>
  <c r="K108" i="27"/>
  <c r="J108" i="27" s="1"/>
  <c r="N108" i="27"/>
  <c r="D109" i="27"/>
  <c r="K109" i="27"/>
  <c r="J109" i="27" s="1"/>
  <c r="N109" i="27"/>
  <c r="D110" i="27"/>
  <c r="K110" i="27"/>
  <c r="J110" i="27" s="1"/>
  <c r="N110" i="27"/>
  <c r="D111" i="27"/>
  <c r="K111" i="27"/>
  <c r="J111" i="27" s="1"/>
  <c r="N111" i="27"/>
  <c r="D112" i="27"/>
  <c r="K112" i="27"/>
  <c r="J112" i="27" s="1"/>
  <c r="N112" i="27"/>
  <c r="D113" i="27"/>
  <c r="K113" i="27"/>
  <c r="J113" i="27" s="1"/>
  <c r="N113" i="27"/>
  <c r="D114" i="27"/>
  <c r="J114" i="27"/>
  <c r="K114" i="27"/>
  <c r="N114" i="27"/>
  <c r="D115" i="27"/>
  <c r="K115" i="27"/>
  <c r="J115" i="27" s="1"/>
  <c r="N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D129" i="27"/>
  <c r="D130" i="27"/>
  <c r="D131" i="27"/>
  <c r="D132" i="27"/>
  <c r="D133" i="27"/>
  <c r="D134" i="27"/>
  <c r="D146" i="27"/>
  <c r="K143" i="27" s="1"/>
  <c r="J143" i="27" s="1"/>
  <c r="F146" i="27"/>
  <c r="L146" i="27"/>
  <c r="D148" i="27"/>
  <c r="K148" i="27"/>
  <c r="J148" i="27" s="1"/>
  <c r="D149" i="27"/>
  <c r="K149" i="27"/>
  <c r="J149" i="27" s="1"/>
  <c r="D150" i="27"/>
  <c r="K150" i="27"/>
  <c r="I146" i="27" s="1"/>
  <c r="D151" i="27"/>
  <c r="K151" i="27"/>
  <c r="J151" i="27" s="1"/>
  <c r="D152" i="27"/>
  <c r="K152" i="27"/>
  <c r="J152" i="27" s="1"/>
  <c r="D153" i="27"/>
  <c r="K153" i="27"/>
  <c r="J153" i="27" s="1"/>
  <c r="D154" i="27"/>
  <c r="K154" i="27"/>
  <c r="J154" i="27" s="1"/>
  <c r="D155" i="27"/>
  <c r="K155" i="27"/>
  <c r="J155" i="27" s="1"/>
  <c r="D156" i="27"/>
  <c r="J156" i="27"/>
  <c r="K156" i="27"/>
  <c r="D157" i="27"/>
  <c r="K157" i="27"/>
  <c r="J157" i="27" s="1"/>
  <c r="D158" i="27"/>
  <c r="J158" i="27"/>
  <c r="K158" i="27"/>
  <c r="D159" i="27"/>
  <c r="K159" i="27"/>
  <c r="J159" i="27" s="1"/>
  <c r="D160" i="27"/>
  <c r="J160" i="27"/>
  <c r="K160" i="27"/>
  <c r="D161" i="27"/>
  <c r="K161" i="27"/>
  <c r="J161" i="27" s="1"/>
  <c r="D162" i="27"/>
  <c r="K162" i="27"/>
  <c r="J162" i="27" s="1"/>
  <c r="D163" i="27"/>
  <c r="K163" i="27"/>
  <c r="J163" i="27" s="1"/>
  <c r="D164" i="27"/>
  <c r="K164" i="27"/>
  <c r="J164" i="27" s="1"/>
  <c r="D165" i="27"/>
  <c r="K165" i="27"/>
  <c r="J165" i="27" s="1"/>
  <c r="D166" i="27"/>
  <c r="K166" i="27"/>
  <c r="J166" i="27" s="1"/>
  <c r="D167" i="27"/>
  <c r="K167" i="27"/>
  <c r="J167" i="27" s="1"/>
  <c r="D168" i="27"/>
  <c r="K168" i="27"/>
  <c r="J168" i="27" s="1"/>
  <c r="D169" i="27"/>
  <c r="K169" i="27"/>
  <c r="J169" i="27" s="1"/>
  <c r="D170" i="27"/>
  <c r="K170" i="27"/>
  <c r="J170" i="27" s="1"/>
  <c r="D171" i="27"/>
  <c r="K171" i="27"/>
  <c r="J171" i="27" s="1"/>
  <c r="D172" i="27"/>
  <c r="J172" i="27"/>
  <c r="K172" i="27"/>
  <c r="D173" i="27"/>
  <c r="K173" i="27"/>
  <c r="J173" i="27" s="1"/>
  <c r="D174" i="27"/>
  <c r="J174" i="27"/>
  <c r="K174" i="27"/>
  <c r="D175" i="27"/>
  <c r="K175" i="27"/>
  <c r="J175" i="27" s="1"/>
  <c r="D176" i="27"/>
  <c r="J176" i="27"/>
  <c r="K176" i="27"/>
  <c r="D177" i="27"/>
  <c r="K177" i="27"/>
  <c r="J177" i="27" s="1"/>
  <c r="D178" i="27"/>
  <c r="K178" i="27"/>
  <c r="J178" i="27" s="1"/>
  <c r="D179" i="27"/>
  <c r="K179" i="27"/>
  <c r="J179" i="27" s="1"/>
  <c r="D180" i="27"/>
  <c r="K180" i="27"/>
  <c r="J180" i="27" s="1"/>
  <c r="D181" i="27"/>
  <c r="K181" i="27"/>
  <c r="J181" i="27" s="1"/>
  <c r="D182" i="27"/>
  <c r="K182" i="27"/>
  <c r="J182" i="27" s="1"/>
  <c r="D183" i="27"/>
  <c r="K183" i="27"/>
  <c r="J183" i="27" s="1"/>
  <c r="D184" i="27"/>
  <c r="K184" i="27"/>
  <c r="J184" i="27" s="1"/>
  <c r="D185" i="27"/>
  <c r="K185" i="27"/>
  <c r="J185" i="27" s="1"/>
  <c r="D186" i="27"/>
  <c r="K186" i="27"/>
  <c r="J186" i="27" s="1"/>
  <c r="D187" i="27"/>
  <c r="K187" i="27"/>
  <c r="J187" i="27" s="1"/>
  <c r="D188" i="27"/>
  <c r="J188" i="27"/>
  <c r="K188" i="27"/>
  <c r="D189" i="27"/>
  <c r="K189" i="27"/>
  <c r="J189" i="27" s="1"/>
  <c r="D190" i="27"/>
  <c r="J190" i="27"/>
  <c r="K190" i="27"/>
  <c r="D191" i="27"/>
  <c r="K191" i="27"/>
  <c r="J191" i="27" s="1"/>
  <c r="D192" i="27"/>
  <c r="J192" i="27"/>
  <c r="K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05" i="27"/>
  <c r="D206" i="27"/>
  <c r="D207" i="27"/>
  <c r="D208" i="27"/>
  <c r="D209" i="27"/>
  <c r="D210" i="27"/>
  <c r="D211" i="27"/>
  <c r="D212" i="27"/>
  <c r="D213" i="27"/>
  <c r="D214" i="27"/>
  <c r="D215" i="27"/>
  <c r="D216" i="27"/>
  <c r="D217" i="27"/>
  <c r="D218" i="27"/>
  <c r="D219" i="27"/>
  <c r="D220" i="27"/>
  <c r="D221" i="27"/>
  <c r="D236" i="27"/>
  <c r="K233" i="27" s="1"/>
  <c r="J233" i="27" s="1"/>
  <c r="D238" i="27"/>
  <c r="K238" i="27"/>
  <c r="J238" i="27" s="1"/>
  <c r="D239" i="27"/>
  <c r="K239" i="27"/>
  <c r="J239" i="27" s="1"/>
  <c r="D240" i="27"/>
  <c r="K240" i="27"/>
  <c r="J240" i="27" s="1"/>
  <c r="D241" i="27"/>
  <c r="K241" i="27"/>
  <c r="J241" i="27" s="1"/>
  <c r="D242" i="27"/>
  <c r="K242" i="27"/>
  <c r="J242" i="27" s="1"/>
  <c r="D243" i="27"/>
  <c r="K243" i="27"/>
  <c r="J243" i="27" s="1"/>
  <c r="D244" i="27"/>
  <c r="K244" i="27"/>
  <c r="J244" i="27" s="1"/>
  <c r="D245" i="27"/>
  <c r="K245" i="27"/>
  <c r="J245" i="27" s="1"/>
  <c r="D246" i="27"/>
  <c r="K246" i="27"/>
  <c r="J246" i="27" s="1"/>
  <c r="D247" i="27"/>
  <c r="K247" i="27"/>
  <c r="J247" i="27" s="1"/>
  <c r="D248" i="27"/>
  <c r="K248" i="27"/>
  <c r="J248" i="27" s="1"/>
  <c r="D249" i="27"/>
  <c r="K249" i="27"/>
  <c r="J249" i="27" s="1"/>
  <c r="D250" i="27"/>
  <c r="K250" i="27"/>
  <c r="J250" i="27" s="1"/>
  <c r="D251" i="27"/>
  <c r="K251" i="27"/>
  <c r="J251" i="27" s="1"/>
  <c r="D252" i="27"/>
  <c r="K252" i="27"/>
  <c r="J252" i="27" s="1"/>
  <c r="D253" i="27"/>
  <c r="K253" i="27"/>
  <c r="J253" i="27" s="1"/>
  <c r="D254" i="27"/>
  <c r="K254" i="27"/>
  <c r="J254" i="27" s="1"/>
  <c r="D255" i="27"/>
  <c r="K255" i="27"/>
  <c r="J255" i="27" s="1"/>
  <c r="D256" i="27"/>
  <c r="K256" i="27"/>
  <c r="J256" i="27" s="1"/>
  <c r="D257" i="27"/>
  <c r="K257" i="27"/>
  <c r="J257" i="27" s="1"/>
  <c r="D258" i="27"/>
  <c r="K258" i="27"/>
  <c r="J258" i="27" s="1"/>
  <c r="D259" i="27"/>
  <c r="K259" i="27"/>
  <c r="J259" i="27" s="1"/>
  <c r="D260" i="27"/>
  <c r="K260" i="27"/>
  <c r="J260" i="27" s="1"/>
  <c r="D261" i="27"/>
  <c r="K261" i="27"/>
  <c r="J261" i="27" s="1"/>
  <c r="D262" i="27"/>
  <c r="K262" i="27"/>
  <c r="J262" i="27" s="1"/>
  <c r="D263" i="27"/>
  <c r="K263" i="27"/>
  <c r="J263" i="27" s="1"/>
  <c r="D264" i="27"/>
  <c r="K264" i="27"/>
  <c r="J264" i="27" s="1"/>
  <c r="D265" i="27"/>
  <c r="K265" i="27"/>
  <c r="J265" i="27" s="1"/>
  <c r="D266" i="27"/>
  <c r="K266" i="27"/>
  <c r="J266" i="27" s="1"/>
  <c r="D267" i="27"/>
  <c r="K267" i="27"/>
  <c r="J267" i="27" s="1"/>
  <c r="D268" i="27"/>
  <c r="K268" i="27"/>
  <c r="J268" i="27" s="1"/>
  <c r="D269" i="27"/>
  <c r="K269" i="27"/>
  <c r="J269" i="27" s="1"/>
  <c r="D270" i="27"/>
  <c r="K270" i="27"/>
  <c r="J270" i="27" s="1"/>
  <c r="D271" i="27"/>
  <c r="K271" i="27"/>
  <c r="J271" i="27" s="1"/>
  <c r="D272" i="27"/>
  <c r="K272" i="27"/>
  <c r="J272" i="27" s="1"/>
  <c r="D273" i="27"/>
  <c r="K273" i="27"/>
  <c r="J273" i="27" s="1"/>
  <c r="D274" i="27"/>
  <c r="K274" i="27"/>
  <c r="J274" i="27" s="1"/>
  <c r="D275" i="27"/>
  <c r="K275" i="27"/>
  <c r="J275" i="27" s="1"/>
  <c r="D276" i="27"/>
  <c r="K276" i="27"/>
  <c r="J276" i="27" s="1"/>
  <c r="D277" i="27"/>
  <c r="D278" i="27"/>
  <c r="D279" i="27"/>
  <c r="D280" i="27"/>
  <c r="D281" i="27"/>
  <c r="D282" i="27"/>
  <c r="D283" i="27"/>
  <c r="D284" i="27"/>
  <c r="D285" i="27"/>
  <c r="D286" i="27"/>
  <c r="D287" i="27"/>
  <c r="D288" i="27"/>
  <c r="D289" i="27"/>
  <c r="D290" i="27"/>
  <c r="D291" i="27"/>
  <c r="D292" i="27"/>
  <c r="D293" i="27"/>
  <c r="D294" i="27"/>
  <c r="D295" i="27"/>
  <c r="D296" i="27"/>
  <c r="D297" i="27"/>
  <c r="D298" i="27"/>
  <c r="D299" i="27"/>
  <c r="D300" i="27"/>
  <c r="D301" i="27"/>
  <c r="D302" i="27"/>
  <c r="D303" i="27"/>
  <c r="D304" i="27"/>
  <c r="D305" i="27"/>
  <c r="D306" i="27"/>
  <c r="D307" i="27"/>
  <c r="D308" i="27"/>
  <c r="J3" i="28"/>
  <c r="I4" i="28"/>
  <c r="J4" i="28" s="1"/>
  <c r="K6" i="28"/>
  <c r="K3" i="29"/>
  <c r="J4" i="29"/>
  <c r="K4" i="29"/>
  <c r="L6" i="29"/>
  <c r="J3" i="36"/>
  <c r="I4" i="36"/>
  <c r="J4" i="36" s="1"/>
  <c r="K6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51" i="36"/>
  <c r="C52" i="36"/>
  <c r="C53" i="36"/>
  <c r="C54" i="36"/>
  <c r="C55" i="36"/>
  <c r="C56" i="36"/>
  <c r="C57" i="36"/>
  <c r="C58" i="36"/>
  <c r="C59" i="36"/>
  <c r="C60" i="36"/>
  <c r="C61" i="36"/>
  <c r="C62" i="36"/>
  <c r="C63" i="36"/>
  <c r="C64" i="36"/>
  <c r="C65" i="36"/>
  <c r="C66" i="36"/>
  <c r="C67" i="36"/>
  <c r="C68" i="36"/>
  <c r="C69" i="36"/>
  <c r="C70" i="36"/>
  <c r="C71" i="36"/>
  <c r="C72" i="36"/>
  <c r="C73" i="36"/>
  <c r="C74" i="36"/>
  <c r="C75" i="36"/>
  <c r="C76" i="36"/>
  <c r="C77" i="36"/>
  <c r="C78" i="36"/>
  <c r="C79" i="36"/>
  <c r="C80" i="36"/>
  <c r="C81" i="36"/>
  <c r="C82" i="36"/>
  <c r="C83" i="36"/>
  <c r="C84" i="36"/>
  <c r="C85" i="36"/>
  <c r="C86" i="36"/>
  <c r="C87" i="36"/>
  <c r="C88" i="36"/>
  <c r="C89" i="36"/>
  <c r="C90" i="36"/>
  <c r="C91" i="36"/>
  <c r="C92" i="36"/>
  <c r="C93" i="36"/>
  <c r="C94" i="36"/>
  <c r="C95" i="36"/>
  <c r="C96" i="36"/>
  <c r="C97" i="36"/>
  <c r="C98" i="36"/>
  <c r="C99" i="36"/>
  <c r="C100" i="36"/>
  <c r="C101" i="36"/>
  <c r="C102" i="36"/>
  <c r="C103" i="36"/>
  <c r="C104" i="36"/>
  <c r="C105" i="36"/>
  <c r="C106" i="36"/>
  <c r="C107" i="36"/>
  <c r="M133" i="36"/>
  <c r="A175" i="36"/>
  <c r="K3" i="37"/>
  <c r="J4" i="37"/>
  <c r="K4" i="37" s="1"/>
  <c r="L6" i="37"/>
  <c r="N273" i="37"/>
  <c r="H3" i="2"/>
  <c r="G4" i="2"/>
  <c r="H4" i="2" s="1"/>
  <c r="I6" i="2"/>
  <c r="B132" i="2"/>
  <c r="S7" i="38"/>
  <c r="N38" i="38"/>
  <c r="N40" i="38" s="1"/>
  <c r="Q4" i="38" s="1"/>
  <c r="Q7" i="38" s="1"/>
  <c r="O38" i="38"/>
  <c r="F40" i="38"/>
  <c r="F41" i="38"/>
  <c r="F42" i="38"/>
  <c r="F43" i="38"/>
  <c r="F44" i="38"/>
  <c r="F6" i="39"/>
  <c r="D12" i="39"/>
  <c r="G2" i="39" s="1"/>
  <c r="E12" i="39"/>
  <c r="G3" i="39" s="1"/>
  <c r="F12" i="39"/>
  <c r="G4" i="39" s="1"/>
  <c r="G12" i="39"/>
  <c r="H12" i="39"/>
  <c r="I12" i="39"/>
  <c r="J12" i="39"/>
  <c r="K12" i="39"/>
  <c r="L12" i="39"/>
  <c r="M12" i="39"/>
  <c r="N12" i="39"/>
  <c r="D17" i="39"/>
  <c r="E17" i="39"/>
  <c r="F17" i="39"/>
  <c r="G17" i="39"/>
  <c r="I17" i="39"/>
  <c r="K17" i="39"/>
  <c r="M17" i="39"/>
  <c r="D18" i="39"/>
  <c r="E18" i="39"/>
  <c r="F18" i="39"/>
  <c r="G18" i="39"/>
  <c r="I18" i="39"/>
  <c r="K18" i="39"/>
  <c r="M18" i="39"/>
  <c r="D12" i="40"/>
  <c r="G2" i="40" s="1"/>
  <c r="E12" i="40"/>
  <c r="G3" i="40" s="1"/>
  <c r="F12" i="40"/>
  <c r="G4" i="40" s="1"/>
  <c r="G12" i="40"/>
  <c r="H12" i="40"/>
  <c r="I12" i="40"/>
  <c r="J12" i="40"/>
  <c r="K12" i="40"/>
  <c r="L12" i="40"/>
  <c r="M12" i="40"/>
  <c r="N12" i="40"/>
  <c r="O12" i="40"/>
  <c r="P12" i="40"/>
  <c r="D17" i="40"/>
  <c r="E17" i="40"/>
  <c r="F17" i="40"/>
  <c r="G17" i="40"/>
  <c r="I17" i="40"/>
  <c r="J17" i="40"/>
  <c r="M17" i="40"/>
  <c r="D18" i="40"/>
  <c r="E18" i="40"/>
  <c r="F18" i="40"/>
  <c r="G18" i="40"/>
  <c r="I18" i="40"/>
  <c r="J18" i="40"/>
  <c r="M18" i="40"/>
  <c r="F90" i="40"/>
  <c r="F6" i="40" s="1"/>
  <c r="H3" i="4"/>
  <c r="G4" i="4"/>
  <c r="H4" i="4" s="1"/>
  <c r="I6" i="4"/>
  <c r="T12" i="4"/>
  <c r="M92" i="4"/>
  <c r="M94" i="4"/>
  <c r="O97" i="4"/>
  <c r="V103" i="4"/>
  <c r="T103" i="4" s="1"/>
  <c r="U113" i="4"/>
  <c r="V113" i="4"/>
  <c r="M3" i="6"/>
  <c r="L4" i="6"/>
  <c r="M4" i="6" s="1"/>
  <c r="N6" i="6"/>
  <c r="M3" i="8"/>
  <c r="L4" i="8"/>
  <c r="M4" i="8" s="1"/>
  <c r="N6" i="8"/>
  <c r="M3" i="10"/>
  <c r="L4" i="10"/>
  <c r="M4" i="10" s="1"/>
  <c r="N6" i="10"/>
  <c r="M3" i="12"/>
  <c r="L4" i="12"/>
  <c r="M4" i="12" s="1"/>
  <c r="N6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M3" i="14"/>
  <c r="L4" i="14"/>
  <c r="M4" i="14" s="1"/>
  <c r="N6" i="14"/>
  <c r="M3" i="15"/>
  <c r="L4" i="15"/>
  <c r="M4" i="15" s="1"/>
  <c r="M3" i="16"/>
  <c r="L4" i="16"/>
  <c r="M4" i="16" s="1"/>
  <c r="N6" i="16"/>
  <c r="P4" i="30"/>
  <c r="N9" i="30" s="1"/>
  <c r="O6" i="30"/>
  <c r="N6" i="30" s="1"/>
  <c r="O2" i="22"/>
  <c r="C15" i="23" s="1"/>
  <c r="AO2" i="22"/>
  <c r="AD10" i="22" s="1"/>
  <c r="AS2" i="22" s="1"/>
  <c r="AG3" i="22"/>
  <c r="W4" i="22"/>
  <c r="D7" i="24"/>
  <c r="D8" i="24" a="1"/>
  <c r="D8" i="24" s="1"/>
  <c r="G13" i="24"/>
  <c r="AB14" i="24" s="1"/>
  <c r="AD14" i="24" s="1"/>
  <c r="G14" i="24"/>
  <c r="P175" i="36"/>
  <c r="E175" i="36"/>
  <c r="H175" i="36"/>
  <c r="AH16" i="24" a="1"/>
  <c r="AU4" i="22" a="1"/>
  <c r="AJ5" i="22" a="1"/>
  <c r="J16" i="24" a="1"/>
  <c r="AL55" i="25" l="1"/>
  <c r="F16" i="25"/>
  <c r="F20" i="25" s="1"/>
  <c r="AL52" i="25"/>
  <c r="AL51" i="25"/>
  <c r="AL46" i="25"/>
  <c r="AL45" i="25"/>
  <c r="AL44" i="25"/>
  <c r="AL43" i="25"/>
  <c r="AL40" i="25"/>
  <c r="AL39" i="25"/>
  <c r="G6" i="40"/>
  <c r="J6" i="40"/>
  <c r="L14" i="26"/>
  <c r="L19" i="26" s="1"/>
  <c r="L20" i="26"/>
  <c r="I63" i="27"/>
  <c r="F62" i="27" s="1"/>
  <c r="D10" i="27" s="1"/>
  <c r="AL50" i="25"/>
  <c r="AL38" i="25"/>
  <c r="O41" i="38"/>
  <c r="AL49" i="25"/>
  <c r="AL37" i="25"/>
  <c r="S15" i="26"/>
  <c r="O40" i="38"/>
  <c r="Q10" i="38" s="1"/>
  <c r="Q11" i="38" s="1"/>
  <c r="J150" i="27"/>
  <c r="AH19" i="24"/>
  <c r="AH22" i="24"/>
  <c r="AH25" i="24"/>
  <c r="AH28" i="24"/>
  <c r="AH16" i="24"/>
  <c r="AH18" i="24"/>
  <c r="AH21" i="24"/>
  <c r="D10" i="24" s="1" a="1"/>
  <c r="D10" i="24" s="1"/>
  <c r="T15" i="23" s="1"/>
  <c r="AH24" i="24"/>
  <c r="AH27" i="24"/>
  <c r="AH17" i="24"/>
  <c r="AH20" i="24"/>
  <c r="AH23" i="24"/>
  <c r="AH26" i="24"/>
  <c r="AH29" i="24"/>
  <c r="J17" i="24"/>
  <c r="J20" i="24"/>
  <c r="J23" i="24"/>
  <c r="J26" i="24"/>
  <c r="J29" i="24"/>
  <c r="J34" i="24"/>
  <c r="J40" i="24"/>
  <c r="J24" i="24"/>
  <c r="J33" i="24"/>
  <c r="J39" i="24"/>
  <c r="J18" i="24"/>
  <c r="D9" i="24" s="1" a="1"/>
  <c r="D9" i="24" s="1"/>
  <c r="J27" i="24"/>
  <c r="J19" i="24"/>
  <c r="J22" i="24"/>
  <c r="J25" i="24"/>
  <c r="J28" i="24"/>
  <c r="J32" i="24"/>
  <c r="J38" i="24"/>
  <c r="J16" i="24"/>
  <c r="J21" i="24"/>
  <c r="J30" i="24"/>
  <c r="J36" i="24"/>
  <c r="J31" i="24"/>
  <c r="J37" i="24"/>
  <c r="J35" i="24"/>
  <c r="J41" i="24"/>
  <c r="AJ8" i="22"/>
  <c r="AJ9" i="22"/>
  <c r="AJ5" i="22"/>
  <c r="AJ10" i="22"/>
  <c r="AJ13" i="22"/>
  <c r="AJ16" i="22"/>
  <c r="AJ19" i="22"/>
  <c r="AJ22" i="22"/>
  <c r="AJ27" i="22"/>
  <c r="AJ24" i="22"/>
  <c r="AJ7" i="22"/>
  <c r="AJ26" i="22"/>
  <c r="AJ12" i="22"/>
  <c r="AJ15" i="22"/>
  <c r="AJ18" i="22"/>
  <c r="AJ21" i="22"/>
  <c r="AJ25" i="22"/>
  <c r="AJ6" i="22"/>
  <c r="Q2" i="22" s="1"/>
  <c r="AJ11" i="22"/>
  <c r="AJ14" i="22"/>
  <c r="AJ17" i="22"/>
  <c r="AJ20" i="22"/>
  <c r="AJ23" i="22"/>
  <c r="AU10" i="22"/>
  <c r="AU13" i="22"/>
  <c r="AU16" i="22"/>
  <c r="AU19" i="22"/>
  <c r="AU22" i="22"/>
  <c r="AU14" i="22"/>
  <c r="AU20" i="22"/>
  <c r="AU7" i="22"/>
  <c r="AU11" i="22"/>
  <c r="AU12" i="22"/>
  <c r="AU15" i="22"/>
  <c r="AU18" i="22"/>
  <c r="AZ1" i="22" s="1"/>
  <c r="AU21" i="22"/>
  <c r="AU17" i="22"/>
  <c r="AU4" i="22"/>
  <c r="AU6" i="22"/>
  <c r="AU9" i="22"/>
  <c r="AU5" i="22"/>
  <c r="AU8" i="22"/>
  <c r="N15" i="23"/>
  <c r="D12" i="24"/>
  <c r="Q19" i="23" s="1"/>
  <c r="J6" i="39"/>
  <c r="G6" i="39"/>
  <c r="C142" i="27"/>
  <c r="J14" i="27" s="1"/>
  <c r="F144" i="27"/>
  <c r="J12" i="27" s="1"/>
  <c r="F145" i="27"/>
  <c r="J10" i="27" s="1"/>
  <c r="F142" i="27"/>
  <c r="D23" i="27" s="1"/>
  <c r="K144" i="27"/>
  <c r="J144" i="27" s="1"/>
  <c r="F143" i="27" s="1"/>
  <c r="J8" i="27" s="1"/>
  <c r="E20" i="26"/>
  <c r="E14" i="26"/>
  <c r="E19" i="26" s="1"/>
  <c r="I5" i="39"/>
  <c r="I6" i="39" s="1"/>
  <c r="G8" i="39"/>
  <c r="J7" i="39"/>
  <c r="I5" i="40"/>
  <c r="I6" i="40" s="1"/>
  <c r="G8" i="40"/>
  <c r="J7" i="40"/>
  <c r="I236" i="27"/>
  <c r="F235" i="27" s="1"/>
  <c r="P10" i="27" s="1"/>
  <c r="C59" i="27"/>
  <c r="D14" i="27" s="1"/>
  <c r="W1" i="22"/>
  <c r="G59" i="27"/>
  <c r="D21" i="27" s="1"/>
  <c r="F61" i="27"/>
  <c r="D12" i="27" s="1"/>
  <c r="F59" i="27"/>
  <c r="D20" i="27" s="1"/>
  <c r="K61" i="27"/>
  <c r="J61" i="27" s="1"/>
  <c r="F60" i="27" s="1"/>
  <c r="D8" i="27" s="1"/>
  <c r="H59" i="27"/>
  <c r="D22" i="27" s="1"/>
  <c r="O42" i="38"/>
  <c r="Q5" i="38" s="1"/>
  <c r="AL53" i="25"/>
  <c r="AL47" i="25"/>
  <c r="AL41" i="25"/>
  <c r="AL35" i="25"/>
  <c r="N17" i="25"/>
  <c r="Q16" i="25" s="1"/>
  <c r="AL54" i="25"/>
  <c r="AL48" i="25"/>
  <c r="AL42" i="25"/>
  <c r="AL36" i="25"/>
  <c r="O175" i="36"/>
  <c r="Q175" i="36"/>
  <c r="F175" i="36"/>
  <c r="J175" i="36"/>
  <c r="M175" i="36"/>
  <c r="L175" i="36"/>
  <c r="N175" i="36"/>
  <c r="K175" i="36"/>
  <c r="I175" i="36"/>
  <c r="G175" i="36"/>
  <c r="T2" i="22" l="1"/>
  <c r="I15" i="23" s="1"/>
  <c r="S11" i="38"/>
  <c r="F22" i="25"/>
  <c r="S14" i="26"/>
  <c r="S19" i="26" s="1"/>
  <c r="S20" i="26"/>
  <c r="Q12" i="23"/>
  <c r="D14" i="24"/>
  <c r="Q18" i="23" s="1"/>
  <c r="P8" i="27"/>
  <c r="G232" i="27"/>
  <c r="D24" i="27" s="1"/>
  <c r="K234" i="27"/>
  <c r="J234" i="27" s="1"/>
  <c r="F233" i="27" s="1"/>
  <c r="F234" i="27"/>
  <c r="P12" i="27" s="1"/>
  <c r="F232" i="27"/>
  <c r="P14" i="27" s="1"/>
  <c r="Q24" i="23"/>
  <c r="Q22" i="23"/>
  <c r="W3" i="22"/>
  <c r="F19" i="23"/>
  <c r="D13" i="24"/>
  <c r="Q17" i="23" s="1"/>
  <c r="D18" i="27"/>
  <c r="D16" i="27"/>
  <c r="F12" i="23"/>
  <c r="Q22" i="25"/>
  <c r="Q20" i="25"/>
  <c r="J18" i="27"/>
  <c r="J16" i="27"/>
  <c r="AA2" i="22" l="1"/>
  <c r="F18" i="23" s="1"/>
  <c r="W2" i="22"/>
  <c r="F17" i="23" s="1"/>
  <c r="F24" i="23"/>
  <c r="F22" i="23"/>
  <c r="P16" i="27"/>
  <c r="P18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F3" authorId="0" shapeId="0" xr:uid="{00000000-0006-0000-0100-000001000000}">
      <text>
        <r>
          <rPr>
            <sz val="8"/>
            <color indexed="81"/>
            <rFont val="Tahoma"/>
            <family val="2"/>
            <charset val="204"/>
          </rPr>
          <t xml:space="preserve">Введите требуемкю длину стального профиля в М
</t>
        </r>
      </text>
    </comment>
    <comment ref="G3" authorId="0" shapeId="0" xr:uid="{00000000-0006-0000-0100-000002000000}">
      <text>
        <r>
          <rPr>
            <sz val="8"/>
            <color indexed="81"/>
            <rFont val="Tahoma"/>
            <family val="2"/>
            <charset val="204"/>
          </rPr>
          <t xml:space="preserve">Введите массу 1метра профиля КГ
</t>
        </r>
      </text>
    </comment>
    <comment ref="F4" authorId="0" shapeId="0" xr:uid="{00000000-0006-0000-01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профиля в КГ</t>
        </r>
      </text>
    </comment>
    <comment ref="G5" authorId="0" shapeId="0" xr:uid="{00000000-0006-0000-0100-000004000000}">
      <text>
        <r>
          <rPr>
            <sz val="8"/>
            <color indexed="81"/>
            <rFont val="Tahoma"/>
            <family val="2"/>
            <charset val="204"/>
          </rPr>
          <t xml:space="preserve">Введите площадь сечения профиля СМ2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F3" authorId="0" shapeId="0" xr:uid="{00000000-0006-0000-0300-000001000000}">
      <text>
        <r>
          <rPr>
            <sz val="8"/>
            <color indexed="81"/>
            <rFont val="Tahoma"/>
            <family val="2"/>
            <charset val="204"/>
          </rPr>
          <t xml:space="preserve">Введите требуемую длину профиля в М
</t>
        </r>
      </text>
    </comment>
    <comment ref="G3" authorId="0" shapeId="0" xr:uid="{00000000-0006-0000-0300-000002000000}">
      <text>
        <r>
          <rPr>
            <sz val="8"/>
            <color indexed="81"/>
            <rFont val="Tahoma"/>
            <family val="2"/>
            <charset val="204"/>
          </rPr>
          <t xml:space="preserve">Введите массу 1м профиля в КГ
</t>
        </r>
      </text>
    </comment>
    <comment ref="F4" authorId="0" shapeId="0" xr:uid="{00000000-0006-0000-0300-000003000000}">
      <text>
        <r>
          <rPr>
            <sz val="8"/>
            <color indexed="81"/>
            <rFont val="Tahoma"/>
            <family val="2"/>
            <charset val="204"/>
          </rPr>
          <t xml:space="preserve">Введите требуемый вес профиля в КГ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05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0500-000002000000}">
      <text>
        <r>
          <rPr>
            <sz val="8"/>
            <color indexed="81"/>
            <rFont val="Tahoma"/>
            <family val="2"/>
            <charset val="204"/>
          </rPr>
          <t xml:space="preserve">Введите массу 1м профиля в КГ
</t>
        </r>
      </text>
    </comment>
    <comment ref="K4" authorId="0" shapeId="0" xr:uid="{00000000-0006-0000-05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07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07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K4" authorId="0" shapeId="0" xr:uid="{00000000-0006-0000-07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09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09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K4" authorId="0" shapeId="0" xr:uid="{00000000-0006-0000-09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0B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0B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K4" authorId="0" shapeId="0" xr:uid="{00000000-0006-0000-0B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0D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0D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K4" authorId="0" shapeId="0" xr:uid="{00000000-0006-0000-0D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0E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0E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K4" authorId="0" shapeId="0" xr:uid="{00000000-0006-0000-0E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0F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0F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K4" authorId="0" shapeId="0" xr:uid="{00000000-0006-0000-0F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11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11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K4" authorId="0" shapeId="0" xr:uid="{00000000-0006-0000-11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K3" authorId="0" shapeId="0" xr:uid="{00000000-0006-0000-13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L3" authorId="0" shapeId="0" xr:uid="{00000000-0006-0000-13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K4" authorId="0" shapeId="0" xr:uid="{00000000-0006-0000-13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F21" authorId="0" shapeId="0" xr:uid="{00000000-0006-0000-16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площадь</t>
        </r>
      </text>
    </comment>
    <comment ref="Q21" authorId="0" shapeId="0" xr:uid="{00000000-0006-0000-1600-000002000000}">
      <text>
        <r>
          <rPr>
            <sz val="8"/>
            <color indexed="81"/>
            <rFont val="Tahoma"/>
            <family val="2"/>
            <charset val="204"/>
          </rPr>
          <t>Введите требуемую площадь</t>
        </r>
      </text>
    </comment>
    <comment ref="F23" authorId="0" shapeId="0" xr:uid="{00000000-0006-0000-1600-000003000000}">
      <text>
        <r>
          <rPr>
            <sz val="8"/>
            <color indexed="81"/>
            <rFont val="Tahoma"/>
            <family val="2"/>
            <charset val="204"/>
          </rPr>
          <t xml:space="preserve">Введите требуемую массу
</t>
        </r>
      </text>
    </comment>
    <comment ref="Q23" authorId="0" shapeId="0" xr:uid="{00000000-0006-0000-1600-000004000000}">
      <text>
        <r>
          <rPr>
            <sz val="8"/>
            <color indexed="81"/>
            <rFont val="Tahoma"/>
            <family val="2"/>
            <charset val="204"/>
          </rPr>
          <t xml:space="preserve">Введите требуемую массу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F19" authorId="0" shapeId="0" xr:uid="{00000000-0006-0000-18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</t>
        </r>
      </text>
    </comment>
    <comment ref="Q19" authorId="0" shapeId="0" xr:uid="{00000000-0006-0000-1800-000002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</t>
        </r>
      </text>
    </comment>
    <comment ref="F21" authorId="0" shapeId="0" xr:uid="{00000000-0006-0000-1800-000003000000}">
      <text>
        <r>
          <rPr>
            <sz val="8"/>
            <color indexed="81"/>
            <rFont val="Tahoma"/>
            <family val="2"/>
            <charset val="204"/>
          </rPr>
          <t xml:space="preserve">Введите требуемую массу
</t>
        </r>
      </text>
    </comment>
    <comment ref="Q21" authorId="0" shapeId="0" xr:uid="{00000000-0006-0000-1800-000004000000}">
      <text>
        <r>
          <rPr>
            <sz val="8"/>
            <color indexed="81"/>
            <rFont val="Tahoma"/>
            <family val="2"/>
            <charset val="204"/>
          </rPr>
          <t xml:space="preserve">Введите требуемую массу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Зарегистрированный пользователь Microsoft Office</author>
  </authors>
  <commentList>
    <comment ref="I3" authorId="0" shapeId="0" xr:uid="{00000000-0006-0000-1C00-000001000000}">
      <text>
        <r>
          <rPr>
            <sz val="8"/>
            <color indexed="81"/>
            <rFont val="Tahoma"/>
            <family val="2"/>
            <charset val="204"/>
          </rPr>
          <t>Введите требуемую длину профиля в М</t>
        </r>
      </text>
    </comment>
    <comment ref="J3" authorId="0" shapeId="0" xr:uid="{00000000-0006-0000-1C00-000002000000}">
      <text>
        <r>
          <rPr>
            <sz val="8"/>
            <color indexed="81"/>
            <rFont val="Tahoma"/>
            <family val="2"/>
            <charset val="204"/>
          </rPr>
          <t xml:space="preserve"> Масса 1м профиля в КГ
</t>
        </r>
      </text>
    </comment>
    <comment ref="I4" authorId="0" shapeId="0" xr:uid="{00000000-0006-0000-1C00-000003000000}">
      <text>
        <r>
          <rPr>
            <sz val="8"/>
            <color indexed="81"/>
            <rFont val="Tahoma"/>
            <family val="2"/>
            <charset val="204"/>
          </rPr>
          <t>Введите требуемый вес в КГ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Nikita</author>
  </authors>
  <commentList>
    <comment ref="Q6" authorId="0" shapeId="0" xr:uid="{00000000-0006-0000-1F00-000001000000}">
      <text>
        <r>
          <rPr>
            <sz val="8"/>
            <color indexed="81"/>
            <rFont val="Tahoma"/>
            <family val="2"/>
            <charset val="204"/>
          </rPr>
          <t xml:space="preserve">Сюда надо ввести значение
</t>
        </r>
      </text>
    </comment>
    <comment ref="Q9" authorId="0" shapeId="0" xr:uid="{00000000-0006-0000-1F00-000002000000}">
      <text>
        <r>
          <rPr>
            <sz val="8"/>
            <color indexed="81"/>
            <rFont val="Tahoma"/>
            <family val="2"/>
            <charset val="204"/>
          </rPr>
          <t xml:space="preserve">Сюда надо ввести значение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Nikita</author>
  </authors>
  <commentList>
    <comment ref="G5" authorId="0" shapeId="0" xr:uid="{00000000-0006-0000-2000-000001000000}">
      <text>
        <r>
          <rPr>
            <sz val="8"/>
            <color indexed="81"/>
            <rFont val="Tahoma"/>
            <family val="2"/>
            <charset val="204"/>
          </rPr>
          <t>Введите значение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" authorId="0" shapeId="0" xr:uid="{00000000-0006-0000-2000-000002000000}">
      <text>
        <r>
          <rPr>
            <sz val="8"/>
            <color indexed="81"/>
            <rFont val="Tahoma"/>
            <family val="2"/>
            <charset val="204"/>
          </rPr>
          <t>Введите значение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<sst xmlns="http://schemas.openxmlformats.org/spreadsheetml/2006/main" count="5162" uniqueCount="2230">
  <si>
    <t>8,81 - 12,30</t>
  </si>
  <si>
    <t>11,23 - 15,66</t>
  </si>
  <si>
    <t>114,05 - 155,52</t>
  </si>
  <si>
    <t>16,87 - 23,42</t>
  </si>
  <si>
    <t>3,19 - 3,15</t>
  </si>
  <si>
    <t>38,32 - 51,68</t>
  </si>
  <si>
    <t>7,70 - 10,64</t>
  </si>
  <si>
    <t>1,85 - 1,82</t>
  </si>
  <si>
    <t>22,77 - 30,60</t>
  </si>
  <si>
    <t>6,43 - 8,83</t>
  </si>
  <si>
    <t>1,52 - 1,64</t>
  </si>
  <si>
    <t>3,24 - 3,37</t>
  </si>
  <si>
    <t>38,00 - 51,18</t>
  </si>
  <si>
    <t>0,415 - 0,410</t>
  </si>
  <si>
    <t>6,5 - 8</t>
  </si>
  <si>
    <t>8,98- 10,93</t>
  </si>
  <si>
    <t>AхB</t>
  </si>
  <si>
    <t>11,44 -13,92</t>
  </si>
  <si>
    <t>142,42 - 171,54</t>
  </si>
  <si>
    <t>19,11 - 23,22</t>
  </si>
  <si>
    <t>3,53 - 3,51</t>
  </si>
  <si>
    <t>45,61 - 54,64</t>
  </si>
  <si>
    <t>8,42 - 10,20</t>
  </si>
  <si>
    <t>2,00 - 1,98</t>
  </si>
  <si>
    <t>26,94 - 32,31</t>
  </si>
  <si>
    <t>7,05 - 8,50</t>
  </si>
  <si>
    <t>1,53 - 1,52</t>
  </si>
  <si>
    <t>1,58 - 1,64</t>
  </si>
  <si>
    <t>3,55 - 3,62</t>
  </si>
  <si>
    <t>46,80 - 55,90</t>
  </si>
  <si>
    <t>0,402 - 0,400</t>
  </si>
  <si>
    <t>7 - 12</t>
  </si>
  <si>
    <t>11,04 - 18,34</t>
  </si>
  <si>
    <t>14,06 - 23,36</t>
  </si>
  <si>
    <t>226,53 - 364,79</t>
  </si>
  <si>
    <t>26,67 - 44,07</t>
  </si>
  <si>
    <t>4,01 - 3,95</t>
  </si>
  <si>
    <t>73,73 - 116,84</t>
  </si>
  <si>
    <t>11,89 - 19,46</t>
  </si>
  <si>
    <t>2,29 - 2,24</t>
  </si>
  <si>
    <t>43,40 - 69,47</t>
  </si>
  <si>
    <t>9,96 - 16,11</t>
  </si>
  <si>
    <t>1,76 - 1,72</t>
  </si>
  <si>
    <t>1,80 - 1,99</t>
  </si>
  <si>
    <t>4,02 - 4,22</t>
  </si>
  <si>
    <t>74,70 - 118,0</t>
  </si>
  <si>
    <t>0,407 - 0,400</t>
  </si>
  <si>
    <t>8 - 10</t>
  </si>
  <si>
    <t>14,13 - 17,46</t>
  </si>
  <si>
    <t>17,99 - 22,24</t>
  </si>
  <si>
    <t>363,68 - 444,45</t>
  </si>
  <si>
    <t>38,25 - 47,19</t>
  </si>
  <si>
    <t>4,49 - 4,47</t>
  </si>
  <si>
    <t>119,79 - 145,54</t>
  </si>
  <si>
    <t>17,19 - 21,14</t>
  </si>
  <si>
    <t>70,27 - 85,51</t>
  </si>
  <si>
    <t>14,39 - 17,58</t>
  </si>
  <si>
    <t>1,58 - 1,96</t>
  </si>
  <si>
    <t>2,04 - 2,11</t>
  </si>
  <si>
    <t>4,50 - 4,59</t>
  </si>
  <si>
    <t>121,0 - 147,0</t>
  </si>
  <si>
    <t>0,411 - 0,409</t>
  </si>
  <si>
    <t>9 - 14</t>
  </si>
  <si>
    <t>17,96 - 27,26</t>
  </si>
  <si>
    <t>22,87 - 34,79</t>
  </si>
  <si>
    <t>605,97 - 897,10</t>
  </si>
  <si>
    <t>56,04 - 84,65</t>
  </si>
  <si>
    <t>5,15 - 5,08</t>
  </si>
  <si>
    <t>186,03 - 271,60</t>
  </si>
  <si>
    <t>23,96 - 35,89</t>
  </si>
  <si>
    <t>2,85 - 2,80</t>
  </si>
  <si>
    <t>110,40 - 162,49</t>
  </si>
  <si>
    <t>20,01 - 29,75</t>
  </si>
  <si>
    <t>2,20 - 2,16</t>
  </si>
  <si>
    <t>2,24 - 2,42</t>
  </si>
  <si>
    <t>5,20 - 5,39</t>
  </si>
  <si>
    <t>194,0 - 282,0</t>
  </si>
  <si>
    <t>0,319 - 0,385</t>
  </si>
  <si>
    <t>10 - 12</t>
  </si>
  <si>
    <t>22,20 - 26,40</t>
  </si>
  <si>
    <t>28,33 - 33,69</t>
  </si>
  <si>
    <t>952,28 - 1122,56</t>
  </si>
  <si>
    <t>78,59 - 93,33</t>
  </si>
  <si>
    <t>5,80 - 5,77</t>
  </si>
  <si>
    <t>276,37 - 324,09</t>
  </si>
  <si>
    <t>32,27 - 38,20</t>
  </si>
  <si>
    <t>3,12 - 3,10</t>
  </si>
  <si>
    <t>165,44 - 194,28</t>
  </si>
  <si>
    <t>26,96 - 31,83</t>
  </si>
  <si>
    <t>2,42 - 2,40</t>
  </si>
  <si>
    <t>2,44 - 2,51</t>
  </si>
  <si>
    <t>5,89 - 5,98</t>
  </si>
  <si>
    <t>295,0 - 348,0</t>
  </si>
  <si>
    <t>0,376 - 0,374</t>
  </si>
  <si>
    <t>11 - 16</t>
  </si>
  <si>
    <t>27,37 - 39,07</t>
  </si>
  <si>
    <t>34,86 - 49,76</t>
  </si>
  <si>
    <t>1449,02 - 2026,08</t>
  </si>
  <si>
    <t>107,31 - 152,41</t>
  </si>
  <si>
    <t>6,45 - 6,38</t>
  </si>
  <si>
    <t>446,36 - 616,66</t>
  </si>
  <si>
    <t>45,98 - 64,80</t>
  </si>
  <si>
    <t>3,58 - 3,52</t>
  </si>
  <si>
    <t>263,84 - 366,99</t>
  </si>
  <si>
    <t>38,27 - 53,56</t>
  </si>
  <si>
    <t>2,75 - 2,72</t>
  </si>
  <si>
    <t>2,79 - 2,99</t>
  </si>
  <si>
    <t>6,51 - 6,71</t>
  </si>
  <si>
    <t>465,0 - 643,0</t>
  </si>
  <si>
    <t>0,392 - 0,388</t>
  </si>
  <si>
    <t>см2</t>
  </si>
  <si>
    <t>ШВЕЛЛЕРЫ СТАЛЬНЫЕ ГОРЯЧЕКАТАННЫЕ по ГОСТ 8240-89 (с уклоном внутренних граней полок)</t>
  </si>
  <si>
    <r>
      <t>Площадь сечения</t>
    </r>
    <r>
      <rPr>
        <b/>
        <sz val="10"/>
        <rFont val="Arial Cyr"/>
        <charset val="204"/>
      </rPr>
      <t>,</t>
    </r>
    <r>
      <rPr>
        <vertAlign val="superscript"/>
        <sz val="10"/>
        <rFont val="Arial Cyr"/>
        <family val="2"/>
        <charset val="204"/>
      </rPr>
      <t xml:space="preserve">   </t>
    </r>
    <r>
      <rPr>
        <b/>
        <vertAlign val="superscript"/>
        <sz val="12"/>
        <rFont val="Arial Cyr"/>
        <family val="2"/>
        <charset val="204"/>
      </rPr>
      <t/>
    </r>
  </si>
  <si>
    <r>
      <t xml:space="preserve">Ось       </t>
    </r>
    <r>
      <rPr>
        <b/>
        <sz val="8"/>
        <rFont val="Arial Cyr"/>
        <family val="2"/>
        <charset val="204"/>
      </rPr>
      <t xml:space="preserve"> x-x</t>
    </r>
    <r>
      <rPr>
        <b/>
        <sz val="10"/>
        <rFont val="Arial Cyr"/>
        <charset val="204"/>
      </rPr>
      <t/>
    </r>
  </si>
  <si>
    <r>
      <t xml:space="preserve">Ось         </t>
    </r>
    <r>
      <rPr>
        <b/>
        <sz val="8"/>
        <rFont val="Arial Cyr"/>
        <family val="2"/>
        <charset val="204"/>
      </rPr>
      <t>x-x</t>
    </r>
    <r>
      <rPr>
        <sz val="10"/>
        <rFont val="Arial Cyr"/>
        <charset val="204"/>
      </rPr>
      <t xml:space="preserve"> </t>
    </r>
    <r>
      <rPr>
        <vertAlign val="subscript"/>
        <sz val="10"/>
        <rFont val="Arial Cyr"/>
        <family val="2"/>
        <charset val="204"/>
      </rPr>
      <t xml:space="preserve">    </t>
    </r>
    <r>
      <rPr>
        <sz val="10"/>
        <rFont val="Arial Cyr"/>
        <charset val="204"/>
      </rPr>
      <t/>
    </r>
  </si>
  <si>
    <r>
      <t xml:space="preserve">Ось         </t>
    </r>
    <r>
      <rPr>
        <b/>
        <sz val="8"/>
        <rFont val="Arial Cyr"/>
        <family val="2"/>
        <charset val="204"/>
      </rPr>
      <t>x-x</t>
    </r>
    <r>
      <rPr>
        <vertAlign val="subscript"/>
        <sz val="10"/>
        <rFont val="Arial Cyr"/>
        <family val="2"/>
        <charset val="204"/>
      </rPr>
      <t xml:space="preserve">    </t>
    </r>
    <r>
      <rPr>
        <sz val="10"/>
        <rFont val="Arial Cyr"/>
        <charset val="204"/>
      </rPr>
      <t/>
    </r>
  </si>
  <si>
    <r>
      <t xml:space="preserve">Ось         </t>
    </r>
    <r>
      <rPr>
        <b/>
        <sz val="8"/>
        <rFont val="Arial Cyr"/>
        <family val="2"/>
        <charset val="204"/>
      </rPr>
      <t>x-x</t>
    </r>
    <r>
      <rPr>
        <sz val="10"/>
        <rFont val="Arial Cyr"/>
        <charset val="204"/>
      </rPr>
      <t xml:space="preserve"> </t>
    </r>
    <r>
      <rPr>
        <vertAlign val="subscript"/>
        <sz val="10"/>
        <rFont val="Arial Cyr"/>
        <family val="2"/>
        <charset val="204"/>
      </rPr>
      <t xml:space="preserve">      </t>
    </r>
    <r>
      <rPr>
        <sz val="10"/>
        <rFont val="Arial Cyr"/>
        <charset val="204"/>
      </rPr>
      <t/>
    </r>
  </si>
  <si>
    <r>
      <t xml:space="preserve">Ось       </t>
    </r>
    <r>
      <rPr>
        <b/>
        <sz val="8"/>
        <rFont val="Arial Cyr"/>
        <family val="2"/>
        <charset val="204"/>
      </rPr>
      <t xml:space="preserve"> y-y</t>
    </r>
    <r>
      <rPr>
        <vertAlign val="subscript"/>
        <sz val="10"/>
        <rFont val="Arial Cyr"/>
        <family val="2"/>
        <charset val="204"/>
      </rPr>
      <t xml:space="preserve">        </t>
    </r>
    <r>
      <rPr>
        <sz val="10"/>
        <rFont val="Arial Cyr"/>
        <charset val="204"/>
      </rPr>
      <t xml:space="preserve"> </t>
    </r>
    <r>
      <rPr>
        <b/>
        <sz val="10"/>
        <rFont val="Arial Cyr"/>
        <charset val="204"/>
      </rPr>
      <t/>
    </r>
  </si>
  <si>
    <r>
      <t xml:space="preserve">Ось         </t>
    </r>
    <r>
      <rPr>
        <b/>
        <sz val="8"/>
        <rFont val="Arial Cyr"/>
        <family val="2"/>
        <charset val="204"/>
      </rPr>
      <t>y-y</t>
    </r>
    <r>
      <rPr>
        <vertAlign val="subscript"/>
        <sz val="10"/>
        <rFont val="Arial Cyr"/>
        <family val="2"/>
        <charset val="204"/>
      </rPr>
      <t xml:space="preserve">        </t>
    </r>
    <r>
      <rPr>
        <sz val="10"/>
        <rFont val="Arial Cyr"/>
        <charset val="204"/>
      </rPr>
      <t/>
    </r>
  </si>
  <si>
    <t>профиля</t>
  </si>
  <si>
    <t>h</t>
  </si>
  <si>
    <t>s</t>
  </si>
  <si>
    <r>
      <t>W</t>
    </r>
    <r>
      <rPr>
        <b/>
        <vertAlign val="subscript"/>
        <sz val="12"/>
        <rFont val="Arial Cyr"/>
        <family val="2"/>
        <charset val="204"/>
      </rPr>
      <t>x</t>
    </r>
  </si>
  <si>
    <r>
      <t>i</t>
    </r>
    <r>
      <rPr>
        <b/>
        <vertAlign val="subscript"/>
        <sz val="12"/>
        <rFont val="Arial Cyr"/>
        <family val="2"/>
        <charset val="204"/>
      </rPr>
      <t>x</t>
    </r>
  </si>
  <si>
    <r>
      <t>S</t>
    </r>
    <r>
      <rPr>
        <b/>
        <vertAlign val="subscript"/>
        <sz val="12"/>
        <rFont val="Arial Cyr"/>
        <family val="2"/>
        <charset val="204"/>
      </rPr>
      <t>x</t>
    </r>
  </si>
  <si>
    <r>
      <t>W</t>
    </r>
    <r>
      <rPr>
        <b/>
        <vertAlign val="subscript"/>
        <sz val="12"/>
        <rFont val="Arial Cyr"/>
        <family val="2"/>
        <charset val="204"/>
      </rPr>
      <t>y</t>
    </r>
  </si>
  <si>
    <r>
      <t>Z</t>
    </r>
    <r>
      <rPr>
        <b/>
        <vertAlign val="subscript"/>
        <sz val="12"/>
        <rFont val="Arial Cyr"/>
        <family val="2"/>
        <charset val="204"/>
      </rPr>
      <t>0</t>
    </r>
  </si>
  <si>
    <r>
      <t>см</t>
    </r>
    <r>
      <rPr>
        <vertAlign val="superscript"/>
        <sz val="10"/>
        <color indexed="17"/>
        <rFont val="Arial Cyr"/>
        <family val="2"/>
        <charset val="204"/>
      </rPr>
      <t>3</t>
    </r>
  </si>
  <si>
    <t>16а</t>
  </si>
  <si>
    <t>18а</t>
  </si>
  <si>
    <t>№ швеллера</t>
  </si>
  <si>
    <t>h - высота швеллера (мм)</t>
  </si>
  <si>
    <t>b - ширина  полки (мм)</t>
  </si>
  <si>
    <t>s - толщина стенки (мм)</t>
  </si>
  <si>
    <t>r - радиус закругления полки (мм)</t>
  </si>
  <si>
    <t>Результат раскрывающегося списка 3</t>
  </si>
  <si>
    <t>Sx - статический момент полусечения (см3)</t>
  </si>
  <si>
    <t>Zo - расстояние от оси Y-Y до наружной грани стенки (см)</t>
  </si>
  <si>
    <r>
      <t>Масса стали принята равной 7860 кг/м</t>
    </r>
    <r>
      <rPr>
        <vertAlign val="superscript"/>
        <sz val="10"/>
        <rFont val="Arial Cyr"/>
        <family val="2"/>
        <charset val="204"/>
      </rPr>
      <t xml:space="preserve">3 </t>
    </r>
    <r>
      <rPr>
        <sz val="10"/>
        <rFont val="Arial Cyr"/>
        <family val="2"/>
        <charset val="204"/>
      </rPr>
      <t>или</t>
    </r>
    <r>
      <rPr>
        <b/>
        <sz val="12"/>
        <rFont val="Arial Cyr"/>
        <charset val="204"/>
      </rPr>
      <t xml:space="preserve"> 0,00786 кг/см</t>
    </r>
    <r>
      <rPr>
        <b/>
        <vertAlign val="superscript"/>
        <sz val="12"/>
        <rFont val="Arial Cyr"/>
        <charset val="204"/>
      </rPr>
      <t>3</t>
    </r>
    <r>
      <rPr>
        <vertAlign val="superscript"/>
        <sz val="10"/>
        <rFont val="Arial Cyr"/>
        <family val="2"/>
        <charset val="204"/>
      </rPr>
      <t xml:space="preserve"> </t>
    </r>
    <r>
      <rPr>
        <sz val="10"/>
        <rFont val="Arial Cyr"/>
        <family val="2"/>
        <charset val="204"/>
      </rPr>
      <t>или 7,86 г/см</t>
    </r>
    <r>
      <rPr>
        <vertAlign val="superscript"/>
        <sz val="10"/>
        <rFont val="Arial Cyr"/>
        <family val="2"/>
        <charset val="204"/>
      </rPr>
      <t>3</t>
    </r>
  </si>
  <si>
    <r>
      <t>Переводной коэффициент M</t>
    </r>
    <r>
      <rPr>
        <vertAlign val="subscript"/>
        <sz val="8"/>
        <rFont val="Arial Cyr"/>
        <family val="2"/>
        <charset val="204"/>
      </rPr>
      <t>асса</t>
    </r>
    <r>
      <rPr>
        <sz val="8"/>
        <rFont val="Arial Cyr"/>
        <family val="2"/>
        <charset val="204"/>
      </rPr>
      <t>/S</t>
    </r>
    <r>
      <rPr>
        <vertAlign val="subscript"/>
        <sz val="8"/>
        <rFont val="Arial Cyr"/>
        <family val="2"/>
        <charset val="204"/>
      </rPr>
      <t xml:space="preserve">площ. Сечения </t>
    </r>
    <r>
      <rPr>
        <sz val="8"/>
        <rFont val="Arial Cyr"/>
        <family val="2"/>
        <charset val="204"/>
      </rPr>
      <t xml:space="preserve">= </t>
    </r>
  </si>
  <si>
    <t>ШВЕЛЛЕРЫ СТАЛЬНЫЕ ГОРЯЧЕКАТАННЫЕ по ГОСТ 8240-89 (с параллельными гранями полок)</t>
  </si>
  <si>
    <t>5 П</t>
  </si>
  <si>
    <t>6,5 П</t>
  </si>
  <si>
    <t>8 П</t>
  </si>
  <si>
    <t>10 П</t>
  </si>
  <si>
    <t>12 П</t>
  </si>
  <si>
    <t>14 П</t>
  </si>
  <si>
    <t>16 П</t>
  </si>
  <si>
    <t>16а П</t>
  </si>
  <si>
    <t>18 П</t>
  </si>
  <si>
    <t>18а П</t>
  </si>
  <si>
    <t>20 П</t>
  </si>
  <si>
    <t>22 П</t>
  </si>
  <si>
    <t>24 П</t>
  </si>
  <si>
    <t>27 П</t>
  </si>
  <si>
    <t>30 П</t>
  </si>
  <si>
    <t>33 П</t>
  </si>
  <si>
    <t>36 П</t>
  </si>
  <si>
    <t>40 П</t>
  </si>
  <si>
    <t>Результат раскрывающегося списка 1</t>
  </si>
  <si>
    <t>…ШВЕЛЛЕРЫ СТАЛЬНЫЕ СПЕЦИАЛЬНЫЕ по ГОСТ 19425-74</t>
  </si>
  <si>
    <t>18С</t>
  </si>
  <si>
    <t>18Са</t>
  </si>
  <si>
    <t>20С</t>
  </si>
  <si>
    <t>30С</t>
  </si>
  <si>
    <r>
      <t>Переводной коэффициент M</t>
    </r>
    <r>
      <rPr>
        <vertAlign val="subscript"/>
        <sz val="10"/>
        <rFont val="Arial Cyr"/>
        <family val="2"/>
        <charset val="204"/>
      </rPr>
      <t>асса</t>
    </r>
    <r>
      <rPr>
        <sz val="10"/>
        <rFont val="Arial Cyr"/>
        <charset val="204"/>
      </rPr>
      <t>/S</t>
    </r>
    <r>
      <rPr>
        <vertAlign val="subscript"/>
        <sz val="10"/>
        <rFont val="Arial Cyr"/>
        <family val="2"/>
        <charset val="204"/>
      </rPr>
      <t xml:space="preserve">площ. Сечения </t>
    </r>
    <r>
      <rPr>
        <sz val="10"/>
        <rFont val="Arial Cyr"/>
        <family val="2"/>
        <charset val="204"/>
      </rPr>
      <t xml:space="preserve">= </t>
    </r>
  </si>
  <si>
    <t>ДВУТАВРЫ СТАЛЬНЫЕ ГОРЯЧЕКАТАННЫЕ по ГОСТ 8239-89</t>
  </si>
  <si>
    <t>№ двутавра</t>
  </si>
  <si>
    <t>h - высота  двутавра (мм)</t>
  </si>
  <si>
    <t>ДВУТАВРЫ СТАЛЬНЫЕ ГОРЯЧЕКАТАННЫЕ С ПАРАЛЛЕЛЬНЫМИ ГРАНЯМИ ПОЛОК</t>
  </si>
  <si>
    <t xml:space="preserve">(нормальные двутавры) по ГОСТ 26020-83 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</si>
  <si>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</si>
  <si>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</si>
  <si>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</si>
  <si>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</si>
  <si>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</si>
  <si>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</si>
  <si>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</si>
  <si>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</si>
  <si>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</si>
  <si>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</si>
  <si>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23Б1</t>
  </si>
  <si>
    <t>26Б1</t>
  </si>
  <si>
    <t>26Б2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</si>
  <si>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</si>
  <si>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</si>
  <si>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</si>
  <si>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</si>
  <si>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</si>
  <si>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</si>
  <si>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</si>
  <si>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</si>
  <si>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</si>
  <si>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</si>
  <si>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55Б1</t>
  </si>
  <si>
    <t>55Б2</t>
  </si>
  <si>
    <t>60Б1</t>
  </si>
  <si>
    <t>60Б2</t>
  </si>
  <si>
    <t>70Б1</t>
  </si>
  <si>
    <t>70Б2</t>
  </si>
  <si>
    <t>80Б1</t>
  </si>
  <si>
    <t>80Б2</t>
  </si>
  <si>
    <t>90Б1</t>
  </si>
  <si>
    <t>90Б2</t>
  </si>
  <si>
    <t>100Б1</t>
  </si>
  <si>
    <t>100Б2</t>
  </si>
  <si>
    <t>100Б3</t>
  </si>
  <si>
    <t>100Б4</t>
  </si>
  <si>
    <t>r - радиус сопряжения (мм)</t>
  </si>
  <si>
    <t xml:space="preserve">(широкополочные двутавры) по ГОСТ 26020-83 </t>
  </si>
  <si>
    <t>20Ш1</t>
  </si>
  <si>
    <t>23Ш1</t>
  </si>
  <si>
    <t>26Ш1</t>
  </si>
  <si>
    <t>26Ш2</t>
  </si>
  <si>
    <t>30Ш1</t>
  </si>
  <si>
    <t>30Ш2</t>
  </si>
  <si>
    <t>30Ш3</t>
  </si>
  <si>
    <t>35Ш1</t>
  </si>
  <si>
    <t>35Ш2</t>
  </si>
  <si>
    <t>35Ш3</t>
  </si>
  <si>
    <t>40Ш1</t>
  </si>
  <si>
    <t>40Ш2</t>
  </si>
  <si>
    <t>40Ш3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</si>
  <si>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</si>
  <si>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</si>
  <si>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</si>
  <si>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</si>
  <si>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</si>
  <si>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</si>
  <si>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</si>
  <si>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</si>
  <si>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</si>
  <si>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</si>
  <si>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</si>
  <si>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</si>
  <si>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</si>
  <si>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20К2</t>
  </si>
  <si>
    <t xml:space="preserve">(колонные двутавры) по ГОСТ 26020-83 </t>
  </si>
  <si>
    <t>20К1</t>
  </si>
  <si>
    <t>23К1</t>
  </si>
  <si>
    <t>23К2</t>
  </si>
  <si>
    <t>26К1</t>
  </si>
  <si>
    <t>26К2</t>
  </si>
  <si>
    <t>26К3</t>
  </si>
  <si>
    <t>30К1</t>
  </si>
  <si>
    <t>30К2</t>
  </si>
  <si>
    <t>30К3</t>
  </si>
  <si>
    <t>35К1</t>
  </si>
  <si>
    <t>35К2</t>
  </si>
  <si>
    <t>35К3</t>
  </si>
  <si>
    <t>40К1</t>
  </si>
  <si>
    <t>40К2</t>
  </si>
  <si>
    <t>40К3</t>
  </si>
  <si>
    <t>40К4</t>
  </si>
  <si>
    <t>40К5</t>
  </si>
  <si>
    <t xml:space="preserve">(двутавры дополнительной серии) по ГОСТ 26020-83 </t>
  </si>
  <si>
    <t>24ДБ1</t>
  </si>
  <si>
    <t>27ДБ1</t>
  </si>
  <si>
    <t>36ДБ1</t>
  </si>
  <si>
    <t>35ДБ1</t>
  </si>
  <si>
    <t>40ДБ1</t>
  </si>
  <si>
    <t>45ДБ1</t>
  </si>
  <si>
    <t>45ДБ2</t>
  </si>
  <si>
    <t>30ДШ1</t>
  </si>
  <si>
    <t>40ДШ1</t>
  </si>
  <si>
    <t>50ДШ1</t>
  </si>
  <si>
    <t xml:space="preserve">БАЛКИ ДВУТАВРОВЫЕ …СТАЛЬНЫЕ СПЕЦИАЛЬНЫЕ по ГОСТ 19425-74 </t>
  </si>
  <si>
    <t>14С</t>
  </si>
  <si>
    <t>20Са</t>
  </si>
  <si>
    <t>22С</t>
  </si>
  <si>
    <t>27С</t>
  </si>
  <si>
    <t>27Са</t>
  </si>
  <si>
    <t>36С</t>
  </si>
  <si>
    <t>18М</t>
  </si>
  <si>
    <t>24М</t>
  </si>
  <si>
    <t>30М</t>
  </si>
  <si>
    <t>36М</t>
  </si>
  <si>
    <t>45М</t>
  </si>
  <si>
    <r>
      <t>масса 1м</t>
    </r>
    <r>
      <rPr>
        <vertAlign val="superscript"/>
        <sz val="10"/>
        <rFont val="Arial Cyr"/>
        <family val="2"/>
        <charset val="204"/>
      </rPr>
      <t>2</t>
    </r>
  </si>
  <si>
    <t>масса листа площадь</t>
  </si>
  <si>
    <r>
      <t>м</t>
    </r>
    <r>
      <rPr>
        <vertAlign val="superscript"/>
        <sz val="10"/>
        <rFont val="Arial Cyr"/>
        <family val="2"/>
        <charset val="204"/>
      </rPr>
      <t>2</t>
    </r>
  </si>
  <si>
    <t xml:space="preserve">длина </t>
  </si>
  <si>
    <r>
      <t>n</t>
    </r>
    <r>
      <rPr>
        <sz val="10"/>
        <rFont val="Arial Cyr"/>
        <charset val="204"/>
      </rPr>
      <t>=</t>
    </r>
  </si>
  <si>
    <r>
      <t>масса</t>
    </r>
    <r>
      <rPr>
        <b/>
        <sz val="12"/>
        <rFont val="Arial Cyr"/>
        <charset val="204"/>
      </rPr>
      <t xml:space="preserve"> n</t>
    </r>
    <r>
      <rPr>
        <sz val="10"/>
        <rFont val="Arial Cyr"/>
        <charset val="204"/>
      </rPr>
      <t xml:space="preserve"> м</t>
    </r>
    <r>
      <rPr>
        <vertAlign val="superscript"/>
        <sz val="10"/>
        <rFont val="Arial Cyr"/>
        <family val="2"/>
        <charset val="204"/>
      </rPr>
      <t>2</t>
    </r>
  </si>
  <si>
    <t>толщина</t>
  </si>
  <si>
    <t xml:space="preserve">ширина </t>
  </si>
  <si>
    <t>A1</t>
  </si>
  <si>
    <t>Dlina1</t>
  </si>
  <si>
    <t>Shirina05_06</t>
  </si>
  <si>
    <t>A</t>
  </si>
  <si>
    <t>A2</t>
  </si>
  <si>
    <t>Dlina2</t>
  </si>
  <si>
    <t>A3</t>
  </si>
  <si>
    <t>Dlina3</t>
  </si>
  <si>
    <t>A4</t>
  </si>
  <si>
    <t>Shirina065_075</t>
  </si>
  <si>
    <t>B1</t>
  </si>
  <si>
    <t>Dlina9</t>
  </si>
  <si>
    <t>B2</t>
  </si>
  <si>
    <t>B3</t>
  </si>
  <si>
    <t>Shirina08_09</t>
  </si>
  <si>
    <t>C</t>
  </si>
  <si>
    <t>B4</t>
  </si>
  <si>
    <t>C1</t>
  </si>
  <si>
    <t>Shirina1</t>
  </si>
  <si>
    <t>D</t>
  </si>
  <si>
    <t>C2</t>
  </si>
  <si>
    <t>Shirina12_14</t>
  </si>
  <si>
    <t>E</t>
  </si>
  <si>
    <t>C3</t>
  </si>
  <si>
    <t>C4</t>
  </si>
  <si>
    <t>C5</t>
  </si>
  <si>
    <t>Dlina4</t>
  </si>
  <si>
    <t>Shirina15_18</t>
  </si>
  <si>
    <t>C6</t>
  </si>
  <si>
    <t>D1</t>
  </si>
  <si>
    <t>D2</t>
  </si>
  <si>
    <t>Shirina20_28</t>
  </si>
  <si>
    <t>G</t>
  </si>
  <si>
    <t>D3</t>
  </si>
  <si>
    <t>D4</t>
  </si>
  <si>
    <t>D5</t>
  </si>
  <si>
    <t>D6</t>
  </si>
  <si>
    <t>Dlina5</t>
  </si>
  <si>
    <t>Shirina30_39</t>
  </si>
  <si>
    <t>H</t>
  </si>
  <si>
    <t>D7</t>
  </si>
  <si>
    <t>Dlina6</t>
  </si>
  <si>
    <t>D8</t>
  </si>
  <si>
    <t>Dlina7</t>
  </si>
  <si>
    <t>D9</t>
  </si>
  <si>
    <t>Dlina8</t>
  </si>
  <si>
    <t>D10</t>
  </si>
  <si>
    <t>E1</t>
  </si>
  <si>
    <t>Shirina40_50</t>
  </si>
  <si>
    <t>E2</t>
  </si>
  <si>
    <t>E3</t>
  </si>
  <si>
    <t>E4</t>
  </si>
  <si>
    <t>Shirina60_70</t>
  </si>
  <si>
    <t>J</t>
  </si>
  <si>
    <t>E5</t>
  </si>
  <si>
    <t>E6</t>
  </si>
  <si>
    <t>Shirina80_100</t>
  </si>
  <si>
    <t>K</t>
  </si>
  <si>
    <t>E7</t>
  </si>
  <si>
    <t>E8</t>
  </si>
  <si>
    <t>E9</t>
  </si>
  <si>
    <t>Shirina110_120</t>
  </si>
  <si>
    <t>L</t>
  </si>
  <si>
    <t>E10</t>
  </si>
  <si>
    <t>E11</t>
  </si>
  <si>
    <t>Shirina130_250</t>
  </si>
  <si>
    <t>M</t>
  </si>
  <si>
    <t>E12</t>
  </si>
  <si>
    <t>Dlina12</t>
  </si>
  <si>
    <t>F1</t>
  </si>
  <si>
    <t>F2</t>
  </si>
  <si>
    <t>F3</t>
  </si>
  <si>
    <t>F4</t>
  </si>
  <si>
    <t>Dlina10</t>
  </si>
  <si>
    <t>F5</t>
  </si>
  <si>
    <t>F6</t>
  </si>
  <si>
    <t>F7</t>
  </si>
  <si>
    <t>F8</t>
  </si>
  <si>
    <t>F9</t>
  </si>
  <si>
    <t>F10</t>
  </si>
  <si>
    <t>Shirina260_400</t>
  </si>
  <si>
    <t>N</t>
  </si>
  <si>
    <t>F11</t>
  </si>
  <si>
    <t>F12</t>
  </si>
  <si>
    <t>F13</t>
  </si>
  <si>
    <t>F14</t>
  </si>
  <si>
    <t>F15</t>
  </si>
  <si>
    <t>G1</t>
  </si>
  <si>
    <t>G2</t>
  </si>
  <si>
    <t>G3</t>
  </si>
  <si>
    <t>Shirina420_1600</t>
  </si>
  <si>
    <t>O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</si>
  <si>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</si>
  <si>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</si>
  <si>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</si>
  <si>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</si>
  <si>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</si>
  <si>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</si>
  <si>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</si>
  <si>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</si>
  <si>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</si>
  <si>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</si>
  <si>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</si>
  <si>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</si>
  <si>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</si>
  <si>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</si>
  <si>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</si>
  <si>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</si>
  <si>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</si>
  <si>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</si>
  <si>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</si>
  <si>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</si>
  <si>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</si>
  <si>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</si>
  <si>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</si>
  <si>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</si>
  <si>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</si>
  <si>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</si>
  <si>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</si>
  <si>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</si>
  <si>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</si>
  <si>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</si>
  <si>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</si>
  <si>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</si>
  <si>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</si>
  <si>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</si>
  <si>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</si>
  <si>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</si>
  <si>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</si>
  <si>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</si>
  <si>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</si>
  <si>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</si>
  <si>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</si>
  <si>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</si>
  <si>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</si>
  <si>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</si>
  <si>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</si>
  <si>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</si>
  <si>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</si>
  <si>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</si>
  <si>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</si>
  <si>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</si>
  <si>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</si>
  <si>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</si>
  <si>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</si>
  <si>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</si>
  <si>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</si>
  <si>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</si>
  <si>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</si>
  <si>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</si>
  <si>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</si>
  <si>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</si>
  <si>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</si>
  <si>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</si>
  <si>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</si>
  <si>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</si>
  <si>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</si>
  <si>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</si>
  <si>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</si>
  <si>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</si>
  <si>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</si>
  <si>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</si>
  <si>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</si>
  <si>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</si>
  <si>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</si>
  <si>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</si>
  <si>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</si>
  <si>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</si>
  <si>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</si>
  <si>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Dlina11</t>
  </si>
  <si>
    <t>K14</t>
  </si>
  <si>
    <t>Dlina21</t>
  </si>
  <si>
    <t>K15</t>
  </si>
  <si>
    <t>K16</t>
  </si>
  <si>
    <t>K17</t>
  </si>
  <si>
    <t>K18</t>
  </si>
  <si>
    <t>K19</t>
  </si>
  <si>
    <t>K20</t>
  </si>
  <si>
    <t>K21</t>
  </si>
  <si>
    <t>K22</t>
  </si>
  <si>
    <t>Dlina29</t>
  </si>
  <si>
    <t>K23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</si>
  <si>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</si>
  <si>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</si>
  <si>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</si>
  <si>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</si>
  <si>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</si>
  <si>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</si>
  <si>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</si>
  <si>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</si>
  <si>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</si>
  <si>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</si>
  <si>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</si>
  <si>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Dlina19</t>
  </si>
  <si>
    <t>L12</t>
  </si>
  <si>
    <t>L13</t>
  </si>
  <si>
    <t>L14</t>
  </si>
  <si>
    <t>Dlina18</t>
  </si>
  <si>
    <t>L15</t>
  </si>
  <si>
    <t>Dlina26</t>
  </si>
  <si>
    <t>L16</t>
  </si>
  <si>
    <t>M1</t>
  </si>
  <si>
    <t>Dlina13</t>
  </si>
  <si>
    <t>M2</t>
  </si>
  <si>
    <t>M3</t>
  </si>
  <si>
    <t>Dlina15</t>
  </si>
  <si>
    <t>M4</t>
  </si>
  <si>
    <t>M5</t>
  </si>
  <si>
    <t>M6</t>
  </si>
  <si>
    <t>M7</t>
  </si>
  <si>
    <t>Dlina20</t>
  </si>
  <si>
    <t>M8</t>
  </si>
  <si>
    <t>Dlina24</t>
  </si>
  <si>
    <t>M9</t>
  </si>
  <si>
    <t>Dlina27</t>
  </si>
  <si>
    <t>M10</t>
  </si>
  <si>
    <t>M11</t>
  </si>
  <si>
    <t>M12</t>
  </si>
  <si>
    <t>Dlina31</t>
  </si>
  <si>
    <t>M13</t>
  </si>
  <si>
    <t>Dlina30</t>
  </si>
  <si>
    <t>M14</t>
  </si>
  <si>
    <t>M15</t>
  </si>
  <si>
    <t>M16</t>
  </si>
  <si>
    <t>M17</t>
  </si>
  <si>
    <t>Dlina22</t>
  </si>
  <si>
    <t>M18</t>
  </si>
  <si>
    <t>M19</t>
  </si>
  <si>
    <t>N1</t>
  </si>
  <si>
    <t>N2</t>
  </si>
  <si>
    <t>N3</t>
  </si>
  <si>
    <t>N4</t>
  </si>
  <si>
    <t>N5</t>
  </si>
  <si>
    <t>N6</t>
  </si>
  <si>
    <t>Dlina25</t>
  </si>
  <si>
    <t>N7</t>
  </si>
  <si>
    <t>N8</t>
  </si>
  <si>
    <t>N9</t>
  </si>
  <si>
    <t>N10</t>
  </si>
  <si>
    <t>N11</t>
  </si>
  <si>
    <t>Dlina32</t>
  </si>
  <si>
    <t>N12</t>
  </si>
  <si>
    <t>N13</t>
  </si>
  <si>
    <t>Dlina28</t>
  </si>
  <si>
    <t>N14</t>
  </si>
  <si>
    <t>N15</t>
  </si>
  <si>
    <t>Dlina23</t>
  </si>
  <si>
    <t>N16</t>
  </si>
  <si>
    <t>N17</t>
  </si>
  <si>
    <t>N18</t>
  </si>
  <si>
    <t>N19</t>
  </si>
  <si>
    <t>N20</t>
  </si>
  <si>
    <t>N21</t>
  </si>
  <si>
    <t>N22</t>
  </si>
  <si>
    <t>O1</t>
  </si>
  <si>
    <t>Dlina14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</si>
  <si>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</si>
  <si>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</si>
  <si>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</si>
  <si>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</si>
  <si>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</si>
  <si>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</si>
  <si>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</si>
  <si>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</si>
  <si>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</si>
  <si>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</si>
  <si>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</si>
  <si>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</si>
  <si>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</si>
  <si>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</si>
  <si>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</si>
  <si>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</si>
  <si>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</si>
  <si>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</si>
  <si>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</si>
  <si>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масса 1 трубы</t>
  </si>
  <si>
    <t>полная длина 1 трубы</t>
  </si>
  <si>
    <t>колличество труб</t>
  </si>
  <si>
    <t>длина трассы</t>
  </si>
  <si>
    <t>количество труб на трассе</t>
  </si>
  <si>
    <t>введите массу упаковки</t>
  </si>
  <si>
    <t>введите кол. стержней в упаковке</t>
  </si>
  <si>
    <t>7,8,9,10</t>
  </si>
  <si>
    <t>68*</t>
  </si>
  <si>
    <t>Трубы стальные прямоугольные</t>
  </si>
  <si>
    <t>6942.3</t>
  </si>
  <si>
    <t>Сталь горячекатанная для армирования железобетонных конструкций</t>
  </si>
  <si>
    <t>п/п (№ листа)</t>
  </si>
  <si>
    <t>O21</t>
  </si>
  <si>
    <t>O22</t>
  </si>
  <si>
    <t>Dlina17</t>
  </si>
  <si>
    <t>O23</t>
  </si>
  <si>
    <t>Dlina16</t>
  </si>
  <si>
    <r>
      <t xml:space="preserve">Сталь </t>
    </r>
    <r>
      <rPr>
        <sz val="7"/>
        <rFont val="Arial Cyr"/>
        <family val="2"/>
        <charset val="204"/>
      </rPr>
      <t>толсто</t>
    </r>
    <r>
      <rPr>
        <sz val="10"/>
        <rFont val="Arial Cyr"/>
        <family val="2"/>
        <charset val="204"/>
      </rPr>
      <t xml:space="preserve">листовая горячекатанная </t>
    </r>
  </si>
  <si>
    <r>
      <t xml:space="preserve">Прокат </t>
    </r>
    <r>
      <rPr>
        <sz val="7"/>
        <rFont val="Arial Cyr"/>
        <family val="2"/>
        <charset val="204"/>
      </rPr>
      <t>тонко</t>
    </r>
    <r>
      <rPr>
        <sz val="10"/>
        <rFont val="Arial Cyr"/>
        <family val="2"/>
        <charset val="204"/>
      </rPr>
      <t>листовой холоднокатанный</t>
    </r>
  </si>
  <si>
    <t>Сортамент по ГОСТ 19903-74</t>
  </si>
  <si>
    <t>Сортамент по ГОСТ 19904-90</t>
  </si>
  <si>
    <t xml:space="preserve"> ТОЛЩИНА</t>
  </si>
  <si>
    <t xml:space="preserve">   ШИРИНА</t>
  </si>
  <si>
    <t xml:space="preserve">  ДЛИНА</t>
  </si>
  <si>
    <t xml:space="preserve"> листа ММ</t>
  </si>
  <si>
    <t xml:space="preserve">   листа ММ</t>
  </si>
  <si>
    <t>Масса  листа =</t>
  </si>
  <si>
    <t>Площадь листа =</t>
  </si>
  <si>
    <r>
      <t>м</t>
    </r>
    <r>
      <rPr>
        <b/>
        <vertAlign val="superscript"/>
        <sz val="10"/>
        <rFont val="Arial Cyr"/>
        <family val="2"/>
        <charset val="204"/>
      </rPr>
      <t>2</t>
    </r>
  </si>
  <si>
    <t>Масса  1 м2 =</t>
  </si>
  <si>
    <r>
      <t>Масса  1 м</t>
    </r>
    <r>
      <rPr>
        <vertAlign val="superscript"/>
        <sz val="10"/>
        <rFont val="Arial Cyr"/>
        <family val="2"/>
        <charset val="204"/>
      </rPr>
      <t>2</t>
    </r>
    <r>
      <rPr>
        <sz val="10"/>
        <rFont val="Arial Cyr"/>
        <charset val="204"/>
      </rPr>
      <t xml:space="preserve"> =</t>
    </r>
  </si>
  <si>
    <r>
      <t>n</t>
    </r>
    <r>
      <rPr>
        <sz val="10"/>
        <color indexed="57"/>
        <rFont val="Arial Cyr"/>
        <charset val="204"/>
      </rPr>
      <t xml:space="preserve"> =</t>
    </r>
  </si>
  <si>
    <r>
      <t>м</t>
    </r>
    <r>
      <rPr>
        <vertAlign val="superscript"/>
        <sz val="10"/>
        <color indexed="57"/>
        <rFont val="Arial Cyr"/>
        <family val="2"/>
        <charset val="204"/>
      </rPr>
      <t>2</t>
    </r>
  </si>
  <si>
    <r>
      <t xml:space="preserve">Масса  </t>
    </r>
    <r>
      <rPr>
        <b/>
        <sz val="12"/>
        <color indexed="57"/>
        <rFont val="Arial Cyr"/>
        <family val="2"/>
        <charset val="204"/>
      </rPr>
      <t>n</t>
    </r>
    <r>
      <rPr>
        <sz val="10"/>
        <color indexed="57"/>
        <rFont val="Arial Cyr"/>
        <charset val="204"/>
      </rPr>
      <t xml:space="preserve"> м</t>
    </r>
    <r>
      <rPr>
        <vertAlign val="superscript"/>
        <sz val="10"/>
        <color indexed="57"/>
        <rFont val="Arial Cyr"/>
        <family val="2"/>
        <charset val="204"/>
      </rPr>
      <t>2</t>
    </r>
    <r>
      <rPr>
        <sz val="10"/>
        <color indexed="57"/>
        <rFont val="Arial Cyr"/>
        <charset val="204"/>
      </rPr>
      <t xml:space="preserve"> =</t>
    </r>
  </si>
  <si>
    <r>
      <t>m</t>
    </r>
    <r>
      <rPr>
        <sz val="10"/>
        <color indexed="57"/>
        <rFont val="Arial Cyr"/>
        <charset val="204"/>
      </rPr>
      <t xml:space="preserve"> =</t>
    </r>
  </si>
  <si>
    <r>
      <t>Площадь</t>
    </r>
    <r>
      <rPr>
        <sz val="10"/>
        <color indexed="57"/>
        <rFont val="Arial Cyr"/>
        <charset val="204"/>
      </rPr>
      <t xml:space="preserve"> </t>
    </r>
    <r>
      <rPr>
        <b/>
        <sz val="12"/>
        <color indexed="57"/>
        <rFont val="Arial Cyr"/>
        <family val="2"/>
        <charset val="204"/>
      </rPr>
      <t>m</t>
    </r>
    <r>
      <rPr>
        <sz val="9"/>
        <color indexed="57"/>
        <rFont val="Arial Cyr"/>
        <charset val="204"/>
      </rPr>
      <t xml:space="preserve"> </t>
    </r>
    <r>
      <rPr>
        <sz val="9"/>
        <color indexed="57"/>
        <rFont val="Courier New Cyr"/>
        <family val="3"/>
        <charset val="204"/>
      </rPr>
      <t>кг</t>
    </r>
    <r>
      <rPr>
        <sz val="9"/>
        <color indexed="57"/>
        <rFont val="Arial Cyr"/>
        <charset val="204"/>
      </rPr>
      <t xml:space="preserve"> =</t>
    </r>
  </si>
  <si>
    <t>ширина</t>
  </si>
  <si>
    <t>объемный вес</t>
  </si>
  <si>
    <r>
      <t>кг/м</t>
    </r>
    <r>
      <rPr>
        <vertAlign val="superscript"/>
        <sz val="10"/>
        <rFont val="Arial Cyr"/>
        <family val="2"/>
        <charset val="204"/>
      </rPr>
      <t>3</t>
    </r>
  </si>
  <si>
    <t>длина</t>
  </si>
  <si>
    <r>
      <t>масса 1м</t>
    </r>
    <r>
      <rPr>
        <vertAlign val="superscript"/>
        <sz val="10"/>
        <rFont val="Arial Cyr"/>
        <family val="2"/>
        <charset val="204"/>
      </rPr>
      <t>2</t>
    </r>
    <r>
      <rPr>
        <sz val="10"/>
        <rFont val="Arial Cyr"/>
        <charset val="204"/>
      </rPr>
      <t>=</t>
    </r>
  </si>
  <si>
    <t>масса листа=</t>
  </si>
  <si>
    <t>площадь листа=</t>
  </si>
  <si>
    <t>ширина1</t>
  </si>
  <si>
    <t>длина1</t>
  </si>
  <si>
    <t>длина3</t>
  </si>
  <si>
    <t>длина5</t>
  </si>
  <si>
    <t>длина7</t>
  </si>
  <si>
    <t>ширина2</t>
  </si>
  <si>
    <t>A5</t>
  </si>
  <si>
    <t>длина9</t>
  </si>
  <si>
    <t>A6</t>
  </si>
  <si>
    <t>длина11</t>
  </si>
  <si>
    <t>A7</t>
  </si>
  <si>
    <t>A8</t>
  </si>
  <si>
    <t>A9</t>
  </si>
  <si>
    <t>ширина3</t>
  </si>
  <si>
    <t>A10</t>
  </si>
  <si>
    <t>ширина4</t>
  </si>
  <si>
    <t>A11</t>
  </si>
  <si>
    <t>A12</t>
  </si>
  <si>
    <t>ширина5</t>
  </si>
  <si>
    <t>A13</t>
  </si>
  <si>
    <t>длина12</t>
  </si>
  <si>
    <t>A14</t>
  </si>
  <si>
    <t>ширина6</t>
  </si>
  <si>
    <t>B5</t>
  </si>
  <si>
    <t>B6</t>
  </si>
  <si>
    <t>B7</t>
  </si>
  <si>
    <t>ширина7</t>
  </si>
  <si>
    <t>B8</t>
  </si>
  <si>
    <t>B9</t>
  </si>
  <si>
    <t>B10</t>
  </si>
  <si>
    <t>B11</t>
  </si>
  <si>
    <t>B12</t>
  </si>
  <si>
    <t>ширина8</t>
  </si>
  <si>
    <t>B13</t>
  </si>
  <si>
    <t>B14</t>
  </si>
  <si>
    <t>B15</t>
  </si>
  <si>
    <t>длина15</t>
  </si>
  <si>
    <t>B16</t>
  </si>
  <si>
    <t>B17</t>
  </si>
  <si>
    <t>длина2</t>
  </si>
  <si>
    <t>длина4</t>
  </si>
  <si>
    <t>длина6</t>
  </si>
  <si>
    <t>длина8</t>
  </si>
  <si>
    <t>длина10</t>
  </si>
  <si>
    <t>C7</t>
  </si>
  <si>
    <t>C8</t>
  </si>
  <si>
    <t>C9</t>
  </si>
  <si>
    <t>C10</t>
  </si>
  <si>
    <t>C11</t>
  </si>
  <si>
    <t>C12</t>
  </si>
  <si>
    <t>C13</t>
  </si>
  <si>
    <t>длина13</t>
  </si>
  <si>
    <t>C14</t>
  </si>
  <si>
    <t>C15</t>
  </si>
  <si>
    <t>C16</t>
  </si>
  <si>
    <t>C17</t>
  </si>
  <si>
    <t>C18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</si>
  <si>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</si>
  <si>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</si>
  <si>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</si>
  <si>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</si>
  <si>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</si>
  <si>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</si>
  <si>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</si>
  <si>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</si>
  <si>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</si>
  <si>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E13</t>
  </si>
  <si>
    <t>E14</t>
  </si>
  <si>
    <t>E15</t>
  </si>
  <si>
    <t>E16</t>
  </si>
  <si>
    <t>E17</t>
  </si>
  <si>
    <t>E18</t>
  </si>
  <si>
    <t>E19</t>
  </si>
  <si>
    <t>длина16</t>
  </si>
  <si>
    <t>E20</t>
  </si>
  <si>
    <t>длина14</t>
  </si>
  <si>
    <t>длина19</t>
  </si>
  <si>
    <t>F16</t>
  </si>
  <si>
    <t>F17</t>
  </si>
  <si>
    <t>F18</t>
  </si>
  <si>
    <t>F19</t>
  </si>
  <si>
    <t>F20</t>
  </si>
  <si>
    <t>длина22</t>
  </si>
  <si>
    <t>F21</t>
  </si>
  <si>
    <t>длина20</t>
  </si>
  <si>
    <t>F22</t>
  </si>
  <si>
    <t>F23</t>
  </si>
  <si>
    <t>F24</t>
  </si>
  <si>
    <t>F25</t>
  </si>
  <si>
    <t>G16</t>
  </si>
  <si>
    <t>G17</t>
  </si>
  <si>
    <t>G18</t>
  </si>
  <si>
    <t>G19</t>
  </si>
  <si>
    <t>G20</t>
  </si>
  <si>
    <t>G21</t>
  </si>
  <si>
    <t>длина21</t>
  </si>
  <si>
    <t>G22</t>
  </si>
  <si>
    <t>G23</t>
  </si>
  <si>
    <t>G24</t>
  </si>
  <si>
    <t>G25</t>
  </si>
  <si>
    <t>G26</t>
  </si>
  <si>
    <t>длина18</t>
  </si>
  <si>
    <t>H19</t>
  </si>
  <si>
    <t>H20</t>
  </si>
  <si>
    <t>H21</t>
  </si>
  <si>
    <t>H22</t>
  </si>
  <si>
    <t>H23</t>
  </si>
  <si>
    <t>H24</t>
  </si>
  <si>
    <t>H25</t>
  </si>
  <si>
    <t>H26</t>
  </si>
  <si>
    <t>длина17</t>
  </si>
  <si>
    <t>Прокат стальной горячекатанный</t>
  </si>
  <si>
    <t>Полоса стальная горячекатанная</t>
  </si>
  <si>
    <t>широкополосный универсальный</t>
  </si>
  <si>
    <t>Сортамент по ГОСТ 103-76</t>
  </si>
  <si>
    <t>Сортамент по ГОСТ 82-70</t>
  </si>
  <si>
    <t xml:space="preserve"> ШИРИНА </t>
  </si>
  <si>
    <t>ТОЛЩИНА</t>
  </si>
  <si>
    <t xml:space="preserve"> ШИРИНА</t>
  </si>
  <si>
    <t>полосы ММ</t>
  </si>
  <si>
    <t xml:space="preserve"> Масса 1м полосы</t>
  </si>
  <si>
    <r>
      <t>длина</t>
    </r>
    <r>
      <rPr>
        <b/>
        <sz val="12"/>
        <color indexed="57"/>
        <rFont val="Arial Cyr"/>
        <family val="2"/>
        <charset val="204"/>
      </rPr>
      <t xml:space="preserve"> n</t>
    </r>
    <r>
      <rPr>
        <sz val="10"/>
        <color indexed="57"/>
        <rFont val="Arial Cyr"/>
        <charset val="204"/>
      </rPr>
      <t xml:space="preserve"> =</t>
    </r>
  </si>
  <si>
    <r>
      <t xml:space="preserve">Масса </t>
    </r>
    <r>
      <rPr>
        <b/>
        <sz val="12"/>
        <rFont val="Arial Cyr"/>
        <family val="2"/>
        <charset val="204"/>
      </rPr>
      <t>m</t>
    </r>
    <r>
      <rPr>
        <sz val="10"/>
        <rFont val="Arial Cyr"/>
        <charset val="204"/>
      </rPr>
      <t xml:space="preserve"> =</t>
    </r>
  </si>
  <si>
    <r>
      <t>масса</t>
    </r>
    <r>
      <rPr>
        <b/>
        <sz val="12"/>
        <color indexed="57"/>
        <rFont val="Arial Cyr"/>
        <family val="2"/>
        <charset val="204"/>
      </rPr>
      <t xml:space="preserve"> m</t>
    </r>
    <r>
      <rPr>
        <sz val="10"/>
        <color indexed="57"/>
        <rFont val="Arial Cyr"/>
        <charset val="204"/>
      </rPr>
      <t xml:space="preserve"> =</t>
    </r>
  </si>
  <si>
    <r>
      <t>Длина</t>
    </r>
    <r>
      <rPr>
        <sz val="10"/>
        <rFont val="Arial Cyr"/>
        <charset val="204"/>
      </rPr>
      <t xml:space="preserve"> </t>
    </r>
    <r>
      <rPr>
        <b/>
        <sz val="12"/>
        <rFont val="Arial Cyr"/>
        <family val="2"/>
        <charset val="204"/>
      </rPr>
      <t>n</t>
    </r>
    <r>
      <rPr>
        <sz val="9"/>
        <rFont val="Arial Cyr"/>
        <charset val="204"/>
      </rPr>
      <t xml:space="preserve">  =</t>
    </r>
  </si>
  <si>
    <t>широкополосный</t>
  </si>
  <si>
    <t>полоса стальная горячекатанная</t>
  </si>
  <si>
    <t xml:space="preserve">Прокат стальной горячекатанный </t>
  </si>
  <si>
    <t>КРУГЛЫЙ</t>
  </si>
  <si>
    <t>КВАДРАТНЫЙ</t>
  </si>
  <si>
    <t>ШЕСТИГРАННЫЙ</t>
  </si>
  <si>
    <t>Сортамент по ГОСТ 2590-88</t>
  </si>
  <si>
    <t>Сортамент по ГОСТ 2591-88</t>
  </si>
  <si>
    <t>Сортамент по ГОСТ 2879-88</t>
  </si>
  <si>
    <r>
      <t>Масса 1</t>
    </r>
    <r>
      <rPr>
        <u/>
        <vertAlign val="superscript"/>
        <sz val="8"/>
        <rFont val="Arial Cyr"/>
        <family val="2"/>
        <charset val="204"/>
      </rPr>
      <t>го</t>
    </r>
    <r>
      <rPr>
        <sz val="8"/>
        <rFont val="Arial Cyr"/>
        <family val="2"/>
        <charset val="204"/>
      </rPr>
      <t xml:space="preserve"> метра</t>
    </r>
  </si>
  <si>
    <t>Площадь сечения</t>
  </si>
  <si>
    <r>
      <t>см</t>
    </r>
    <r>
      <rPr>
        <b/>
        <vertAlign val="superscript"/>
        <sz val="10"/>
        <rFont val="Arial Cyr"/>
        <charset val="204"/>
      </rPr>
      <t>2</t>
    </r>
  </si>
  <si>
    <r>
      <t xml:space="preserve">Длина </t>
    </r>
    <r>
      <rPr>
        <b/>
        <sz val="10"/>
        <rFont val="Arial Cyr"/>
        <family val="2"/>
        <charset val="204"/>
      </rPr>
      <t>L</t>
    </r>
    <r>
      <rPr>
        <sz val="8"/>
        <rFont val="Arial Cyr"/>
        <family val="2"/>
        <charset val="204"/>
      </rPr>
      <t>=</t>
    </r>
  </si>
  <si>
    <r>
      <t xml:space="preserve">Кол. стержней </t>
    </r>
    <r>
      <rPr>
        <b/>
        <sz val="12"/>
        <rFont val="Arial Cyr"/>
        <family val="2"/>
        <charset val="204"/>
      </rPr>
      <t>n</t>
    </r>
    <r>
      <rPr>
        <sz val="8"/>
        <rFont val="Arial Cyr"/>
        <family val="2"/>
        <charset val="204"/>
      </rPr>
      <t>=</t>
    </r>
  </si>
  <si>
    <t>шт.</t>
  </si>
  <si>
    <r>
      <t xml:space="preserve">Масса </t>
    </r>
    <r>
      <rPr>
        <b/>
        <sz val="10"/>
        <rFont val="Arial Cyr"/>
        <charset val="204"/>
      </rPr>
      <t>L</t>
    </r>
    <r>
      <rPr>
        <sz val="8"/>
        <rFont val="Arial Cyr"/>
        <family val="2"/>
        <charset val="204"/>
      </rPr>
      <t xml:space="preserve"> метров</t>
    </r>
  </si>
  <si>
    <r>
      <t xml:space="preserve">Пл-дь </t>
    </r>
    <r>
      <rPr>
        <b/>
        <sz val="12"/>
        <rFont val="Arial Cyr"/>
        <family val="2"/>
        <charset val="204"/>
      </rPr>
      <t>n</t>
    </r>
    <r>
      <rPr>
        <sz val="8"/>
        <rFont val="Arial Cyr"/>
        <family val="2"/>
        <charset val="204"/>
      </rPr>
      <t xml:space="preserve"> стержней</t>
    </r>
  </si>
  <si>
    <t>шестигранник</t>
  </si>
  <si>
    <t>ДИАМЕТР</t>
  </si>
  <si>
    <t>КВАДРАТ</t>
  </si>
  <si>
    <t>диаметр впис. круга</t>
  </si>
  <si>
    <t>ТРУБЫ СТАЛЬНЫЕ БЕСШОВНЫЕ</t>
  </si>
  <si>
    <t>ТРУБЫ СТАЛЬНЫЕ ЭЛЕКТРОСВАРНЫЕ</t>
  </si>
  <si>
    <t>ГОРЯЧЕДЕФОРМИРОВАННЫЕ</t>
  </si>
  <si>
    <t>ПРЯМОШОВНЫЕ</t>
  </si>
  <si>
    <t>ХОЛОДНОДЕФОРМИРОВАННЫЕ</t>
  </si>
  <si>
    <t>по ГОСТ 8732-78</t>
  </si>
  <si>
    <t>по ГОСТ 10704-91</t>
  </si>
  <si>
    <t>по ГОСТ 8734-75</t>
  </si>
  <si>
    <t>наружный  диаметр</t>
  </si>
  <si>
    <t>толщина стенки</t>
  </si>
  <si>
    <t>радиус инерции (см)</t>
  </si>
  <si>
    <t>радиус   инерции (см)</t>
  </si>
  <si>
    <r>
      <t>площадь сечения (см</t>
    </r>
    <r>
      <rPr>
        <vertAlign val="superscript"/>
        <sz val="8"/>
        <rFont val="Arial Cyr"/>
        <family val="2"/>
        <charset val="204"/>
      </rPr>
      <t>2</t>
    </r>
    <r>
      <rPr>
        <sz val="8"/>
        <rFont val="Arial Cyr"/>
        <family val="2"/>
        <charset val="204"/>
      </rPr>
      <t>)</t>
    </r>
  </si>
  <si>
    <t>МАССА     1 м (кг)</t>
  </si>
  <si>
    <r>
      <t xml:space="preserve">Длина </t>
    </r>
    <r>
      <rPr>
        <b/>
        <sz val="8"/>
        <color indexed="9"/>
        <rFont val="Arial Cyr"/>
        <family val="2"/>
        <charset val="204"/>
      </rPr>
      <t>L</t>
    </r>
    <r>
      <rPr>
        <sz val="8"/>
        <color indexed="9"/>
        <rFont val="Arial Cyr"/>
        <family val="2"/>
        <charset val="204"/>
      </rPr>
      <t xml:space="preserve">= </t>
    </r>
  </si>
  <si>
    <r>
      <t xml:space="preserve">Длина </t>
    </r>
    <r>
      <rPr>
        <b/>
        <sz val="8"/>
        <rFont val="Arial Cyr"/>
        <family val="2"/>
        <charset val="204"/>
      </rPr>
      <t>L</t>
    </r>
    <r>
      <rPr>
        <sz val="8"/>
        <rFont val="Arial Cyr"/>
        <family val="2"/>
        <charset val="204"/>
      </rPr>
      <t xml:space="preserve">= </t>
    </r>
  </si>
  <si>
    <r>
      <t xml:space="preserve">Масса </t>
    </r>
    <r>
      <rPr>
        <b/>
        <sz val="10"/>
        <rFont val="Arial Cyr"/>
        <charset val="204"/>
      </rPr>
      <t>L</t>
    </r>
    <r>
      <rPr>
        <sz val="8"/>
        <rFont val="Arial Cyr"/>
        <family val="2"/>
        <charset val="204"/>
      </rPr>
      <t xml:space="preserve"> м</t>
    </r>
  </si>
  <si>
    <t>Масса труб =</t>
  </si>
  <si>
    <t>Длина труб</t>
  </si>
  <si>
    <t>ПРИМЕЧАНИЕ :</t>
  </si>
  <si>
    <t>ГОСТ 8732-78</t>
  </si>
  <si>
    <t>ТРУБЫ СТАЛЬНЫЕ БЕСШОВНЫЕ ГОРЯЧЕДЕФОРМИРОВАННЫЕ</t>
  </si>
  <si>
    <t>3 примечания</t>
  </si>
  <si>
    <t xml:space="preserve">радиус инерции </t>
  </si>
  <si>
    <t>R=</t>
  </si>
  <si>
    <t>"=D"</t>
  </si>
  <si>
    <t>масса</t>
  </si>
  <si>
    <t>r=</t>
  </si>
  <si>
    <t>"=s"</t>
  </si>
  <si>
    <r>
      <t xml:space="preserve">Наружный диаметр в </t>
    </r>
    <r>
      <rPr>
        <i/>
        <sz val="10"/>
        <rFont val="Arial Cyr"/>
        <charset val="204"/>
      </rPr>
      <t>мм</t>
    </r>
  </si>
  <si>
    <r>
      <t xml:space="preserve">Толщина стенки в </t>
    </r>
    <r>
      <rPr>
        <i/>
        <sz val="10"/>
        <rFont val="Arial Cyr"/>
        <charset val="204"/>
      </rPr>
      <t>мм</t>
    </r>
  </si>
  <si>
    <t>2,5</t>
  </si>
  <si>
    <t>2,6*</t>
  </si>
  <si>
    <t>2,8</t>
  </si>
  <si>
    <t>3,2*</t>
  </si>
  <si>
    <t>3,5</t>
  </si>
  <si>
    <t>4,5</t>
  </si>
  <si>
    <t>5,5</t>
  </si>
  <si>
    <t>(6,5)</t>
  </si>
  <si>
    <t>()</t>
  </si>
  <si>
    <t>(7,5)</t>
  </si>
  <si>
    <t>(8,5)</t>
  </si>
  <si>
    <t>(9,5)</t>
  </si>
  <si>
    <t>11</t>
  </si>
  <si>
    <t>(13)</t>
  </si>
  <si>
    <t>14</t>
  </si>
  <si>
    <t>(15)</t>
  </si>
  <si>
    <t>16</t>
  </si>
  <si>
    <t>17</t>
  </si>
  <si>
    <t>(19)</t>
  </si>
  <si>
    <t>(24)</t>
  </si>
  <si>
    <t>25</t>
  </si>
  <si>
    <t>(26)</t>
  </si>
  <si>
    <t>28</t>
  </si>
  <si>
    <t>30</t>
  </si>
  <si>
    <t>32</t>
  </si>
  <si>
    <t>(34)</t>
  </si>
  <si>
    <t>(35)</t>
  </si>
  <si>
    <t>36</t>
  </si>
  <si>
    <t>(38)</t>
  </si>
  <si>
    <t>40</t>
  </si>
  <si>
    <t>(42)</t>
  </si>
  <si>
    <t>45</t>
  </si>
  <si>
    <t>(48)</t>
  </si>
  <si>
    <t>50</t>
  </si>
  <si>
    <t>56</t>
  </si>
  <si>
    <t>60</t>
  </si>
  <si>
    <t>63</t>
  </si>
  <si>
    <t>(65)</t>
  </si>
  <si>
    <t>70</t>
  </si>
  <si>
    <t>75</t>
  </si>
  <si>
    <t>ГОСТ 10704-91</t>
  </si>
  <si>
    <t>ТРУБЫ СТАЛЬНЫЕ ЭЛЕКТРОСВАРНЫЕ ПРЯМОШОВНЫЕ</t>
  </si>
  <si>
    <t>примечание</t>
  </si>
  <si>
    <t>(1,5)</t>
  </si>
  <si>
    <t>(17)</t>
  </si>
  <si>
    <t>ГОСТ 8734-75</t>
  </si>
  <si>
    <t>ТРУБЫ СТАЛЬНЫЕ БЕСШОВНЫЕ ХОЛОДНОДЕФОРМИРОВАННЫЕ</t>
  </si>
  <si>
    <t>не более</t>
  </si>
  <si>
    <r>
      <t>S</t>
    </r>
    <r>
      <rPr>
        <b/>
        <vertAlign val="subscript"/>
        <sz val="12"/>
        <rFont val="Arial Cyr"/>
        <family val="2"/>
        <charset val="204"/>
      </rPr>
      <t>y</t>
    </r>
  </si>
  <si>
    <t>I;(II)</t>
  </si>
  <si>
    <t>10(8)</t>
  </si>
  <si>
    <t>I;II</t>
  </si>
  <si>
    <t>7(6)</t>
  </si>
  <si>
    <t>Характеристики для профилей из углеродистой спокойной и низколигированной стали</t>
  </si>
  <si>
    <t>Характеристики для профилей из углеродистой кипящей и полуспокойной стали</t>
  </si>
  <si>
    <t>b - ширина  профиля (мм)</t>
  </si>
  <si>
    <t>s - толщина профиля (мм)</t>
  </si>
  <si>
    <t>R - радиус кривизны (мм)</t>
  </si>
  <si>
    <t>Sy - статический момент полусечения (см3)</t>
  </si>
  <si>
    <r>
      <t>Исключен</t>
    </r>
    <r>
      <rPr>
        <sz val="10"/>
        <rFont val="Courier New Cyr"/>
        <family val="3"/>
        <charset val="204"/>
      </rPr>
      <t>I</t>
    </r>
  </si>
  <si>
    <t>h - высота  профиля (мм)</t>
  </si>
  <si>
    <t xml:space="preserve">    ГОСТ</t>
  </si>
  <si>
    <t>НАЗНАЧЕНИЕ ИЛИ НАИМЕНОВАНИЕ</t>
  </si>
  <si>
    <t>ВЕС</t>
  </si>
  <si>
    <t>РОСТ</t>
  </si>
  <si>
    <t>ИНДЕКС</t>
  </si>
  <si>
    <t>18-Труба квадратная</t>
  </si>
  <si>
    <t>19-Труба прямоугольная</t>
  </si>
  <si>
    <t>20-Трубы канализационные</t>
  </si>
  <si>
    <t>21-Арматура</t>
  </si>
  <si>
    <t>22-Арматура</t>
  </si>
  <si>
    <t>16Труба квадр сварная</t>
  </si>
  <si>
    <t>17Труба прямоуг сварная</t>
  </si>
  <si>
    <t>18Труба квадратная</t>
  </si>
  <si>
    <t>19Труба прямоугольная</t>
  </si>
  <si>
    <t>20Трубы канализационные</t>
  </si>
  <si>
    <t>21Арматура</t>
  </si>
  <si>
    <t>22Арматура</t>
  </si>
  <si>
    <t>-</t>
  </si>
  <si>
    <t>Уголки стальные горячекатанные равнополочные (сортамент)</t>
  </si>
  <si>
    <t>Уголки стальные горячекатанные неравнополочные (сортамент)</t>
  </si>
  <si>
    <t>Двутавры стальные горячекатанные  (сортамент)</t>
  </si>
  <si>
    <t>Максимально-допустимый вес:</t>
  </si>
  <si>
    <t>Балки двутавровые и швеллеры стальные специальные</t>
  </si>
  <si>
    <t xml:space="preserve">Двутавры стальные горячекатанные с параллельными гранями полок (сортамент): Нормальные двутавры; Широкополочные двутавры;Колонные двутавры;Двутавры дополнительной серии (Д) </t>
  </si>
  <si>
    <t>Швеллеры стальные горячекатанные (с уклоном внутр. граней полок; с паралл. гранями полок)</t>
  </si>
  <si>
    <t>Сталь листовая горячекатанная СОРТАМЕНТ</t>
  </si>
  <si>
    <t>Прокат листоаой холоднокатанный СОРТАМЕНТ</t>
  </si>
  <si>
    <t>Прокат стальной горячекатанный широкополосный универсальный СОРТАМЕНТ</t>
  </si>
  <si>
    <t>Прокат ст. горячекатанный круглый</t>
  </si>
  <si>
    <t>Прокат ст. горячекатанный квадратный</t>
  </si>
  <si>
    <t>Прокат ст. горячекатанный шестигранный</t>
  </si>
  <si>
    <t>Трубы стальные бесшовные горячедеформированные</t>
  </si>
  <si>
    <t>Трубы стальные электросварные прямошовные</t>
  </si>
  <si>
    <t>Трубы стальные бесшовные холоднодеформированные</t>
  </si>
  <si>
    <t>Профили стальные гнутые замкнутые сварные квадратные и прямоугольные</t>
  </si>
  <si>
    <t>Трубы стальные квадратные</t>
  </si>
  <si>
    <t>Трубы чугунные канализационные и фасонные части к ним (ГОСТ 6942.0-ГОСТ 6942.24-80)</t>
  </si>
  <si>
    <r>
      <t xml:space="preserve">ПРОФИЛИ СТАЛЬНЫЕ ГНУТЫЕ ЗАМКНУТЫЕ СВАРНЫЕ </t>
    </r>
    <r>
      <rPr>
        <b/>
        <i/>
        <sz val="9"/>
        <rFont val="Arial Cyr"/>
        <family val="2"/>
        <charset val="204"/>
      </rPr>
      <t>КВАДРАТНЫЕ</t>
    </r>
    <r>
      <rPr>
        <b/>
        <sz val="9"/>
        <rFont val="Arial Cyr"/>
        <family val="2"/>
        <charset val="204"/>
      </rPr>
      <t xml:space="preserve"> </t>
    </r>
    <r>
      <rPr>
        <sz val="6"/>
        <rFont val="Arial Cyr"/>
        <family val="2"/>
        <charset val="204"/>
      </rPr>
      <t>И</t>
    </r>
    <r>
      <rPr>
        <b/>
        <sz val="9"/>
        <rFont val="Arial Cyr"/>
        <family val="2"/>
        <charset val="204"/>
      </rPr>
      <t xml:space="preserve"> </t>
    </r>
    <r>
      <rPr>
        <sz val="6"/>
        <rFont val="Arial Cyr"/>
        <family val="2"/>
        <charset val="204"/>
      </rPr>
      <t>ПРЯМОУГОЛЬНЫЕ</t>
    </r>
    <r>
      <rPr>
        <b/>
        <sz val="9"/>
        <rFont val="Arial Cyr"/>
        <family val="2"/>
        <charset val="204"/>
      </rPr>
      <t xml:space="preserve"> по ГОСТ 25577-83</t>
    </r>
  </si>
  <si>
    <r>
      <t xml:space="preserve">ПРОФИЛИ СТАЛЬНЫЕ ГНУТЫЕ ЗАМКНУТЫЕ СВАРНЫЕ </t>
    </r>
    <r>
      <rPr>
        <sz val="6"/>
        <rFont val="Arial Cyr"/>
        <family val="2"/>
        <charset val="204"/>
      </rPr>
      <t>КВАДРАТНЫЕ</t>
    </r>
    <r>
      <rPr>
        <b/>
        <sz val="9"/>
        <rFont val="Arial Cyr"/>
        <family val="2"/>
        <charset val="204"/>
      </rPr>
      <t xml:space="preserve"> </t>
    </r>
    <r>
      <rPr>
        <sz val="6"/>
        <rFont val="Arial Cyr"/>
        <family val="2"/>
        <charset val="204"/>
      </rPr>
      <t>И</t>
    </r>
    <r>
      <rPr>
        <b/>
        <sz val="9"/>
        <rFont val="Arial Cyr"/>
        <family val="2"/>
        <charset val="204"/>
      </rPr>
      <t xml:space="preserve"> </t>
    </r>
    <r>
      <rPr>
        <b/>
        <i/>
        <sz val="9"/>
        <rFont val="Arial Cyr"/>
        <family val="2"/>
        <charset val="204"/>
      </rPr>
      <t>ПРЯМОУГОЛЬНЫЕ</t>
    </r>
    <r>
      <rPr>
        <b/>
        <sz val="9"/>
        <rFont val="Arial Cyr"/>
        <family val="2"/>
        <charset val="204"/>
      </rPr>
      <t xml:space="preserve"> по ГОСТ 25577-83</t>
    </r>
  </si>
  <si>
    <r>
      <t xml:space="preserve">Ось             </t>
    </r>
    <r>
      <rPr>
        <b/>
        <sz val="8"/>
        <rFont val="Arial Cyr"/>
        <family val="2"/>
        <charset val="204"/>
      </rPr>
      <t xml:space="preserve"> x-x</t>
    </r>
    <r>
      <rPr>
        <b/>
        <sz val="10"/>
        <rFont val="Arial Cyr"/>
        <charset val="204"/>
      </rPr>
      <t/>
    </r>
  </si>
  <si>
    <t>ТРУБЫ СТАЛЬНЫЕ КВАДРАТНЫЕ по ГОСТ 8639-82</t>
  </si>
  <si>
    <t>Характеристики для профилей, которые изготавливают холоднодеформированными (А=от10 до 120 мм с толщиной S=от 1,0 до 8,0 мм)</t>
  </si>
  <si>
    <t>Характеристики для профилей, которые изготавливают горяедеформированными (А=от60 до 180 мм с толщиной S=от 4,0 до 14,0 мм)</t>
  </si>
  <si>
    <t>Характеристики для профилей, которые изготавливают электросварными (А=от10 до 100 мм с толщиной S=от 1,0 до 5,0 мм)</t>
  </si>
  <si>
    <t>16-Труба квадратная сварная</t>
  </si>
  <si>
    <t>17-Труба прямоугольная сварная</t>
  </si>
  <si>
    <t>спец. размер</t>
  </si>
  <si>
    <t>ТРУБЫ СТАЛЬНЫЕ ПРЯМОУГОЛЬНЫЕ по ГОСТ 8645-68*</t>
  </si>
  <si>
    <t>A - ширина и высота профиля (мм)</t>
  </si>
  <si>
    <t>R - радиус закругления (мм)</t>
  </si>
  <si>
    <t>Специальный размер</t>
  </si>
  <si>
    <t>Нерекомендуемый размер</t>
  </si>
  <si>
    <t>Размер   уголка,</t>
  </si>
  <si>
    <t>E103:Q107</t>
  </si>
  <si>
    <t>ИНДЕКС(ДВССЫЛ(A15);1;4)&amp;"-"&amp;ИНДЕКС(ДВССЫЛ(A15);A11;4) - это пример</t>
  </si>
  <si>
    <t>пример заполнения таблицы</t>
  </si>
  <si>
    <t>E242:R246</t>
  </si>
  <si>
    <t>E259:R259</t>
  </si>
  <si>
    <t>ЧСТРОК(E259:R259)</t>
  </si>
  <si>
    <t>ИНДЕКС(ДВССЫЛ($B$340);1;E279)</t>
  </si>
  <si>
    <t>ИНДЕКС(ДВССЫЛ($B$340);1;F279)</t>
  </si>
  <si>
    <t>ИНДЕКС(ДВССЫЛ($B$340);1;G279)</t>
  </si>
  <si>
    <t>ИНДЕКС(ДВССЫЛ($B$340);1;H279)</t>
  </si>
  <si>
    <t>ИНДЕКС(ДВССЫЛ($B$340);1;I279)</t>
  </si>
  <si>
    <t>ИНДЕКС(ДВССЫЛ($B$340);1;J279)</t>
  </si>
  <si>
    <t>ИНДЕКС(ДВССЫЛ($B$340);1;K279)</t>
  </si>
  <si>
    <t>ИНДЕКС(ДВССЫЛ($B$340);1;L279)</t>
  </si>
  <si>
    <t>ИНДЕКС(ДВССЫЛ($B$340);1;M279)</t>
  </si>
  <si>
    <t>ИНДЕКС(ДВССЫЛ($B$340);1;N279)</t>
  </si>
  <si>
    <t>ИНДЕКС(ДВССЫЛ($B$340);1;O279)</t>
  </si>
  <si>
    <t>ИНДЕКС(ДВССЫЛ($B$340);1;P279)</t>
  </si>
  <si>
    <t>ИНДЕКС(ДВССЫЛ($B$340);1;Q279)</t>
  </si>
  <si>
    <t>ЧСТРОК(E242:R246)</t>
  </si>
  <si>
    <t>ИНДЕКС(ДВССЫЛ(B333);1;$E$279)&amp;"-"&amp;ИНДЕКС(ДВССЫЛ(B333);A333;$E$279)</t>
  </si>
  <si>
    <t>ИНДЕКС(ДВССЫЛ(B333);1;$F$279)&amp;"-"&amp;ИНДЕКС(ДВССЫЛ(B333);A333;$F$279)</t>
  </si>
  <si>
    <t>ИНДЕКС(ДВССЫЛ(B333);1;$G$279)&amp;"-"&amp;ИНДЕКС(ДВССЫЛ(B333);A333;$G$279)</t>
  </si>
  <si>
    <t>ИНДЕКС(ДВССЫЛ(B333);1;$H$279)&amp;"-"&amp;ИНДЕКС(ДВССЫЛ(B333);A333;$H$279)</t>
  </si>
  <si>
    <t>ИНДЕКС(ДВССЫЛ(B333);1;$I$279)&amp;"-"&amp;ИНДЕКС(ДВССЫЛ(B333);A333;$I$279)</t>
  </si>
  <si>
    <t>ИНДЕКС(ДВССЫЛ(B333);1;$J$279)&amp;"-"&amp;ИНДЕКС(ДВССЫЛ(B333);A333;$J$279)</t>
  </si>
  <si>
    <r>
      <t xml:space="preserve">Номер профиля </t>
    </r>
    <r>
      <rPr>
        <sz val="8"/>
        <rFont val="Arial Cyr"/>
        <family val="2"/>
        <charset val="204"/>
      </rPr>
      <t xml:space="preserve">(номинальный диаметр </t>
    </r>
    <r>
      <rPr>
        <sz val="10"/>
        <rFont val="Arial Cyr"/>
        <family val="2"/>
        <charset val="204"/>
      </rPr>
      <t>d</t>
    </r>
    <r>
      <rPr>
        <vertAlign val="subscript"/>
        <sz val="10"/>
        <rFont val="Arial Cyr"/>
        <family val="2"/>
        <charset val="204"/>
      </rPr>
      <t>н</t>
    </r>
    <r>
      <rPr>
        <sz val="8"/>
        <rFont val="Arial Cyr"/>
        <family val="2"/>
        <charset val="204"/>
      </rPr>
      <t>)</t>
    </r>
  </si>
  <si>
    <t xml:space="preserve">                                        СТАЛЬ ГОРЯЧЕКАТАННАЯ ДЛЯ АРМИРОВАНИЯ ЖЕЛЕЗОБЕТОННЫХ КОНСТРУКЦИЙ по ГОСТ 5781-82</t>
  </si>
  <si>
    <t xml:space="preserve">                                СТАЛЬ ГОРЯЧЕКАТАННАЯ ДЛЯ АРМИРОВАНИЯ ЖЕЛЕЗОБЕТОННЫХ КОНСТРУКЦИЙ по ГОСТ 5781-82</t>
  </si>
  <si>
    <r>
      <t>ТРУБЫ ЧУГУННЫЕ КАНАЛИЗАЦИОННЫЕ И ФАСОННЫЕ ЧАСТИ К НИМ</t>
    </r>
    <r>
      <rPr>
        <sz val="10"/>
        <rFont val="Arial Cyr"/>
        <charset val="204"/>
      </rPr>
      <t xml:space="preserve">. </t>
    </r>
    <r>
      <rPr>
        <b/>
        <sz val="10"/>
        <rFont val="Arial Cyr"/>
        <family val="2"/>
        <charset val="204"/>
      </rPr>
      <t xml:space="preserve">ТРУБЫ  </t>
    </r>
    <r>
      <rPr>
        <sz val="10"/>
        <rFont val="Arial Cyr"/>
        <family val="2"/>
        <charset val="204"/>
      </rPr>
      <t>по</t>
    </r>
    <r>
      <rPr>
        <b/>
        <sz val="10"/>
        <rFont val="Arial Cyr"/>
        <family val="2"/>
        <charset val="204"/>
      </rPr>
      <t xml:space="preserve"> ГОСТ 6942.3-80</t>
    </r>
  </si>
  <si>
    <t>ИНДЕКС(ДВССЫЛ(B333);1;$K$279)&amp;"-"&amp;ИНДЕКС(ДВССЫЛ(B333);A333;$K$279)</t>
  </si>
  <si>
    <t>ИНДЕКС(ДВССЫЛ(B333);1;$L$279)&amp;"-"&amp;ИНДЕКС(ДВССЫЛ(B333);A333;$L$279)</t>
  </si>
  <si>
    <t>ИНДЕКС(ДВССЫЛ(B333);1;$M$279)&amp;"-"&amp;ИНДЕКС(ДВССЫЛ(B333);A333;$M$279)</t>
  </si>
  <si>
    <t>ИНДЕКС(ДВССЫЛ(B333);1;$N$279)&amp;"-"&amp;ИНДЕКС(ДВССЫЛ(B333);A333;$N$279)</t>
  </si>
  <si>
    <t>ИНДЕКС(ДВССЫЛ(B333);1;$O$279)&amp;"-"&amp;ИНДЕКС(ДВССЫЛ(B333);A333;$O$279)</t>
  </si>
  <si>
    <t>ИНДЕКС(ДВССЫЛ(B333);1;$P$279)&amp;"-"&amp;ИНДЕКС(ДВССЫЛ(B333);A333;$P$279)</t>
  </si>
  <si>
    <t>ИНДЕКС(ДВССЫЛ(B333);1;$Q$279)&amp;"-"&amp;ИНДЕКС(ДВССЫЛ(B333);A333;$Q$279)</t>
  </si>
  <si>
    <t>ИНДЕКС(ДВССЫЛ(B333);1;$R$279)&amp;"-"&amp;ИНДЕКС(ДВССЫЛ(B333);A333;$R$279)</t>
  </si>
  <si>
    <t>пример заполнения таблицы по последней строке при условии интервала в одну строку</t>
  </si>
  <si>
    <t>пример заполнения таблицы по строке при условии интервала в 5 строк</t>
  </si>
  <si>
    <t>пример вычисления площади сечения по строке 12</t>
  </si>
  <si>
    <t>(E12*F12-(E12-2*G12)*(F12-2*G12)-4*((1,5*G12)^2-(ПИ()*(1,5*G12)^2)/4)+4*((1,5*G12-G12)^2-(ПИ()*(1,5*G12-G12)^2)/4))/100</t>
  </si>
  <si>
    <t>пример вычисления массы по строке 12</t>
  </si>
  <si>
    <t>0,785*A12</t>
  </si>
  <si>
    <t>2*((F12-2*1,5*G12)^3*G12/12+G12^3*(E12-2*1,5*G12)/12+G12*(E12-2*1,5*G12)*(F12/2-G12/2)^2)/10000+4/10000*(ПИ()*(1,5*G12)^4/16+ПИ()/16*((2*1,5*G12)^2-(2*(1,5*G12-G12))^2)*(F12/2-G12/1,085)^2)</t>
  </si>
  <si>
    <t>пример вычисления моиента инерции сечения</t>
  </si>
  <si>
    <t>А х B - размеры профиля (мм)</t>
  </si>
  <si>
    <r>
      <t>пример вычисления момента сопротивления W</t>
    </r>
    <r>
      <rPr>
        <vertAlign val="subscript"/>
        <sz val="10"/>
        <rFont val="Arial Cyr"/>
        <family val="2"/>
        <charset val="204"/>
      </rPr>
      <t>х</t>
    </r>
  </si>
  <si>
    <t>K12/(F12/20)</t>
  </si>
  <si>
    <t>1-2</t>
  </si>
  <si>
    <t>2-4</t>
  </si>
  <si>
    <t>0,443-0,771</t>
  </si>
  <si>
    <t>0,348-0,605</t>
  </si>
  <si>
    <t>0,065-0,089</t>
  </si>
  <si>
    <t>0,13-0,178</t>
  </si>
  <si>
    <t>0,126-0,179</t>
  </si>
  <si>
    <t>0,543-0,971</t>
  </si>
  <si>
    <t>0,426-0,762</t>
  </si>
  <si>
    <t>0,086-0,122</t>
  </si>
  <si>
    <t>0,172-0,244</t>
  </si>
  <si>
    <t>0,261-0,398</t>
  </si>
  <si>
    <t>1-2,5</t>
  </si>
  <si>
    <t>2-5</t>
  </si>
  <si>
    <t>0,643-1,39</t>
  </si>
  <si>
    <t>0,505-1,09</t>
  </si>
  <si>
    <t>0,224-0,383</t>
  </si>
  <si>
    <t>0,352-0,62</t>
  </si>
  <si>
    <t>0,106-0,163</t>
  </si>
  <si>
    <t>0,212-0,326</t>
  </si>
  <si>
    <t>0,465-0,813</t>
  </si>
  <si>
    <t>0,743-1,64</t>
  </si>
  <si>
    <t>0,583-1,29</t>
  </si>
  <si>
    <t>0,273-0,482</t>
  </si>
  <si>
    <t>0,609-1,13</t>
  </si>
  <si>
    <t>1,5-2,5</t>
  </si>
  <si>
    <t>3-5</t>
  </si>
  <si>
    <t>1,46-2,29</t>
  </si>
  <si>
    <t>1,15-1,8</t>
  </si>
  <si>
    <t>1,37-1,96</t>
  </si>
  <si>
    <t>1,096-1,568</t>
  </si>
  <si>
    <t>1,64-2,35</t>
  </si>
  <si>
    <t>1-3</t>
  </si>
  <si>
    <t>2-6</t>
  </si>
  <si>
    <t>0,743-1,88</t>
  </si>
  <si>
    <t>0,583-1,48</t>
  </si>
  <si>
    <t>0,126-0,201</t>
  </si>
  <si>
    <t>0,252-0,402</t>
  </si>
  <si>
    <t>0,749-1,46</t>
  </si>
  <si>
    <t>0,843-2,18</t>
  </si>
  <si>
    <t>0,661-1,71</t>
  </si>
  <si>
    <t>0,322-0,619</t>
  </si>
  <si>
    <t>0,959-2,01</t>
  </si>
  <si>
    <t>0,943-2,48</t>
  </si>
  <si>
    <t>0,74-1,95</t>
  </si>
  <si>
    <t>0,623-1,31</t>
  </si>
  <si>
    <t>1,17-2,56</t>
  </si>
  <si>
    <t>1,5-3,5</t>
  </si>
  <si>
    <t>3-7</t>
  </si>
  <si>
    <t>1,37-2,8</t>
  </si>
  <si>
    <t>1,08-2,2</t>
  </si>
  <si>
    <t>0,503-0,757</t>
  </si>
  <si>
    <t>1,97-3,3</t>
  </si>
  <si>
    <t>1,52-3,15</t>
  </si>
  <si>
    <t>1,19-2,47</t>
  </si>
  <si>
    <t>0,987-1,63</t>
  </si>
  <si>
    <t>2,39-4,17</t>
  </si>
  <si>
    <t>1,67-3,5</t>
  </si>
  <si>
    <t>1,31-2,75</t>
  </si>
  <si>
    <t>1,66-2,9</t>
  </si>
  <si>
    <t>1,328-2,32</t>
  </si>
  <si>
    <t>2,81-5,04</t>
  </si>
  <si>
    <t>4-8</t>
  </si>
  <si>
    <t>1,97-3,48</t>
  </si>
  <si>
    <t>1,55-2,73</t>
  </si>
  <si>
    <t>0,69-0,892</t>
  </si>
  <si>
    <t>3,46-5,07</t>
  </si>
  <si>
    <t>1,73-2,535</t>
  </si>
  <si>
    <t>2,17-3,88</t>
  </si>
  <si>
    <t>1,7-3,05</t>
  </si>
  <si>
    <t>4,18-6,37</t>
  </si>
  <si>
    <t>2,09-3,185</t>
  </si>
  <si>
    <t>1,5-4</t>
  </si>
  <si>
    <t>3-8</t>
  </si>
  <si>
    <t>1,82-4,28</t>
  </si>
  <si>
    <t>1,43-3,36</t>
  </si>
  <si>
    <t>1,87-3,51</t>
  </si>
  <si>
    <t>1,496-2,808</t>
  </si>
  <si>
    <t>3,9-7,67</t>
  </si>
  <si>
    <t>1,95-3,835</t>
  </si>
  <si>
    <t>1,91-3,04</t>
  </si>
  <si>
    <t>1,5-2,39</t>
  </si>
  <si>
    <t>2,43-3,57</t>
  </si>
  <si>
    <t>4,23-6,31</t>
  </si>
  <si>
    <t>2,115-3,155</t>
  </si>
  <si>
    <t>2,57-4,68</t>
  </si>
  <si>
    <t>2,02-3,68</t>
  </si>
  <si>
    <t>3,58-5,59</t>
  </si>
  <si>
    <t>5,63-8,97</t>
  </si>
  <si>
    <t>2,815-4,485</t>
  </si>
  <si>
    <t>2,25-4,04</t>
  </si>
  <si>
    <t>1,77-3,17</t>
  </si>
  <si>
    <t>1,44-2,06</t>
  </si>
  <si>
    <t>4,74-7,29</t>
  </si>
  <si>
    <t>2,65-4,84</t>
  </si>
  <si>
    <t>2,08-3,8</t>
  </si>
  <si>
    <t>3,74-5,87</t>
  </si>
  <si>
    <t>6,34-10,19</t>
  </si>
  <si>
    <t>2,37-4,28</t>
  </si>
  <si>
    <t>1,86-3,36</t>
  </si>
  <si>
    <t>1,54-2,18</t>
  </si>
  <si>
    <t>5,66-8,82</t>
  </si>
  <si>
    <t>2,77-5,08</t>
  </si>
  <si>
    <t>2,17-3,99</t>
  </si>
  <si>
    <t>3,97-6,63</t>
  </si>
  <si>
    <t>3,176-5,304</t>
  </si>
  <si>
    <t>7,51-12,19</t>
  </si>
  <si>
    <t>2,86-4,4</t>
  </si>
  <si>
    <t>2,288-3,52</t>
  </si>
  <si>
    <t>8,59-13,93</t>
  </si>
  <si>
    <t>3,436-5,572</t>
  </si>
  <si>
    <t>2,97-5,48</t>
  </si>
  <si>
    <t>2,32-4,3</t>
  </si>
  <si>
    <t>4,36-6,96</t>
  </si>
  <si>
    <t>9,74-16,05</t>
  </si>
  <si>
    <t>3,896-6,42</t>
  </si>
  <si>
    <t>3,17-5,88</t>
  </si>
  <si>
    <t>2,49-4,62</t>
  </si>
  <si>
    <t>6,24-10,2</t>
  </si>
  <si>
    <t>10,9-18,17</t>
  </si>
  <si>
    <t>4,36-7,268</t>
  </si>
  <si>
    <t>3,37-6,28</t>
  </si>
  <si>
    <t>2,65-4,93</t>
  </si>
  <si>
    <t>8,52-14,18</t>
  </si>
  <si>
    <t>4,26-7,09</t>
  </si>
  <si>
    <t>12,05-20,29</t>
  </si>
  <si>
    <t>4,82-8,116</t>
  </si>
  <si>
    <t>2,5-5</t>
  </si>
  <si>
    <t>5-10</t>
  </si>
  <si>
    <t>3,89-7,07</t>
  </si>
  <si>
    <t>3,05-5,55</t>
  </si>
  <si>
    <t>3,99-5,8</t>
  </si>
  <si>
    <t>3,192-4,64</t>
  </si>
  <si>
    <t>16,34-25,75</t>
  </si>
  <si>
    <t>4,14-7,57</t>
  </si>
  <si>
    <t>3,25-5,94</t>
  </si>
  <si>
    <t>6,11-9,3</t>
  </si>
  <si>
    <t>18,41-29,54</t>
  </si>
  <si>
    <t>6-10</t>
  </si>
  <si>
    <t>5,48-8,57</t>
  </si>
  <si>
    <t>4,3-6,73</t>
  </si>
  <si>
    <t>Площадь сечения 1 стержня</t>
  </si>
  <si>
    <t>Масса 1 метра профиля</t>
  </si>
  <si>
    <t>Колличество стержней</t>
  </si>
  <si>
    <t>Длина стержней</t>
  </si>
  <si>
    <t>Масса стержней</t>
  </si>
  <si>
    <t>шт</t>
  </si>
  <si>
    <t>Номер профиля (d)</t>
  </si>
  <si>
    <r>
      <t>Класс</t>
    </r>
    <r>
      <rPr>
        <sz val="8"/>
        <rFont val="Arial Cyr"/>
        <family val="2"/>
        <charset val="204"/>
      </rPr>
      <t xml:space="preserve"> </t>
    </r>
  </si>
  <si>
    <t xml:space="preserve">арматурной </t>
  </si>
  <si>
    <r>
      <t xml:space="preserve">текучести </t>
    </r>
    <r>
      <rPr>
        <sz val="12"/>
        <rFont val="Symbol"/>
        <family val="1"/>
        <charset val="2"/>
      </rPr>
      <t>d</t>
    </r>
    <r>
      <rPr>
        <vertAlign val="subscript"/>
        <sz val="12"/>
        <rFont val="Arial Cyr"/>
        <family val="2"/>
        <charset val="204"/>
      </rPr>
      <t>т</t>
    </r>
  </si>
  <si>
    <r>
      <t xml:space="preserve">сопротивление разрыву </t>
    </r>
    <r>
      <rPr>
        <sz val="12"/>
        <rFont val="Symbol"/>
        <family val="1"/>
        <charset val="2"/>
      </rPr>
      <t>d</t>
    </r>
    <r>
      <rPr>
        <vertAlign val="subscript"/>
        <sz val="12"/>
        <rFont val="Arial Cyr"/>
        <family val="2"/>
        <charset val="204"/>
      </rPr>
      <t>в</t>
    </r>
  </si>
  <si>
    <r>
      <t>d</t>
    </r>
    <r>
      <rPr>
        <b/>
        <vertAlign val="subscript"/>
        <sz val="14"/>
        <rFont val="Arial Cyr"/>
        <family val="2"/>
        <charset val="204"/>
      </rPr>
      <t>1</t>
    </r>
  </si>
  <si>
    <r>
      <t>h</t>
    </r>
    <r>
      <rPr>
        <b/>
        <vertAlign val="subscript"/>
        <sz val="14"/>
        <rFont val="Arial Cyr"/>
        <family val="2"/>
        <charset val="204"/>
      </rPr>
      <t>1</t>
    </r>
  </si>
  <si>
    <r>
      <t>b</t>
    </r>
    <r>
      <rPr>
        <b/>
        <vertAlign val="subscript"/>
        <sz val="14"/>
        <rFont val="Arial Cyr"/>
        <family val="2"/>
        <charset val="204"/>
      </rPr>
      <t>1</t>
    </r>
  </si>
  <si>
    <r>
      <t>h</t>
    </r>
    <r>
      <rPr>
        <b/>
        <vertAlign val="subscript"/>
        <sz val="14"/>
        <rFont val="Arial Cyr"/>
        <family val="2"/>
        <charset val="204"/>
      </rPr>
      <t>r</t>
    </r>
  </si>
  <si>
    <r>
      <t>h</t>
    </r>
    <r>
      <rPr>
        <b/>
        <vertAlign val="subscript"/>
        <sz val="14"/>
        <rFont val="Arial Cyr"/>
        <family val="2"/>
        <charset val="204"/>
      </rPr>
      <t>B</t>
    </r>
  </si>
  <si>
    <r>
      <t>r</t>
    </r>
    <r>
      <rPr>
        <b/>
        <vertAlign val="subscript"/>
        <sz val="14"/>
        <rFont val="Arial Cyr"/>
        <family val="2"/>
        <charset val="204"/>
      </rPr>
      <t>1</t>
    </r>
  </si>
  <si>
    <t>градус</t>
  </si>
  <si>
    <t>13,73-12,17</t>
  </si>
  <si>
    <t>6,865-6,085</t>
  </si>
  <si>
    <t>26,05-37,12</t>
  </si>
  <si>
    <t>3-6</t>
  </si>
  <si>
    <t>6-12</t>
  </si>
  <si>
    <t>5,48-9,94</t>
  </si>
  <si>
    <t>4,3-7,8</t>
  </si>
  <si>
    <t>8,05-11,67</t>
  </si>
  <si>
    <t>31,49-49,39</t>
  </si>
  <si>
    <t>6,08-11,14</t>
  </si>
  <si>
    <t>4,78-8,75</t>
  </si>
  <si>
    <t>15,79-24,47</t>
  </si>
  <si>
    <t>7,895-12,235</t>
  </si>
  <si>
    <t>38,23-61,71</t>
  </si>
  <si>
    <t>6-14</t>
  </si>
  <si>
    <t>6,68-14</t>
  </si>
  <si>
    <t>5,25-10,99</t>
  </si>
  <si>
    <t>26,56-46,33</t>
  </si>
  <si>
    <t>10,624-18,532</t>
  </si>
  <si>
    <t>44,97-80,65</t>
  </si>
  <si>
    <t>17,84-29,94</t>
  </si>
  <si>
    <t>8,92-14,97</t>
  </si>
  <si>
    <t>53,46-95,77</t>
  </si>
  <si>
    <t>13,365-23,9425</t>
  </si>
  <si>
    <t>3-4</t>
  </si>
  <si>
    <t>6-8</t>
  </si>
  <si>
    <t>7,28-9,48</t>
  </si>
  <si>
    <t>5,72-7,44</t>
  </si>
  <si>
    <t>29,88-37,26</t>
  </si>
  <si>
    <t>11,952-14,904</t>
  </si>
  <si>
    <t>62,35-78,48</t>
  </si>
  <si>
    <t>3,5-7</t>
  </si>
  <si>
    <t>7-14</t>
  </si>
  <si>
    <t>9,1-16,8</t>
  </si>
  <si>
    <t>7,14-13,19</t>
  </si>
  <si>
    <t>51,63-83,48</t>
  </si>
  <si>
    <t>80,94-133,19</t>
  </si>
  <si>
    <t>8,4-15,4</t>
  </si>
  <si>
    <t>6,59-12,09</t>
  </si>
  <si>
    <t>22,36-33,81</t>
  </si>
  <si>
    <t>11,18-16,905</t>
  </si>
  <si>
    <t>81,64-138,5</t>
  </si>
  <si>
    <t>4-7</t>
  </si>
  <si>
    <t>8-14</t>
  </si>
  <si>
    <t>11,08-18,2</t>
  </si>
  <si>
    <t>8,7-14,29</t>
  </si>
  <si>
    <t>63,57-93,37</t>
  </si>
  <si>
    <t>120,2-180,2</t>
  </si>
  <si>
    <t>10,28-16,8</t>
  </si>
  <si>
    <t>8,07-13,19</t>
  </si>
  <si>
    <t>27,2-37,68</t>
  </si>
  <si>
    <t>13,6-18,84</t>
  </si>
  <si>
    <t>119-175,6</t>
  </si>
  <si>
    <t>23,8-35,12</t>
  </si>
  <si>
    <t>45,75-65,92</t>
  </si>
  <si>
    <t>18,3-26,368</t>
  </si>
  <si>
    <t>137,5-205,9</t>
  </si>
  <si>
    <t>27,5-41,18</t>
  </si>
  <si>
    <t>12,68-21</t>
  </si>
  <si>
    <t>9,96-16,48</t>
  </si>
  <si>
    <t>99,9-150,5</t>
  </si>
  <si>
    <t>174,4-266,6</t>
  </si>
  <si>
    <t>34,88-53,32</t>
  </si>
  <si>
    <t>29,79-41,55</t>
  </si>
  <si>
    <t>14,895-20,775</t>
  </si>
  <si>
    <t>152,6-227,8</t>
  </si>
  <si>
    <t>11,88-19,6</t>
  </si>
  <si>
    <t>9,33-15,38</t>
  </si>
  <si>
    <t>49,99-72,45</t>
  </si>
  <si>
    <t>19,996-28,98</t>
  </si>
  <si>
    <t>175,1-265</t>
  </si>
  <si>
    <t>76,14-113,14</t>
  </si>
  <si>
    <t>197,6-302,1</t>
  </si>
  <si>
    <t>5-8</t>
  </si>
  <si>
    <t>10-16</t>
  </si>
  <si>
    <t>14,57-21,94</t>
  </si>
  <si>
    <t>11,44-17,22</t>
  </si>
  <si>
    <t>37,67-48,03</t>
  </si>
  <si>
    <t>18,835-24,015</t>
  </si>
  <si>
    <t>228,3-313,5</t>
  </si>
  <si>
    <t>38,05-52,25</t>
  </si>
  <si>
    <t>16,57-25,14</t>
  </si>
  <si>
    <t>13-19,73</t>
  </si>
  <si>
    <t>97,79-133,1</t>
  </si>
  <si>
    <t>294,5-414</t>
  </si>
  <si>
    <t>18,57-28,34</t>
  </si>
  <si>
    <t>14,58-22,25</t>
  </si>
  <si>
    <t>191-268,4</t>
  </si>
  <si>
    <t>47,75-67,1</t>
  </si>
  <si>
    <t>360,6-514,5</t>
  </si>
  <si>
    <t>60,1-85,75</t>
  </si>
  <si>
    <t>6-16</t>
  </si>
  <si>
    <t>11,48-28,34</t>
  </si>
  <si>
    <t>9,02-22,25</t>
  </si>
  <si>
    <t>74,83-154,9</t>
  </si>
  <si>
    <t>281,8-621,5</t>
  </si>
  <si>
    <t>20,57-31,54</t>
  </si>
  <si>
    <t>16,15-24,76</t>
  </si>
  <si>
    <t>219,2-310,1</t>
  </si>
  <si>
    <t>54,8-77,525</t>
  </si>
  <si>
    <t>527,3-761,1</t>
  </si>
  <si>
    <t>6-9</t>
  </si>
  <si>
    <t>12-18</t>
  </si>
  <si>
    <t>29,14-42,17</t>
  </si>
  <si>
    <t>22,88-33,1</t>
  </si>
  <si>
    <t>650,9-889,9</t>
  </si>
  <si>
    <t>827,3-1135</t>
  </si>
  <si>
    <t>12-20</t>
  </si>
  <si>
    <t>25,54-40,28</t>
  </si>
  <si>
    <t>20,5-31,62</t>
  </si>
  <si>
    <t>269,1-380,7</t>
  </si>
  <si>
    <t>67,275-95,175</t>
  </si>
  <si>
    <t>727,1-1060</t>
  </si>
  <si>
    <t>27,94-44,28</t>
  </si>
  <si>
    <t>21,93-34,76</t>
  </si>
  <si>
    <t>451,6-655,4</t>
  </si>
  <si>
    <t>90,32-131,08</t>
  </si>
  <si>
    <t>851,6-1256</t>
  </si>
  <si>
    <t>7-12</t>
  </si>
  <si>
    <t>14-24</t>
  </si>
  <si>
    <t>33,6-54,17</t>
  </si>
  <si>
    <t>26,37-42,52</t>
  </si>
  <si>
    <t>357,7-503,6</t>
  </si>
  <si>
    <t>89,425-125,9</t>
  </si>
  <si>
    <t>1306-1926</t>
  </si>
  <si>
    <t>8-12</t>
  </si>
  <si>
    <t>16-24</t>
  </si>
  <si>
    <t>41,14-58,97</t>
  </si>
  <si>
    <t>32,29-46,29</t>
  </si>
  <si>
    <t>664,1-872,3</t>
  </si>
  <si>
    <t>132,82-174,46</t>
  </si>
  <si>
    <t>1686-2265</t>
  </si>
  <si>
    <t>49,14-70,97</t>
  </si>
  <si>
    <t>38,57-55,71</t>
  </si>
  <si>
    <t>1714-2331</t>
  </si>
  <si>
    <t>2279-3114</t>
  </si>
  <si>
    <t>15х10</t>
  </si>
  <si>
    <t>20х10</t>
  </si>
  <si>
    <t>20х15</t>
  </si>
  <si>
    <t>25х10</t>
  </si>
  <si>
    <t>228,53-310,8</t>
  </si>
  <si>
    <t>108,483-148,316</t>
  </si>
  <si>
    <t>24,943-51,633</t>
  </si>
  <si>
    <t>32,596-44,366</t>
  </si>
  <si>
    <t>25,38-37,713</t>
  </si>
  <si>
    <t>28,543-43</t>
  </si>
  <si>
    <t>21,19-31,123</t>
  </si>
  <si>
    <t>17,21-27,827</t>
  </si>
  <si>
    <t>5,367-7,78</t>
  </si>
  <si>
    <t>4,073-6,2</t>
  </si>
  <si>
    <t>3,566-5,828</t>
  </si>
  <si>
    <t>2,907-4,64</t>
  </si>
  <si>
    <t>2,493-3,913</t>
  </si>
  <si>
    <t>2,387-3,727</t>
  </si>
  <si>
    <t>1,736-2,55</t>
  </si>
  <si>
    <t>0,92-1,189</t>
  </si>
  <si>
    <t>0,671-1,009</t>
  </si>
  <si>
    <t>0,429-0,825</t>
  </si>
  <si>
    <t>0,364-0,643</t>
  </si>
  <si>
    <t>0,299-0,511</t>
  </si>
  <si>
    <t>0,168-0,239</t>
  </si>
  <si>
    <t>0,372-0,650</t>
  </si>
  <si>
    <t>0,487-0,904</t>
  </si>
  <si>
    <t>1,171-1,678</t>
  </si>
  <si>
    <t>0,499-0,973</t>
  </si>
  <si>
    <t>0,639-1,34</t>
  </si>
  <si>
    <t>0,78-1,707</t>
  </si>
  <si>
    <t>1,126-1,886</t>
  </si>
  <si>
    <t>1,366-2,383</t>
  </si>
  <si>
    <t>1,606-2,88</t>
  </si>
  <si>
    <t>2,257-3,471</t>
  </si>
  <si>
    <t>3,019-4,852</t>
  </si>
  <si>
    <t>2,515-3,92</t>
  </si>
  <si>
    <t>3,338-5,418</t>
  </si>
  <si>
    <t>5,447-8,583</t>
  </si>
  <si>
    <t>6,137-9,847</t>
  </si>
  <si>
    <t>8,683-12,373</t>
  </si>
  <si>
    <t>8,997-14,111</t>
  </si>
  <si>
    <t>10,923-17,631</t>
  </si>
  <si>
    <t>12,848-23,043</t>
  </si>
  <si>
    <t>15,587-19,62</t>
  </si>
  <si>
    <t>20,235-33,297</t>
  </si>
  <si>
    <t>18,142-30,778</t>
  </si>
  <si>
    <t>26,711-40,044</t>
  </si>
  <si>
    <t>27,745-41,418</t>
  </si>
  <si>
    <t>31,836-48,182</t>
  </si>
  <si>
    <t>35,927-54,927</t>
  </si>
  <si>
    <t>49,083-69</t>
  </si>
  <si>
    <t>40,257-88,786</t>
  </si>
  <si>
    <t>75,328-108,7286</t>
  </si>
  <si>
    <t>118,186-162,143</t>
  </si>
  <si>
    <t>96,947-141,333</t>
  </si>
  <si>
    <t>113,547-167,467</t>
  </si>
  <si>
    <t>145,111-214</t>
  </si>
  <si>
    <t>187,333-251,667</t>
  </si>
  <si>
    <t>253,222-346</t>
  </si>
  <si>
    <t>25х15</t>
  </si>
  <si>
    <t>28х25</t>
  </si>
  <si>
    <t>30х10</t>
  </si>
  <si>
    <t>30х15</t>
  </si>
  <si>
    <t>30х20</t>
  </si>
  <si>
    <t>35х15</t>
  </si>
  <si>
    <t>35х20</t>
  </si>
  <si>
    <t>35х25</t>
  </si>
  <si>
    <t>40х15</t>
  </si>
  <si>
    <t>40х20</t>
  </si>
  <si>
    <t>40х25</t>
  </si>
  <si>
    <t>40х28</t>
  </si>
  <si>
    <t>40х30</t>
  </si>
  <si>
    <t>(42)х20</t>
  </si>
  <si>
    <t>(42)х30</t>
  </si>
  <si>
    <t>45х20</t>
  </si>
  <si>
    <t>45х25</t>
  </si>
  <si>
    <t>50х25</t>
  </si>
  <si>
    <t>50х30</t>
  </si>
  <si>
    <t>50х35</t>
  </si>
  <si>
    <t>50х40</t>
  </si>
  <si>
    <t>60х25</t>
  </si>
  <si>
    <t>60х30</t>
  </si>
  <si>
    <t>60х40</t>
  </si>
  <si>
    <t>70х30</t>
  </si>
  <si>
    <t>70х40</t>
  </si>
  <si>
    <t>70х50</t>
  </si>
  <si>
    <t>80х40</t>
  </si>
  <si>
    <t>80х50</t>
  </si>
  <si>
    <t>80х60</t>
  </si>
  <si>
    <t>90х40</t>
  </si>
  <si>
    <t>90х50</t>
  </si>
  <si>
    <t>90х60</t>
  </si>
  <si>
    <t>100х40</t>
  </si>
  <si>
    <t>100х50</t>
  </si>
  <si>
    <t>100х70</t>
  </si>
  <si>
    <t>110х40</t>
  </si>
  <si>
    <t>110х50</t>
  </si>
  <si>
    <t>110х60</t>
  </si>
  <si>
    <t>120х40</t>
  </si>
  <si>
    <t>120х60</t>
  </si>
  <si>
    <t>120х80</t>
  </si>
  <si>
    <t>140х60</t>
  </si>
  <si>
    <t>140х80</t>
  </si>
  <si>
    <t>140х120</t>
  </si>
  <si>
    <t>150х60</t>
  </si>
  <si>
    <t>150х80</t>
  </si>
  <si>
    <t>150х100</t>
  </si>
  <si>
    <t>160х130</t>
  </si>
  <si>
    <t>180х80</t>
  </si>
  <si>
    <t>180х100</t>
  </si>
  <si>
    <t>180х145</t>
  </si>
  <si>
    <t>180х150</t>
  </si>
  <si>
    <t>190х120</t>
  </si>
  <si>
    <t>196х170</t>
  </si>
  <si>
    <t>200х120</t>
  </si>
  <si>
    <t>230х100</t>
  </si>
  <si>
    <t>1-1,5</t>
  </si>
  <si>
    <t>2-3</t>
  </si>
  <si>
    <t>0,543-0,771</t>
  </si>
  <si>
    <t>0,426-0,605</t>
  </si>
  <si>
    <t>0,176-0,299</t>
  </si>
  <si>
    <t>0-0</t>
  </si>
  <si>
    <t>0,743-1,37</t>
  </si>
  <si>
    <t>0,583-1,075</t>
  </si>
  <si>
    <t>0,442-0,723</t>
  </si>
  <si>
    <t>0,897-1,95</t>
  </si>
  <si>
    <t>1,7-3,04</t>
  </si>
  <si>
    <t>2,79-4,23</t>
  </si>
  <si>
    <t>1,86-2,82</t>
  </si>
  <si>
    <t>4-10</t>
  </si>
  <si>
    <t>2,57-5,57</t>
  </si>
  <si>
    <t>2,02-4,37</t>
  </si>
  <si>
    <t>4,61-8,05</t>
  </si>
  <si>
    <t>36-40</t>
  </si>
  <si>
    <t>4-2</t>
  </si>
  <si>
    <t>8-4</t>
  </si>
  <si>
    <t>4,84-2,97</t>
  </si>
  <si>
    <t>3,8-2,33</t>
  </si>
  <si>
    <t>8,05-7,07</t>
  </si>
  <si>
    <t>2,5-6</t>
  </si>
  <si>
    <t>5-12</t>
  </si>
  <si>
    <t>3,64-7,54</t>
  </si>
  <si>
    <t>2,85-5,92</t>
  </si>
  <si>
    <t>8,42-13,96</t>
  </si>
  <si>
    <t>4,21-6,98</t>
  </si>
  <si>
    <t>4,52-8,02</t>
  </si>
  <si>
    <t>3,55-6,3</t>
  </si>
  <si>
    <t>11,3-16,69</t>
  </si>
  <si>
    <t>4,88-10,74</t>
  </si>
  <si>
    <t>3,83-8,43</t>
  </si>
  <si>
    <t>14,15-23,23</t>
  </si>
  <si>
    <t>5,48-12,34</t>
  </si>
  <si>
    <t>4,31-9,69</t>
  </si>
  <si>
    <t>19,93-34,7</t>
  </si>
  <si>
    <t>7,972-13,88</t>
  </si>
  <si>
    <t>3,5-8</t>
  </si>
  <si>
    <t>7-16</t>
  </si>
  <si>
    <t>7,7-15,54</t>
  </si>
  <si>
    <t>6,04-12,2</t>
  </si>
  <si>
    <t>40,44-67,71</t>
  </si>
  <si>
    <t>13,48-22,57</t>
  </si>
  <si>
    <t>8-16</t>
  </si>
  <si>
    <t>10,28-18,74</t>
  </si>
  <si>
    <t>8,07-14,71</t>
  </si>
  <si>
    <t>73,74-116,81</t>
  </si>
  <si>
    <t>11,88-21,94</t>
  </si>
  <si>
    <t>9,33-17,22</t>
  </si>
  <si>
    <t>113,17-185,2</t>
  </si>
  <si>
    <t>197,12-276,08</t>
  </si>
  <si>
    <t>21,94-31,37</t>
  </si>
  <si>
    <t>17,22-24,62</t>
  </si>
  <si>
    <t>318,89-424,11</t>
  </si>
  <si>
    <t>63,778-84,822</t>
  </si>
  <si>
    <t>24,34-34,97</t>
  </si>
  <si>
    <t>19,11-27,45</t>
  </si>
  <si>
    <t>433,59-583,63</t>
  </si>
  <si>
    <t>26,74-38,57</t>
  </si>
  <si>
    <t>20,99-30,28</t>
  </si>
  <si>
    <t>572,94-778,82</t>
  </si>
  <si>
    <t>31,54-45,77</t>
  </si>
  <si>
    <t>24,76-35,93</t>
  </si>
  <si>
    <t>935,19-1290,58</t>
  </si>
  <si>
    <t>7-10</t>
  </si>
  <si>
    <t>14-20</t>
  </si>
  <si>
    <t>39,2-54,28</t>
  </si>
  <si>
    <t>30,77-42,61</t>
  </si>
  <si>
    <t>1322,44-1747,21</t>
  </si>
  <si>
    <t>16-28</t>
  </si>
  <si>
    <t>53,94-89,59</t>
  </si>
  <si>
    <t>42,34-70,33</t>
  </si>
  <si>
    <t>2634,06-4043,41</t>
  </si>
  <si>
    <t>292,673-449,268</t>
  </si>
  <si>
    <t>176,325-232,961</t>
  </si>
  <si>
    <t>133,598-184,368</t>
  </si>
  <si>
    <t>95,49-129,803</t>
  </si>
  <si>
    <t>78,834-106,114</t>
  </si>
  <si>
    <t>43,804-61,351</t>
  </si>
  <si>
    <t>28,292-46,3</t>
  </si>
  <si>
    <t>21,068-33,374</t>
  </si>
  <si>
    <t>6,289-10,324</t>
  </si>
  <si>
    <t>5,381-7,948</t>
  </si>
  <si>
    <t>4,472-3,535</t>
  </si>
  <si>
    <t>2,634-4,6</t>
  </si>
  <si>
    <t>0,718-1,56</t>
  </si>
  <si>
    <t>0,235-0,399</t>
  </si>
  <si>
    <t>НАИМЕНОВАНИЕ ЛИСТОВ</t>
  </si>
  <si>
    <t>Начало</t>
  </si>
  <si>
    <t>1Уголок равнобок</t>
  </si>
  <si>
    <t>1- Уголки ст. горяч. равнополочные</t>
  </si>
  <si>
    <t>2Уголок неравнобок</t>
  </si>
  <si>
    <t>2- Уголки ст. горяч. неравнополочные</t>
  </si>
  <si>
    <t>3Швеллер с уклоном полок</t>
  </si>
  <si>
    <t>3- Швеллеры ст. горяч. (с уклоном внутренних граней полок)</t>
  </si>
  <si>
    <t>4Швеллер с параллельн. полками</t>
  </si>
  <si>
    <t>4- Швеллеры ст. горяч. (с параллельными гранями полок)</t>
  </si>
  <si>
    <t>5Швеллеры специальные</t>
  </si>
  <si>
    <t>5-Швеллеры стальные специальные</t>
  </si>
  <si>
    <t>6Двутавр</t>
  </si>
  <si>
    <t>6- Двутавры стальные горячекатанные</t>
  </si>
  <si>
    <t>7Двут с парал. полк.норм.</t>
  </si>
  <si>
    <t>7- Двутавры ст. горяч. с параллельными гранями полок (нормальные)</t>
  </si>
  <si>
    <t>8Двут. с парал. полк. широкоп.</t>
  </si>
  <si>
    <t>8- Двутавры ст. горяч. с параллельными гранями полок (широкополочные)</t>
  </si>
  <si>
    <t>9Двут. с парал. полк. колонны</t>
  </si>
  <si>
    <t>9- Двутавры ст. горяч. с параллельными гранями полок (колонные)</t>
  </si>
  <si>
    <t>10Двут.с парал. полк. доп.серии</t>
  </si>
  <si>
    <t>10- Двутавры ст. горяч. с параллельными гранями полок (дополнительные)</t>
  </si>
  <si>
    <t>11Двутавры специальные</t>
  </si>
  <si>
    <t>11- Балки двутавровые … стальные специальные.</t>
  </si>
  <si>
    <t>Толстолистовая</t>
  </si>
  <si>
    <t xml:space="preserve">12- Сталь листовая </t>
  </si>
  <si>
    <t>12Сталь листовая</t>
  </si>
  <si>
    <t>13- Полоса стальная</t>
  </si>
  <si>
    <t>Тонколистовая</t>
  </si>
  <si>
    <t>14- Прокат стальной (круглый, квадратный, шестигранный)</t>
  </si>
  <si>
    <t>13Сталь полосовая</t>
  </si>
  <si>
    <t>15- Трубы</t>
  </si>
  <si>
    <t>14Стержни</t>
  </si>
  <si>
    <t>15Трубы</t>
  </si>
  <si>
    <t>ГОСТы размеров</t>
  </si>
  <si>
    <t xml:space="preserve">РАСЧЕТ ВЕСА И ДЛИНЫ ПРОФИЛЯ </t>
  </si>
  <si>
    <t>12</t>
  </si>
  <si>
    <t>кг</t>
  </si>
  <si>
    <t>10</t>
  </si>
  <si>
    <t xml:space="preserve"> м</t>
  </si>
  <si>
    <t>площадь сечения</t>
  </si>
  <si>
    <r>
      <t>см</t>
    </r>
    <r>
      <rPr>
        <vertAlign val="superscript"/>
        <sz val="10"/>
        <rFont val="Arial Cyr"/>
        <family val="2"/>
        <charset val="204"/>
      </rPr>
      <t>2</t>
    </r>
  </si>
  <si>
    <t>искомое значение</t>
  </si>
  <si>
    <t>УГОЛКИ СТАЛЬНЫЕ ГОРЯЧЕКАТАННЫЕ РАВНОПОЛОЧНЫЕ по ГОСТ 8509-86</t>
  </si>
  <si>
    <t xml:space="preserve"> Размер уголка,</t>
  </si>
  <si>
    <r>
      <t>Масса</t>
    </r>
    <r>
      <rPr>
        <sz val="10"/>
        <rFont val="Arial Cyr"/>
        <charset val="204"/>
      </rPr>
      <t/>
    </r>
  </si>
  <si>
    <r>
      <t>Площадь сечения</t>
    </r>
    <r>
      <rPr>
        <b/>
        <sz val="7"/>
        <rFont val="Arial Cyr"/>
        <family val="2"/>
        <charset val="204"/>
      </rPr>
      <t>,</t>
    </r>
    <r>
      <rPr>
        <sz val="10"/>
        <rFont val="Arial Cyr"/>
        <charset val="204"/>
      </rPr>
      <t/>
    </r>
  </si>
  <si>
    <r>
      <t>Площадь</t>
    </r>
    <r>
      <rPr>
        <sz val="8"/>
        <rFont val="Arial Cyr"/>
        <family val="2"/>
        <charset val="204"/>
      </rPr>
      <t xml:space="preserve"> поперечного сечения стержня</t>
    </r>
  </si>
  <si>
    <t>6-40</t>
  </si>
  <si>
    <t>6-18</t>
  </si>
  <si>
    <t>Ст3кп3, Ст3пс3, Ст3сп3, ВСт3кп2, ВСт3пс2, ВСт3сп2</t>
  </si>
  <si>
    <t>ВСт3Гпс2</t>
  </si>
  <si>
    <t>10-40</t>
  </si>
  <si>
    <t>ВСт5сп2, ВСт5с2</t>
  </si>
  <si>
    <t>40-80</t>
  </si>
  <si>
    <t>18Г2С</t>
  </si>
  <si>
    <t>10-32 (36-40)</t>
  </si>
  <si>
    <t>10ГТ</t>
  </si>
  <si>
    <t>6-22</t>
  </si>
  <si>
    <t>35ГС, 25Г2С</t>
  </si>
  <si>
    <t>32Г2Рпс</t>
  </si>
  <si>
    <t>10-18 (6-8)</t>
  </si>
  <si>
    <t>80С</t>
  </si>
  <si>
    <t>20ХГ2Ц</t>
  </si>
  <si>
    <t>(6-8) 10-32 (36-40)</t>
  </si>
  <si>
    <t>23Х2Г2Т</t>
  </si>
  <si>
    <t>10-22</t>
  </si>
  <si>
    <t>22Х2Г2АЮ, 22Х2Г2Р, 20Х2Г2СР</t>
  </si>
  <si>
    <t>A-I (А240)</t>
  </si>
  <si>
    <t>A-II (А300)</t>
  </si>
  <si>
    <t>Ac-II (А300)</t>
  </si>
  <si>
    <t>A-III (А400)</t>
  </si>
  <si>
    <t>A-IV (А600)</t>
  </si>
  <si>
    <t>A-V (А800)</t>
  </si>
  <si>
    <t>A-VI (А1000)</t>
  </si>
  <si>
    <r>
      <t xml:space="preserve">Ось       </t>
    </r>
    <r>
      <rPr>
        <b/>
        <sz val="8"/>
        <rFont val="Arial Cyr"/>
        <family val="2"/>
        <charset val="204"/>
      </rPr>
      <t xml:space="preserve"> x-x</t>
    </r>
    <r>
      <rPr>
        <sz val="10"/>
        <rFont val="Arial Cyr"/>
        <charset val="204"/>
      </rPr>
      <t/>
    </r>
  </si>
  <si>
    <r>
      <t xml:space="preserve">Ось        </t>
    </r>
    <r>
      <rPr>
        <b/>
        <sz val="8"/>
        <rFont val="Arial Cyr"/>
        <charset val="204"/>
      </rPr>
      <t>x-x</t>
    </r>
  </si>
  <si>
    <r>
      <t xml:space="preserve">Ось         </t>
    </r>
    <r>
      <rPr>
        <b/>
        <sz val="8"/>
        <rFont val="Arial Cyr"/>
        <family val="2"/>
        <charset val="204"/>
      </rPr>
      <t>x-x</t>
    </r>
    <r>
      <rPr>
        <sz val="10"/>
        <rFont val="Arial Cyr"/>
        <charset val="204"/>
      </rPr>
      <t/>
    </r>
  </si>
  <si>
    <r>
      <t xml:space="preserve">Ось            </t>
    </r>
    <r>
      <rPr>
        <b/>
        <sz val="8"/>
        <rFont val="Arial Cyr"/>
        <family val="2"/>
        <charset val="204"/>
      </rPr>
      <t>x</t>
    </r>
    <r>
      <rPr>
        <b/>
        <vertAlign val="subscript"/>
        <sz val="8"/>
        <rFont val="Arial Cyr"/>
        <family val="2"/>
        <charset val="204"/>
      </rPr>
      <t xml:space="preserve">0 </t>
    </r>
    <r>
      <rPr>
        <b/>
        <sz val="8"/>
        <rFont val="Arial Cyr"/>
        <family val="2"/>
        <charset val="204"/>
      </rPr>
      <t>- x</t>
    </r>
    <r>
      <rPr>
        <b/>
        <vertAlign val="subscript"/>
        <sz val="8"/>
        <rFont val="Arial Cyr"/>
        <family val="2"/>
        <charset val="204"/>
      </rPr>
      <t>0</t>
    </r>
    <r>
      <rPr>
        <sz val="10"/>
        <rFont val="Arial Cyr"/>
        <charset val="204"/>
      </rPr>
      <t/>
    </r>
  </si>
  <si>
    <r>
      <t xml:space="preserve">Ось            </t>
    </r>
    <r>
      <rPr>
        <b/>
        <sz val="8"/>
        <rFont val="Arial Cyr"/>
        <family val="2"/>
        <charset val="204"/>
      </rPr>
      <t>x</t>
    </r>
    <r>
      <rPr>
        <b/>
        <vertAlign val="subscript"/>
        <sz val="8"/>
        <rFont val="Arial Cyr"/>
        <family val="2"/>
        <charset val="204"/>
      </rPr>
      <t xml:space="preserve">0 </t>
    </r>
    <r>
      <rPr>
        <b/>
        <sz val="8"/>
        <rFont val="Arial Cyr"/>
        <family val="2"/>
        <charset val="204"/>
      </rPr>
      <t>- x</t>
    </r>
    <r>
      <rPr>
        <b/>
        <vertAlign val="subscript"/>
        <sz val="8"/>
        <rFont val="Arial Cyr"/>
        <family val="2"/>
        <charset val="204"/>
      </rPr>
      <t>0</t>
    </r>
    <r>
      <rPr>
        <sz val="8"/>
        <rFont val="Arial Cyr"/>
        <family val="2"/>
        <charset val="204"/>
      </rPr>
      <t xml:space="preserve"> </t>
    </r>
  </si>
  <si>
    <r>
      <t xml:space="preserve">Ось            </t>
    </r>
    <r>
      <rPr>
        <b/>
        <sz val="8"/>
        <rFont val="Arial Cyr"/>
        <family val="2"/>
        <charset val="204"/>
      </rPr>
      <t>y</t>
    </r>
    <r>
      <rPr>
        <b/>
        <vertAlign val="subscript"/>
        <sz val="8"/>
        <rFont val="Arial Cyr"/>
        <family val="2"/>
        <charset val="204"/>
      </rPr>
      <t xml:space="preserve">0 </t>
    </r>
    <r>
      <rPr>
        <b/>
        <sz val="8"/>
        <rFont val="Arial Cyr"/>
        <family val="2"/>
        <charset val="204"/>
      </rPr>
      <t>- y</t>
    </r>
    <r>
      <rPr>
        <b/>
        <vertAlign val="subscript"/>
        <sz val="8"/>
        <rFont val="Arial Cyr"/>
        <family val="2"/>
        <charset val="204"/>
      </rPr>
      <t>0</t>
    </r>
    <r>
      <rPr>
        <sz val="10"/>
        <rFont val="Arial Cyr"/>
        <charset val="204"/>
      </rPr>
      <t/>
    </r>
  </si>
  <si>
    <r>
      <t>Центр тяжести</t>
    </r>
    <r>
      <rPr>
        <sz val="10"/>
        <rFont val="Arial Cyr"/>
        <charset val="204"/>
      </rPr>
      <t/>
    </r>
  </si>
  <si>
    <t>b</t>
  </si>
  <si>
    <t>t</t>
  </si>
  <si>
    <t>1м</t>
  </si>
  <si>
    <t>F</t>
  </si>
  <si>
    <t>R</t>
  </si>
  <si>
    <t>r</t>
  </si>
  <si>
    <r>
      <t>J</t>
    </r>
    <r>
      <rPr>
        <b/>
        <vertAlign val="subscript"/>
        <sz val="11"/>
        <rFont val="Arial Cyr"/>
        <family val="2"/>
        <charset val="204"/>
      </rPr>
      <t>x</t>
    </r>
  </si>
  <si>
    <r>
      <t>W</t>
    </r>
    <r>
      <rPr>
        <vertAlign val="subscript"/>
        <sz val="11"/>
        <rFont val="Arial Cyr"/>
        <family val="2"/>
        <charset val="204"/>
      </rPr>
      <t>x</t>
    </r>
  </si>
  <si>
    <r>
      <t>i</t>
    </r>
    <r>
      <rPr>
        <b/>
        <vertAlign val="subscript"/>
        <sz val="11"/>
        <rFont val="Arial Cyr"/>
        <family val="2"/>
        <charset val="204"/>
      </rPr>
      <t>x</t>
    </r>
  </si>
  <si>
    <r>
      <t>J</t>
    </r>
    <r>
      <rPr>
        <b/>
        <vertAlign val="subscript"/>
        <sz val="11"/>
        <rFont val="Arial Cyr"/>
        <family val="2"/>
        <charset val="204"/>
      </rPr>
      <t>x0</t>
    </r>
  </si>
  <si>
    <r>
      <t>i</t>
    </r>
    <r>
      <rPr>
        <b/>
        <vertAlign val="subscript"/>
        <sz val="11"/>
        <rFont val="Arial Cyr"/>
        <family val="2"/>
        <charset val="204"/>
      </rPr>
      <t>x0</t>
    </r>
  </si>
  <si>
    <r>
      <t>J</t>
    </r>
    <r>
      <rPr>
        <b/>
        <vertAlign val="subscript"/>
        <sz val="11"/>
        <rFont val="Arial Cyr"/>
        <family val="2"/>
        <charset val="204"/>
      </rPr>
      <t>y0</t>
    </r>
  </si>
  <si>
    <r>
      <t>W</t>
    </r>
    <r>
      <rPr>
        <vertAlign val="subscript"/>
        <sz val="11"/>
        <rFont val="Arial Cyr"/>
        <family val="2"/>
        <charset val="204"/>
      </rPr>
      <t>y0</t>
    </r>
  </si>
  <si>
    <r>
      <t>i</t>
    </r>
    <r>
      <rPr>
        <b/>
        <vertAlign val="subscript"/>
        <sz val="11"/>
        <rFont val="Arial Cyr"/>
        <family val="2"/>
        <charset val="204"/>
      </rPr>
      <t>y0</t>
    </r>
  </si>
  <si>
    <r>
      <t>J</t>
    </r>
    <r>
      <rPr>
        <b/>
        <vertAlign val="subscript"/>
        <sz val="11"/>
        <rFont val="Arial Cyr"/>
        <family val="2"/>
        <charset val="204"/>
      </rPr>
      <t>xy</t>
    </r>
  </si>
  <si>
    <r>
      <t>Z</t>
    </r>
    <r>
      <rPr>
        <b/>
        <vertAlign val="subscript"/>
        <sz val="11"/>
        <rFont val="Arial Cyr"/>
        <family val="2"/>
        <charset val="204"/>
      </rPr>
      <t>0</t>
    </r>
  </si>
  <si>
    <t>№</t>
  </si>
  <si>
    <t>мм</t>
  </si>
  <si>
    <r>
      <t>см</t>
    </r>
    <r>
      <rPr>
        <vertAlign val="superscript"/>
        <sz val="9"/>
        <color indexed="17"/>
        <rFont val="Arial Cyr"/>
        <family val="2"/>
        <charset val="204"/>
      </rPr>
      <t>2</t>
    </r>
  </si>
  <si>
    <r>
      <t>см</t>
    </r>
    <r>
      <rPr>
        <vertAlign val="superscript"/>
        <sz val="9"/>
        <color indexed="17"/>
        <rFont val="Arial Cyr"/>
        <family val="2"/>
        <charset val="204"/>
      </rPr>
      <t>4</t>
    </r>
  </si>
  <si>
    <r>
      <t>см</t>
    </r>
    <r>
      <rPr>
        <vertAlign val="superscript"/>
        <sz val="9"/>
        <color indexed="17"/>
        <rFont val="Arial Cyr"/>
        <family val="2"/>
        <charset val="204"/>
      </rPr>
      <t>3</t>
    </r>
  </si>
  <si>
    <t>см</t>
  </si>
  <si>
    <t>*</t>
  </si>
  <si>
    <t>5</t>
  </si>
  <si>
    <t>6</t>
  </si>
  <si>
    <t>7</t>
  </si>
  <si>
    <t>8</t>
  </si>
  <si>
    <t>4</t>
  </si>
  <si>
    <t>15</t>
  </si>
  <si>
    <t>18</t>
  </si>
  <si>
    <t>20</t>
  </si>
  <si>
    <t>24</t>
  </si>
  <si>
    <t>b - ширина полки (мм)</t>
  </si>
  <si>
    <t>t - толщина полки (мм)</t>
  </si>
  <si>
    <t>Масса   1м (кг)</t>
  </si>
  <si>
    <t>F - плщадь сечения (см2)</t>
  </si>
  <si>
    <t>R - радиус внутреннего закругления (мм)</t>
  </si>
  <si>
    <t>r- радиус закругления полок (мм)</t>
  </si>
  <si>
    <t>Jx - момент инерции (см4)</t>
  </si>
  <si>
    <t>Wx- момент сопротивления (см3)</t>
  </si>
  <si>
    <t>ix - радиус инерции (см)</t>
  </si>
  <si>
    <t>Jxo - момент инерции (см4)</t>
  </si>
  <si>
    <t>ixo - радиус инерции (см)</t>
  </si>
  <si>
    <t>Jyo - момент инерции (см4)</t>
  </si>
  <si>
    <t>Wyo - момент сопротивления (см3)</t>
  </si>
  <si>
    <t>iyo - радиус инерции (см)</t>
  </si>
  <si>
    <t>Jxy - центробежный момент инерции (см4)</t>
  </si>
  <si>
    <r>
      <t>Z</t>
    </r>
    <r>
      <rPr>
        <vertAlign val="subscript"/>
        <sz val="10"/>
        <rFont val="Arial Cyr"/>
        <family val="2"/>
        <charset val="204"/>
      </rPr>
      <t>o - расстояние от центра тяжести до наружной грани полки(см)</t>
    </r>
  </si>
  <si>
    <t>2</t>
  </si>
  <si>
    <t>3</t>
  </si>
  <si>
    <t>9</t>
  </si>
  <si>
    <t>d</t>
  </si>
  <si>
    <r>
      <t>.</t>
    </r>
    <r>
      <rPr>
        <sz val="9"/>
        <color indexed="17"/>
        <rFont val="Arial Cyr"/>
        <family val="2"/>
        <charset val="204"/>
      </rPr>
      <t>мм</t>
    </r>
  </si>
  <si>
    <t>3 - 4</t>
  </si>
  <si>
    <t>0,89 - 1,15</t>
  </si>
  <si>
    <t>1,13 - 1,46</t>
  </si>
  <si>
    <t>0,4-0,5</t>
  </si>
  <si>
    <t>0,28-0,37</t>
  </si>
  <si>
    <t>0,59-0,58</t>
  </si>
  <si>
    <t>0,63-0,78</t>
  </si>
  <si>
    <t>0,75-0,73</t>
  </si>
  <si>
    <t>0,17-0,22</t>
  </si>
  <si>
    <t>0,2-0,24</t>
  </si>
  <si>
    <t>0,39-0,38</t>
  </si>
  <si>
    <t>0,23-0,28</t>
  </si>
  <si>
    <t>0,6-0,64</t>
  </si>
  <si>
    <t>3 - 5</t>
  </si>
  <si>
    <t>1,12 - 1,78</t>
  </si>
  <si>
    <t>1,43 - 2,27</t>
  </si>
  <si>
    <t>0,81-1,22</t>
  </si>
  <si>
    <t>0,46-0,71</t>
  </si>
  <si>
    <t>1,29-1,91</t>
  </si>
  <si>
    <t>0,95-0,92</t>
  </si>
  <si>
    <t>0,34-0,53</t>
  </si>
  <si>
    <t>0,33-0,47</t>
  </si>
  <si>
    <t>0,49-0,48</t>
  </si>
  <si>
    <t>0,47-0,69</t>
  </si>
  <si>
    <t>0,73-0,80</t>
  </si>
  <si>
    <t>1,36 - 2,18</t>
  </si>
  <si>
    <t>1,74 - 2,78</t>
  </si>
  <si>
    <t>1,45-2,20</t>
  </si>
  <si>
    <t>0,67-1,06</t>
  </si>
  <si>
    <t>0,91-0,8</t>
  </si>
  <si>
    <t>2,3-3,47</t>
  </si>
  <si>
    <t>1,15-1,12</t>
  </si>
  <si>
    <t>0,6-0,94</t>
  </si>
  <si>
    <t>0,53-0,71</t>
  </si>
  <si>
    <t>0,85-1,27</t>
  </si>
  <si>
    <t>0,85-0,93</t>
  </si>
  <si>
    <t>1,46 - 1,91</t>
  </si>
  <si>
    <t>1,86 - 2,43</t>
  </si>
  <si>
    <t>1,77-2,26</t>
  </si>
  <si>
    <t>0,77-1,00</t>
  </si>
  <si>
    <t>0,97-0,96</t>
  </si>
  <si>
    <t>2,8-3,58</t>
  </si>
  <si>
    <t>1,23-1,21</t>
  </si>
  <si>
    <t>0,74-0,94</t>
  </si>
  <si>
    <t>0,59-0,71</t>
  </si>
  <si>
    <t>0,63-0,62</t>
  </si>
  <si>
    <t>1,03-1,32</t>
  </si>
  <si>
    <t>0,89-0,94</t>
  </si>
  <si>
    <t>1,60 - 2,58</t>
  </si>
  <si>
    <t>2,04 - 3,28</t>
  </si>
  <si>
    <t>2,35-3,61</t>
  </si>
  <si>
    <t>0,93-1,47</t>
  </si>
  <si>
    <t>1,07-1,05</t>
  </si>
  <si>
    <t>3,72-5,71</t>
  </si>
  <si>
    <t>1,35-1,32</t>
  </si>
  <si>
    <t>0,97-1,52</t>
  </si>
  <si>
    <t>0,71-1,02</t>
  </si>
  <si>
    <t>0,69-0,68</t>
  </si>
  <si>
    <t>1,37-2,10</t>
  </si>
  <si>
    <t>0,97-1,05</t>
  </si>
  <si>
    <t>3 - 6</t>
  </si>
  <si>
    <t>1,85 - 3,52</t>
  </si>
  <si>
    <t>2,36 - 4,48</t>
  </si>
  <si>
    <t>3,55-6,41</t>
  </si>
  <si>
    <t>1,22-2,30</t>
  </si>
  <si>
    <t>1,23-1,2</t>
  </si>
  <si>
    <t>5,63-10,13</t>
  </si>
  <si>
    <t>1,55-1,50</t>
  </si>
  <si>
    <t>1,47-2,70</t>
  </si>
  <si>
    <t>0,95-1,58</t>
  </si>
  <si>
    <t>0,79-0,78</t>
  </si>
  <si>
    <t>2,08-3,72</t>
  </si>
  <si>
    <t>1,09-1,21</t>
  </si>
  <si>
    <t>2,08 - 3,37</t>
  </si>
  <si>
    <t>2,65 - 4,29</t>
  </si>
  <si>
    <t>5,13-8,03</t>
  </si>
  <si>
    <t>1,56-2,51</t>
  </si>
  <si>
    <t>1,39-1,37</t>
  </si>
  <si>
    <t>8,13-12,7</t>
  </si>
  <si>
    <t>1,75-1,72</t>
  </si>
  <si>
    <t>2,12-3,33</t>
  </si>
  <si>
    <t>1,24-1,81</t>
  </si>
  <si>
    <t>0,89-0,88</t>
  </si>
  <si>
    <t>3-4,71</t>
  </si>
  <si>
    <t>1,21-1,30</t>
  </si>
  <si>
    <t>3 - 8</t>
  </si>
  <si>
    <t>2,32 - 5,82</t>
  </si>
  <si>
    <t>2,95 - 7,41</t>
  </si>
  <si>
    <t>7,11-16,51</t>
  </si>
  <si>
    <t>1,94-4,76</t>
  </si>
  <si>
    <t>1,55-1,49</t>
  </si>
  <si>
    <t>11,3-26,03</t>
  </si>
  <si>
    <t>1,95-1,87</t>
  </si>
  <si>
    <t>2,95-6,98</t>
  </si>
  <si>
    <t>1,6-3,22</t>
  </si>
  <si>
    <t>1-0,97</t>
  </si>
  <si>
    <t>4,16-9,52</t>
  </si>
  <si>
    <t>1,33-1,53</t>
  </si>
  <si>
    <t>4 - 5</t>
  </si>
  <si>
    <t>3,44 - 4,25</t>
  </si>
  <si>
    <t>4,38 - 5,41</t>
  </si>
  <si>
    <t>13,1-15,97</t>
  </si>
  <si>
    <t>3,21-3,96</t>
  </si>
  <si>
    <t>1,73-1,72</t>
  </si>
  <si>
    <t>20,8-25,4</t>
  </si>
  <si>
    <r>
      <t>Номер профиля (</t>
    </r>
    <r>
      <rPr>
        <sz val="8"/>
        <rFont val="Arial Cyr"/>
        <family val="2"/>
        <charset val="204"/>
      </rPr>
      <t>номинальный диаметр</t>
    </r>
    <r>
      <rPr>
        <sz val="9"/>
        <rFont val="Arial Cyr"/>
        <family val="2"/>
        <charset val="204"/>
      </rPr>
      <t xml:space="preserve"> </t>
    </r>
    <r>
      <rPr>
        <sz val="10"/>
        <rFont val="Arial Cyr"/>
        <family val="2"/>
        <charset val="204"/>
      </rPr>
      <t>d</t>
    </r>
    <r>
      <rPr>
        <vertAlign val="subscript"/>
        <sz val="10"/>
        <rFont val="Arial Cyr"/>
        <family val="2"/>
        <charset val="204"/>
      </rPr>
      <t>н</t>
    </r>
    <r>
      <rPr>
        <sz val="9"/>
        <rFont val="Arial Cyr"/>
        <family val="2"/>
        <charset val="204"/>
      </rPr>
      <t>)</t>
    </r>
  </si>
  <si>
    <r>
      <t xml:space="preserve">Масса 1 м профиля </t>
    </r>
    <r>
      <rPr>
        <sz val="8"/>
        <rFont val="Arial Cyr"/>
        <family val="2"/>
        <charset val="204"/>
      </rPr>
      <t>(теоретическая)</t>
    </r>
  </si>
  <si>
    <t>Марка стали</t>
  </si>
  <si>
    <t xml:space="preserve">Диаметры </t>
  </si>
  <si>
    <t xml:space="preserve"> стали</t>
  </si>
  <si>
    <t xml:space="preserve">Предел </t>
  </si>
  <si>
    <t>профиля,</t>
  </si>
  <si>
    <t xml:space="preserve">Временное </t>
  </si>
  <si>
    <r>
      <t>Н/мм</t>
    </r>
    <r>
      <rPr>
        <vertAlign val="superscript"/>
        <sz val="9"/>
        <rFont val="Arial Cyr"/>
        <family val="2"/>
        <charset val="204"/>
      </rPr>
      <t>2</t>
    </r>
  </si>
  <si>
    <r>
      <t>кгс/мм</t>
    </r>
    <r>
      <rPr>
        <vertAlign val="superscript"/>
        <sz val="9"/>
        <rFont val="Arial Cyr"/>
        <family val="2"/>
        <charset val="204"/>
      </rPr>
      <t>2</t>
    </r>
  </si>
  <si>
    <t>2,18-2,16</t>
  </si>
  <si>
    <t>5,41-6,59</t>
  </si>
  <si>
    <t>2,52-2,97</t>
  </si>
  <si>
    <t>1,11-1,10</t>
  </si>
  <si>
    <t>7,69-9,41</t>
  </si>
  <si>
    <t>1,52-1,57</t>
  </si>
  <si>
    <t>**</t>
  </si>
  <si>
    <t>4 - 10</t>
  </si>
  <si>
    <t>3,71 - 8,70</t>
  </si>
  <si>
    <t>4,72 - 11,08</t>
  </si>
  <si>
    <t>16,21-35,32</t>
  </si>
  <si>
    <t>3,70-8,52</t>
  </si>
  <si>
    <t>1,85-1,79</t>
  </si>
  <si>
    <t>25,69-55,64</t>
  </si>
  <si>
    <t>2,33-2,24</t>
  </si>
  <si>
    <t>6,72-15,00</t>
  </si>
  <si>
    <t>2,93-5,70</t>
  </si>
  <si>
    <t>1,19-1,16</t>
  </si>
  <si>
    <t>9,48-20,32</t>
  </si>
  <si>
    <t>1,62-1,85</t>
  </si>
  <si>
    <t>4 - 6</t>
  </si>
  <si>
    <t>3,90 - 5,72</t>
  </si>
  <si>
    <t>4,96 - 7,28</t>
  </si>
  <si>
    <t>18,9-27,1</t>
  </si>
  <si>
    <t>4,09-5,98</t>
  </si>
  <si>
    <t>1,95-1,93</t>
  </si>
  <si>
    <t>29,9-42,9</t>
  </si>
  <si>
    <t>2,45-2,43</t>
  </si>
  <si>
    <t>7,81-11,20</t>
  </si>
  <si>
    <t>3,26-4,44</t>
  </si>
  <si>
    <t>1,25-1,24</t>
  </si>
  <si>
    <t>11-15,90</t>
  </si>
  <si>
    <t>1,69-1,78</t>
  </si>
  <si>
    <t>4,5 - 10</t>
  </si>
  <si>
    <t>4,87 - 10,29</t>
  </si>
  <si>
    <t>6,20 - 13,11</t>
  </si>
  <si>
    <t>29-57,90</t>
  </si>
  <si>
    <t>5,67-11,82</t>
  </si>
  <si>
    <t>2,16-2,10</t>
  </si>
  <si>
    <t>46-91,52</t>
  </si>
  <si>
    <t>2,72-2,64</t>
  </si>
  <si>
    <t>12,04-24,27</t>
  </si>
  <si>
    <t>4,5-8,17</t>
  </si>
  <si>
    <t>1,39-1,36</t>
  </si>
  <si>
    <t>17-33,60</t>
  </si>
  <si>
    <t>1,88-2,10</t>
  </si>
  <si>
    <t>5 - 9</t>
  </si>
  <si>
    <t>5,80 - 10,10</t>
  </si>
  <si>
    <t>7,39 - 12,86</t>
  </si>
  <si>
    <t>39,5-66,10</t>
  </si>
  <si>
    <t>7,21-12,43</t>
  </si>
  <si>
    <t>2,31-2,27</t>
  </si>
  <si>
    <t>62,6-104,7</t>
  </si>
  <si>
    <t>2,91-2,86</t>
  </si>
  <si>
    <t>16,41-27,48</t>
  </si>
  <si>
    <t>5,74-8,91</t>
  </si>
  <si>
    <t>1,49-1,46</t>
  </si>
  <si>
    <t>23,1-38,60</t>
  </si>
  <si>
    <t>2,02-2,18</t>
  </si>
  <si>
    <t>5,5 - 12</t>
  </si>
  <si>
    <t>6,78 - 14,05</t>
  </si>
  <si>
    <t>8,63 - 17,90</t>
  </si>
  <si>
    <t>52,7-102,74</t>
  </si>
  <si>
    <t>9,03-18,42</t>
  </si>
  <si>
    <t>2,47-2,40</t>
  </si>
  <si>
    <t>83,6-162,3</t>
  </si>
  <si>
    <t>3,11-3,01</t>
  </si>
  <si>
    <t>21,8-43,21</t>
  </si>
  <si>
    <t>7,1-12,62</t>
  </si>
  <si>
    <t>1,59-1,55</t>
  </si>
  <si>
    <t>30,9-59,5</t>
  </si>
  <si>
    <t>2,17-2,42</t>
  </si>
  <si>
    <t>6 - 12</t>
  </si>
  <si>
    <t>8,33 - 16,0</t>
  </si>
  <si>
    <t>10,60 - 20,33</t>
  </si>
  <si>
    <t>82,1-149,7</t>
  </si>
  <si>
    <t>12,49-23,85</t>
  </si>
  <si>
    <t>2,78-2,71</t>
  </si>
  <si>
    <t>130-235,9</t>
  </si>
  <si>
    <t>3,5-3,41</t>
  </si>
  <si>
    <t>34-62,40</t>
  </si>
  <si>
    <t>9,88-16,53</t>
  </si>
  <si>
    <t>1,79-1,75</t>
  </si>
  <si>
    <t>48,1-86,2</t>
  </si>
  <si>
    <t>2,43-2,67</t>
  </si>
  <si>
    <t>6,5 - 16</t>
  </si>
  <si>
    <t>10,1 - 23,3</t>
  </si>
  <si>
    <t>12,86 - 29,67</t>
  </si>
  <si>
    <t>122-264</t>
  </si>
  <si>
    <t>16,7-38,04</t>
  </si>
  <si>
    <t>3,09-2,98</t>
  </si>
  <si>
    <t>193-416</t>
  </si>
  <si>
    <t>3,88-3,74</t>
  </si>
  <si>
    <t>50,73-111,6</t>
  </si>
  <si>
    <t>13,4-25,79</t>
  </si>
  <si>
    <t>1,99-1,94</t>
  </si>
  <si>
    <t>71,4-152</t>
  </si>
  <si>
    <t>2,68-3,06</t>
  </si>
  <si>
    <t>7 - 8</t>
  </si>
  <si>
    <t>11,9 - 13,5</t>
  </si>
  <si>
    <t>15,15 - 17,20</t>
  </si>
  <si>
    <t>175,6-198,2</t>
  </si>
  <si>
    <t>21,8-24,8</t>
  </si>
  <si>
    <t>3,4-3,39</t>
  </si>
  <si>
    <t>279-315</t>
  </si>
  <si>
    <t>4,29-4,28</t>
  </si>
  <si>
    <t>72,68-81,83</t>
  </si>
  <si>
    <t>17,36-19,29</t>
  </si>
  <si>
    <t>2,19-2,18</t>
  </si>
  <si>
    <t>106-116</t>
  </si>
  <si>
    <t>2,96-3,00</t>
  </si>
  <si>
    <t>8 - 15</t>
  </si>
  <si>
    <t>14,8 - 26,7</t>
  </si>
  <si>
    <t>18,80 - 33,99</t>
  </si>
  <si>
    <t>259,8-448,9</t>
  </si>
  <si>
    <t>29,7-53,0</t>
  </si>
  <si>
    <t>3,72-3,63</t>
  </si>
  <si>
    <t>412,5-711,3</t>
  </si>
  <si>
    <t>4,68-4,57</t>
  </si>
  <si>
    <t>107,04-186,48</t>
  </si>
  <si>
    <t>23,29-37,35</t>
  </si>
  <si>
    <t>2,39-2,34</t>
  </si>
  <si>
    <t>153,0-262,0</t>
  </si>
  <si>
    <t>3,25-3,53</t>
  </si>
  <si>
    <t>8 - 16</t>
  </si>
  <si>
    <t>15,5 - 29,6</t>
  </si>
  <si>
    <t>19,74 - 37,70</t>
  </si>
  <si>
    <t>294,4-538,6</t>
  </si>
  <si>
    <t>32,2-61,09</t>
  </si>
  <si>
    <t>3,87-3,78</t>
  </si>
  <si>
    <t>467-853</t>
  </si>
  <si>
    <t>4,87-4,75</t>
  </si>
  <si>
    <t>122-224,3</t>
  </si>
  <si>
    <t>25,7-43,10</t>
  </si>
  <si>
    <t>2,49-2,44</t>
  </si>
  <si>
    <t>172-315</t>
  </si>
  <si>
    <t>3,36-3,68</t>
  </si>
  <si>
    <t>9 - 12</t>
  </si>
  <si>
    <t>19,4 - 25,5</t>
  </si>
  <si>
    <t>24,72 - 32,49</t>
  </si>
  <si>
    <t>465,7-602,5</t>
  </si>
  <si>
    <t>45,55-59,66</t>
  </si>
  <si>
    <t>4,34-4,31</t>
  </si>
  <si>
    <t>739-957</t>
  </si>
  <si>
    <t>5,47-5,43</t>
  </si>
  <si>
    <t>192-248</t>
  </si>
  <si>
    <t>35,9-44,97</t>
  </si>
  <si>
    <t>2,79-2,76</t>
  </si>
  <si>
    <t>274-354</t>
  </si>
  <si>
    <t>3,78-3,90</t>
  </si>
  <si>
    <t>10 - 18</t>
  </si>
  <si>
    <t>23,0 - 40,1</t>
  </si>
  <si>
    <t>29,33 - 51,09</t>
  </si>
  <si>
    <t>634,8-1060,1</t>
  </si>
  <si>
    <t>58,07-99,86</t>
  </si>
  <si>
    <t>4,65-4,56</t>
  </si>
  <si>
    <t>1008,6-1680,9</t>
  </si>
  <si>
    <t>5,86-5,74</t>
  </si>
  <si>
    <t>261,0-439,2</t>
  </si>
  <si>
    <t>45,34-70,91</t>
  </si>
  <si>
    <t>2,98-2,93</t>
  </si>
  <si>
    <t>374,0-621,0</t>
  </si>
  <si>
    <t>4,07-4,38</t>
  </si>
  <si>
    <t>10 - 20</t>
  </si>
  <si>
    <t>24,7 - 47,7</t>
  </si>
  <si>
    <t>31,40 - 60,75</t>
  </si>
  <si>
    <t>774,2-1418,9</t>
  </si>
  <si>
    <t>66,2-125,6</t>
  </si>
  <si>
    <t>4,96-4,85</t>
  </si>
  <si>
    <t>1229-2248</t>
  </si>
  <si>
    <t>6,25-6,10</t>
  </si>
  <si>
    <t>319-589</t>
  </si>
  <si>
    <t>52,5-90,02</t>
  </si>
  <si>
    <t>3,19-3,12</t>
  </si>
  <si>
    <t>455-830</t>
  </si>
  <si>
    <t>4,3-4,7</t>
  </si>
  <si>
    <t>11 - 20</t>
  </si>
  <si>
    <t>30,5 - 53,7</t>
  </si>
  <si>
    <t>38,80 - 68,43</t>
  </si>
  <si>
    <t>1216-2061,1</t>
  </si>
  <si>
    <t>92,5-161,1</t>
  </si>
  <si>
    <t>5,6-5,49</t>
  </si>
  <si>
    <t>1933-3271,3</t>
  </si>
  <si>
    <t>7,06-6,91</t>
  </si>
  <si>
    <t>500-850,9</t>
  </si>
  <si>
    <t>72,9-115,7</t>
  </si>
  <si>
    <t>3,59-3,53</t>
  </si>
  <si>
    <t>716-1210,0</t>
  </si>
  <si>
    <t>4,85-5,20</t>
  </si>
  <si>
    <t>12 - 30</t>
  </si>
  <si>
    <t>37,0 - 87,6</t>
  </si>
  <si>
    <t>47,1 - 111,54</t>
  </si>
  <si>
    <t>1822,8-4019,6</t>
  </si>
  <si>
    <t>124,6-288,6</t>
  </si>
  <si>
    <t>6,22-6,00</t>
  </si>
  <si>
    <t>2896-6351</t>
  </si>
  <si>
    <t>7,84-7,55</t>
  </si>
  <si>
    <t>749,4-1698,2</t>
  </si>
  <si>
    <t>98,7-193,1</t>
  </si>
  <si>
    <t>3,99-3,89</t>
  </si>
  <si>
    <t>1073-2332</t>
  </si>
  <si>
    <t>5,37-6,07</t>
  </si>
  <si>
    <t>14 - 16</t>
  </si>
  <si>
    <t>47,4 - 53,8</t>
  </si>
  <si>
    <t>60,37 - 68,58</t>
  </si>
  <si>
    <t>2814-3175</t>
  </si>
  <si>
    <t>175,2-198,7</t>
  </si>
  <si>
    <t>6,83-6,81</t>
  </si>
  <si>
    <t>4470-5045</t>
  </si>
  <si>
    <t>8,6-8,58</t>
  </si>
  <si>
    <t>1159-1306</t>
  </si>
  <si>
    <t>138,6-153,3</t>
  </si>
  <si>
    <t>4,38-4,36</t>
  </si>
  <si>
    <t>1655-1869</t>
  </si>
  <si>
    <t>5,91-6,02</t>
  </si>
  <si>
    <t>16 - 30</t>
  </si>
  <si>
    <t>61,5 - 111,4</t>
  </si>
  <si>
    <t>78,32 - 141,87</t>
  </si>
  <si>
    <t>4717-8177</t>
  </si>
  <si>
    <t>258,4-462,1</t>
  </si>
  <si>
    <t>7,76-7,59</t>
  </si>
  <si>
    <t>7492-12965</t>
  </si>
  <si>
    <t>9,78-9,56</t>
  </si>
  <si>
    <t>1942-3389</t>
  </si>
  <si>
    <t>203,5-327,8</t>
  </si>
  <si>
    <t>4,98-4,89</t>
  </si>
  <si>
    <t>2775-4788</t>
  </si>
  <si>
    <t>6,75-7,31</t>
  </si>
  <si>
    <t xml:space="preserve">               РАСЧЕТ ВЕСА И ДЛИНЫ ПРОФИЛЯ </t>
  </si>
  <si>
    <t>22</t>
  </si>
  <si>
    <t>м</t>
  </si>
  <si>
    <t xml:space="preserve">     площадь сечения</t>
  </si>
  <si>
    <r>
      <t>см</t>
    </r>
    <r>
      <rPr>
        <b/>
        <vertAlign val="superscript"/>
        <sz val="10"/>
        <color indexed="17"/>
        <rFont val="Arial Cyr"/>
        <family val="2"/>
        <charset val="204"/>
      </rPr>
      <t>2</t>
    </r>
  </si>
  <si>
    <t>УГОЛКИ СТАЛЬНЫЕ ГОРЯЧЕКАТАННЫЕ НЕРАВНОПОЛОЧНЫЕ по ГОСТ 8510-86</t>
  </si>
  <si>
    <t xml:space="preserve">Номер уголка </t>
  </si>
  <si>
    <r>
      <t>Площадь сечения</t>
    </r>
    <r>
      <rPr>
        <b/>
        <sz val="8"/>
        <rFont val="Arial Cyr"/>
        <family val="2"/>
        <charset val="204"/>
      </rPr>
      <t>,</t>
    </r>
    <r>
      <rPr>
        <sz val="10"/>
        <rFont val="Arial Cyr"/>
        <charset val="204"/>
      </rPr>
      <t/>
    </r>
  </si>
  <si>
    <r>
      <t xml:space="preserve">Ось        </t>
    </r>
    <r>
      <rPr>
        <b/>
        <sz val="8"/>
        <rFont val="Arial Cyr"/>
        <family val="2"/>
        <charset val="204"/>
      </rPr>
      <t>x-x</t>
    </r>
  </si>
  <si>
    <r>
      <t xml:space="preserve">Ось            </t>
    </r>
    <r>
      <rPr>
        <b/>
        <sz val="8"/>
        <rFont val="Arial Cyr"/>
        <family val="2"/>
        <charset val="204"/>
      </rPr>
      <t>y</t>
    </r>
    <r>
      <rPr>
        <b/>
        <vertAlign val="subscript"/>
        <sz val="8"/>
        <rFont val="Arial Cyr"/>
        <family val="2"/>
        <charset val="204"/>
      </rPr>
      <t xml:space="preserve"> </t>
    </r>
    <r>
      <rPr>
        <b/>
        <sz val="8"/>
        <rFont val="Arial Cyr"/>
        <family val="2"/>
        <charset val="204"/>
      </rPr>
      <t>- y</t>
    </r>
    <r>
      <rPr>
        <sz val="10"/>
        <rFont val="Arial Cyr"/>
        <charset val="204"/>
      </rPr>
      <t/>
    </r>
  </si>
  <si>
    <r>
      <t xml:space="preserve">Ось       </t>
    </r>
    <r>
      <rPr>
        <b/>
        <sz val="8"/>
        <rFont val="Arial Cyr"/>
        <family val="2"/>
        <charset val="204"/>
      </rPr>
      <t xml:space="preserve"> y-y</t>
    </r>
  </si>
  <si>
    <r>
      <t xml:space="preserve">Ось            </t>
    </r>
    <r>
      <rPr>
        <b/>
        <sz val="8"/>
        <rFont val="Arial Cyr"/>
        <family val="2"/>
        <charset val="204"/>
      </rPr>
      <t>u</t>
    </r>
    <r>
      <rPr>
        <b/>
        <vertAlign val="subscript"/>
        <sz val="8"/>
        <rFont val="Arial Cyr"/>
        <family val="2"/>
        <charset val="204"/>
      </rPr>
      <t xml:space="preserve"> </t>
    </r>
    <r>
      <rPr>
        <b/>
        <sz val="8"/>
        <rFont val="Arial Cyr"/>
        <family val="2"/>
        <charset val="204"/>
      </rPr>
      <t>- u</t>
    </r>
    <r>
      <rPr>
        <sz val="8"/>
        <rFont val="Arial Cyr"/>
        <family val="2"/>
        <charset val="204"/>
      </rPr>
      <t xml:space="preserve">    </t>
    </r>
    <r>
      <rPr>
        <b/>
        <vertAlign val="subscript"/>
        <sz val="8"/>
        <rFont val="Arial Cyr"/>
        <family val="2"/>
        <charset val="204"/>
      </rPr>
      <t>min</t>
    </r>
  </si>
  <si>
    <r>
      <t xml:space="preserve">Ось       </t>
    </r>
    <r>
      <rPr>
        <b/>
        <sz val="8"/>
        <rFont val="Arial Cyr"/>
        <family val="2"/>
        <charset val="204"/>
      </rPr>
      <t xml:space="preserve"> u-u</t>
    </r>
  </si>
  <si>
    <r>
      <t xml:space="preserve">Ось            </t>
    </r>
    <r>
      <rPr>
        <b/>
        <sz val="8"/>
        <rFont val="Arial Cyr"/>
        <family val="2"/>
        <charset val="204"/>
      </rPr>
      <t>u</t>
    </r>
    <r>
      <rPr>
        <b/>
        <vertAlign val="subscript"/>
        <sz val="8"/>
        <rFont val="Arial Cyr"/>
        <family val="2"/>
        <charset val="204"/>
      </rPr>
      <t xml:space="preserve"> </t>
    </r>
    <r>
      <rPr>
        <b/>
        <sz val="8"/>
        <rFont val="Arial Cyr"/>
        <family val="2"/>
        <charset val="204"/>
      </rPr>
      <t>- u</t>
    </r>
    <r>
      <rPr>
        <sz val="8"/>
        <rFont val="Arial Cyr"/>
        <family val="2"/>
        <charset val="204"/>
      </rPr>
      <t xml:space="preserve"> </t>
    </r>
    <r>
      <rPr>
        <b/>
        <vertAlign val="subscript"/>
        <sz val="8"/>
        <rFont val="Arial Cyr"/>
        <family val="2"/>
        <charset val="204"/>
      </rPr>
      <t xml:space="preserve"> min</t>
    </r>
  </si>
  <si>
    <t xml:space="preserve">Угол наклона оси </t>
  </si>
  <si>
    <t>B</t>
  </si>
  <si>
    <r>
      <t>J</t>
    </r>
    <r>
      <rPr>
        <b/>
        <vertAlign val="subscript"/>
        <sz val="12"/>
        <rFont val="Arial Cyr"/>
        <family val="2"/>
        <charset val="204"/>
      </rPr>
      <t>x</t>
    </r>
  </si>
  <si>
    <r>
      <t>W</t>
    </r>
    <r>
      <rPr>
        <b/>
        <vertAlign val="subscript"/>
        <sz val="11"/>
        <rFont val="Arial Cyr"/>
        <charset val="204"/>
      </rPr>
      <t>x</t>
    </r>
  </si>
  <si>
    <r>
      <t>i</t>
    </r>
    <r>
      <rPr>
        <b/>
        <vertAlign val="subscript"/>
        <sz val="11"/>
        <rFont val="Arial Cyr"/>
        <charset val="204"/>
      </rPr>
      <t>x</t>
    </r>
  </si>
  <si>
    <r>
      <t>J</t>
    </r>
    <r>
      <rPr>
        <b/>
        <vertAlign val="subscript"/>
        <sz val="12"/>
        <rFont val="Arial Cyr"/>
        <family val="2"/>
        <charset val="204"/>
      </rPr>
      <t>y</t>
    </r>
  </si>
  <si>
    <r>
      <t>W</t>
    </r>
    <r>
      <rPr>
        <b/>
        <vertAlign val="subscript"/>
        <sz val="11"/>
        <rFont val="Arial Cyr"/>
        <charset val="204"/>
      </rPr>
      <t>y</t>
    </r>
  </si>
  <si>
    <r>
      <t>i</t>
    </r>
    <r>
      <rPr>
        <b/>
        <vertAlign val="subscript"/>
        <sz val="12"/>
        <rFont val="Arial Cyr"/>
        <family val="2"/>
        <charset val="204"/>
      </rPr>
      <t>y</t>
    </r>
  </si>
  <si>
    <r>
      <t>J</t>
    </r>
    <r>
      <rPr>
        <b/>
        <vertAlign val="subscript"/>
        <sz val="12"/>
        <rFont val="Arial Cyr"/>
        <family val="2"/>
        <charset val="204"/>
      </rPr>
      <t>u</t>
    </r>
  </si>
  <si>
    <r>
      <t>W</t>
    </r>
    <r>
      <rPr>
        <b/>
        <vertAlign val="subscript"/>
        <sz val="11"/>
        <rFont val="Arial Cyr"/>
        <charset val="204"/>
      </rPr>
      <t>u</t>
    </r>
  </si>
  <si>
    <r>
      <t>i</t>
    </r>
    <r>
      <rPr>
        <b/>
        <vertAlign val="subscript"/>
        <sz val="12"/>
        <rFont val="Arial Cyr"/>
        <family val="2"/>
        <charset val="204"/>
      </rPr>
      <t>u</t>
    </r>
  </si>
  <si>
    <r>
      <t>x</t>
    </r>
    <r>
      <rPr>
        <b/>
        <vertAlign val="subscript"/>
        <sz val="12"/>
        <rFont val="Arial Cyr"/>
        <family val="2"/>
        <charset val="204"/>
      </rPr>
      <t>0</t>
    </r>
  </si>
  <si>
    <r>
      <t>y</t>
    </r>
    <r>
      <rPr>
        <b/>
        <vertAlign val="subscript"/>
        <sz val="12"/>
        <rFont val="Arial Cyr"/>
        <family val="2"/>
        <charset val="204"/>
      </rPr>
      <t>0</t>
    </r>
  </si>
  <si>
    <r>
      <t>J</t>
    </r>
    <r>
      <rPr>
        <b/>
        <vertAlign val="subscript"/>
        <sz val="12"/>
        <rFont val="Arial Cyr"/>
        <family val="2"/>
        <charset val="204"/>
      </rPr>
      <t>xy</t>
    </r>
  </si>
  <si>
    <r>
      <t>tg</t>
    </r>
    <r>
      <rPr>
        <b/>
        <sz val="12"/>
        <rFont val="Symbol"/>
        <family val="1"/>
        <charset val="2"/>
      </rPr>
      <t>a</t>
    </r>
  </si>
  <si>
    <t>п/п</t>
  </si>
  <si>
    <r>
      <t>см</t>
    </r>
    <r>
      <rPr>
        <vertAlign val="superscript"/>
        <sz val="10"/>
        <color indexed="17"/>
        <rFont val="Arial Cyr"/>
        <family val="2"/>
        <charset val="204"/>
      </rPr>
      <t>2</t>
    </r>
  </si>
  <si>
    <t xml:space="preserve">мм </t>
  </si>
  <si>
    <r>
      <t>см</t>
    </r>
    <r>
      <rPr>
        <vertAlign val="superscript"/>
        <sz val="10"/>
        <color indexed="17"/>
        <rFont val="Arial Cyr"/>
        <family val="2"/>
        <charset val="204"/>
      </rPr>
      <t>4</t>
    </r>
  </si>
  <si>
    <t>2,5/1,6</t>
  </si>
  <si>
    <t>3/2*</t>
  </si>
  <si>
    <t>3,2/2</t>
  </si>
  <si>
    <t>4/2,5</t>
  </si>
  <si>
    <t xml:space="preserve">Условный проход </t>
  </si>
  <si>
    <t>a</t>
  </si>
  <si>
    <t>Масса</t>
  </si>
  <si>
    <r>
      <t>D</t>
    </r>
    <r>
      <rPr>
        <b/>
        <vertAlign val="subscript"/>
        <sz val="11"/>
        <rFont val="Bookman Old Style"/>
        <family val="1"/>
        <charset val="204"/>
      </rPr>
      <t>1</t>
    </r>
  </si>
  <si>
    <r>
      <t>D</t>
    </r>
    <r>
      <rPr>
        <b/>
        <vertAlign val="subscript"/>
        <sz val="11"/>
        <rFont val="Bookman Old Style"/>
        <family val="1"/>
        <charset val="204"/>
      </rPr>
      <t>2</t>
    </r>
  </si>
  <si>
    <r>
      <t>D</t>
    </r>
    <r>
      <rPr>
        <b/>
        <vertAlign val="subscript"/>
        <sz val="11"/>
        <rFont val="Bookman Old Style"/>
        <family val="1"/>
        <charset val="204"/>
      </rPr>
      <t>3</t>
    </r>
  </si>
  <si>
    <r>
      <t>D</t>
    </r>
    <r>
      <rPr>
        <b/>
        <vertAlign val="subscript"/>
        <sz val="11"/>
        <rFont val="Bookman Old Style"/>
        <family val="1"/>
        <charset val="204"/>
      </rPr>
      <t>4</t>
    </r>
  </si>
  <si>
    <r>
      <t>D</t>
    </r>
    <r>
      <rPr>
        <b/>
        <vertAlign val="subscript"/>
        <sz val="11"/>
        <rFont val="Bookman Old Style"/>
        <family val="1"/>
        <charset val="204"/>
      </rPr>
      <t>у</t>
    </r>
  </si>
  <si>
    <t>Строительная длина</t>
  </si>
  <si>
    <t>4/3*</t>
  </si>
  <si>
    <t>4,5/2,8</t>
  </si>
  <si>
    <t>5/3,2</t>
  </si>
  <si>
    <t>5,6/3,6</t>
  </si>
  <si>
    <t>6,3/4</t>
  </si>
  <si>
    <t>6,5/5*</t>
  </si>
  <si>
    <t>7/4,5</t>
  </si>
  <si>
    <t>7,5/5</t>
  </si>
  <si>
    <t>7,5/5*</t>
  </si>
  <si>
    <t>8/5</t>
  </si>
  <si>
    <t>8/6*</t>
  </si>
  <si>
    <t>9/5,6</t>
  </si>
  <si>
    <t>10/6,3</t>
  </si>
  <si>
    <t>10/6,5*</t>
  </si>
  <si>
    <t>11/7</t>
  </si>
  <si>
    <t>12,5/8</t>
  </si>
  <si>
    <t>14/9</t>
  </si>
  <si>
    <t>16/10</t>
  </si>
  <si>
    <t>18/11</t>
  </si>
  <si>
    <t>20/12,5</t>
  </si>
  <si>
    <t>2,72,</t>
  </si>
  <si>
    <t>№ уголка</t>
  </si>
  <si>
    <t>B - ширина большей полки (мм)</t>
  </si>
  <si>
    <t>b - ширина меньшей полки (мм)</t>
  </si>
  <si>
    <t>Масса 1м (кг)</t>
  </si>
  <si>
    <r>
      <t>F - площадь сечения (см</t>
    </r>
    <r>
      <rPr>
        <vertAlign val="superscript"/>
        <sz val="10"/>
        <rFont val="Arial Cyr"/>
        <family val="2"/>
        <charset val="204"/>
      </rPr>
      <t>2</t>
    </r>
    <r>
      <rPr>
        <sz val="10"/>
        <rFont val="Arial Cyr"/>
        <charset val="204"/>
      </rPr>
      <t>)</t>
    </r>
  </si>
  <si>
    <t>r - радиус закругления полок (мм)</t>
  </si>
  <si>
    <r>
      <t>Jx - момент инерции(см</t>
    </r>
    <r>
      <rPr>
        <vertAlign val="superscript"/>
        <sz val="10"/>
        <rFont val="Arial Cyr"/>
        <family val="2"/>
        <charset val="204"/>
      </rPr>
      <t>4</t>
    </r>
    <r>
      <rPr>
        <sz val="10"/>
        <rFont val="Arial Cyr"/>
        <charset val="204"/>
      </rPr>
      <t>)</t>
    </r>
  </si>
  <si>
    <r>
      <t>Wx -  момент сопротивления (см</t>
    </r>
    <r>
      <rPr>
        <vertAlign val="superscript"/>
        <sz val="10"/>
        <rFont val="Arial Cyr"/>
        <family val="2"/>
        <charset val="204"/>
      </rPr>
      <t>3</t>
    </r>
    <r>
      <rPr>
        <sz val="10"/>
        <rFont val="Arial Cyr"/>
        <charset val="204"/>
      </rPr>
      <t>)</t>
    </r>
  </si>
  <si>
    <r>
      <t>Jy - момент инерции(см</t>
    </r>
    <r>
      <rPr>
        <vertAlign val="superscript"/>
        <sz val="10"/>
        <rFont val="Arial Cyr"/>
        <family val="2"/>
        <charset val="204"/>
      </rPr>
      <t>4</t>
    </r>
    <r>
      <rPr>
        <sz val="10"/>
        <rFont val="Arial Cyr"/>
        <charset val="204"/>
      </rPr>
      <t>)</t>
    </r>
  </si>
  <si>
    <r>
      <t>Wy -  момент сопротивления (см</t>
    </r>
    <r>
      <rPr>
        <vertAlign val="superscript"/>
        <sz val="10"/>
        <rFont val="Arial Cyr"/>
        <family val="2"/>
        <charset val="204"/>
      </rPr>
      <t>3</t>
    </r>
    <r>
      <rPr>
        <sz val="10"/>
        <rFont val="Arial Cyr"/>
        <charset val="204"/>
      </rPr>
      <t>)</t>
    </r>
  </si>
  <si>
    <t>iy - радиус инерции (см)</t>
  </si>
  <si>
    <r>
      <t>Ju - момент инерции(см</t>
    </r>
    <r>
      <rPr>
        <vertAlign val="superscript"/>
        <sz val="10"/>
        <rFont val="Arial Cyr"/>
        <family val="2"/>
        <charset val="204"/>
      </rPr>
      <t>4</t>
    </r>
    <r>
      <rPr>
        <sz val="10"/>
        <rFont val="Arial Cyr"/>
        <charset val="204"/>
      </rPr>
      <t>)</t>
    </r>
  </si>
  <si>
    <r>
      <t>Wu -  момент сопротивления (см</t>
    </r>
    <r>
      <rPr>
        <vertAlign val="superscript"/>
        <sz val="10"/>
        <rFont val="Arial Cyr"/>
        <family val="2"/>
        <charset val="204"/>
      </rPr>
      <t>3</t>
    </r>
    <r>
      <rPr>
        <sz val="10"/>
        <rFont val="Arial Cyr"/>
        <charset val="204"/>
      </rPr>
      <t>)</t>
    </r>
  </si>
  <si>
    <t>I</t>
  </si>
  <si>
    <t>Результат раскрывающегося списка 2</t>
  </si>
  <si>
    <t>iu - радиус инерции (см)</t>
  </si>
  <si>
    <t>II</t>
  </si>
  <si>
    <t>Результат окна списка 7</t>
  </si>
  <si>
    <t>x0 - расстояние от центра тяжести до наружной грани</t>
  </si>
  <si>
    <t>y0 - расстояние от центра тяжести до наружной грани</t>
  </si>
  <si>
    <t>III</t>
  </si>
  <si>
    <t>Результат раскрывающегося списка 6</t>
  </si>
  <si>
    <t>Jxy - центробежный момент инерции</t>
  </si>
  <si>
    <t>tga - угол наклона оси "U"</t>
  </si>
  <si>
    <r>
      <t>Переводной коэффициент M</t>
    </r>
    <r>
      <rPr>
        <vertAlign val="subscript"/>
        <sz val="10"/>
        <rFont val="Arial Cyr"/>
        <family val="2"/>
        <charset val="204"/>
      </rPr>
      <t>асса</t>
    </r>
    <r>
      <rPr>
        <sz val="10"/>
        <rFont val="Arial Cyr"/>
        <charset val="204"/>
      </rPr>
      <t>/S</t>
    </r>
    <r>
      <rPr>
        <vertAlign val="subscript"/>
        <sz val="10"/>
        <rFont val="Arial Cyr"/>
        <family val="2"/>
        <charset val="204"/>
      </rPr>
      <t xml:space="preserve">площ.Сечения </t>
    </r>
    <r>
      <rPr>
        <sz val="10"/>
        <rFont val="Arial Cyr"/>
        <family val="2"/>
        <charset val="204"/>
      </rPr>
      <t>= 0,78522042646277 (кг/см</t>
    </r>
    <r>
      <rPr>
        <vertAlign val="superscript"/>
        <sz val="10"/>
        <rFont val="Arial Cyr"/>
        <family val="2"/>
        <charset val="204"/>
      </rPr>
      <t>2</t>
    </r>
    <r>
      <rPr>
        <sz val="10"/>
        <rFont val="Arial Cyr"/>
        <family val="2"/>
        <charset val="204"/>
      </rPr>
      <t>)</t>
    </r>
  </si>
  <si>
    <t>кг/см2</t>
  </si>
  <si>
    <r>
      <t xml:space="preserve">Ось            </t>
    </r>
    <r>
      <rPr>
        <b/>
        <sz val="8"/>
        <rFont val="Arial Cyr"/>
        <family val="2"/>
        <charset val="204"/>
      </rPr>
      <t>u</t>
    </r>
    <r>
      <rPr>
        <b/>
        <vertAlign val="subscript"/>
        <sz val="8"/>
        <rFont val="Arial Cyr"/>
        <family val="2"/>
        <charset val="204"/>
      </rPr>
      <t xml:space="preserve"> </t>
    </r>
    <r>
      <rPr>
        <b/>
        <sz val="8"/>
        <rFont val="Arial Cyr"/>
        <family val="2"/>
        <charset val="204"/>
      </rPr>
      <t>- u</t>
    </r>
    <r>
      <rPr>
        <sz val="8"/>
        <rFont val="Arial Cyr"/>
        <family val="2"/>
        <charset val="204"/>
      </rPr>
      <t xml:space="preserve">  </t>
    </r>
    <r>
      <rPr>
        <b/>
        <vertAlign val="subscript"/>
        <sz val="8"/>
        <rFont val="Arial Cyr"/>
        <family val="2"/>
        <charset val="204"/>
      </rPr>
      <t>min</t>
    </r>
  </si>
  <si>
    <t>1,12 - 1,46</t>
  </si>
  <si>
    <t>1,43 - 1,86</t>
  </si>
  <si>
    <t>1,27 - 1,61</t>
  </si>
  <si>
    <t>0,62 - 0,82</t>
  </si>
  <si>
    <t>0,91 -0,93</t>
  </si>
  <si>
    <t>0,45 - 0,56</t>
  </si>
  <si>
    <t>0,3 - 0,39</t>
  </si>
  <si>
    <t>0,56 - 0,55</t>
  </si>
  <si>
    <t>0,26 - 0,34</t>
  </si>
  <si>
    <t>0,25 - 0,32</t>
  </si>
  <si>
    <t>0,50 - 0,54</t>
  </si>
  <si>
    <t>1,0 - 1,04</t>
  </si>
  <si>
    <t>0,43 - 0,51</t>
  </si>
  <si>
    <t>0,427 - 0,421</t>
  </si>
  <si>
    <t>1,17 - 1,52</t>
  </si>
  <si>
    <t>1,49 - 1,94</t>
  </si>
  <si>
    <t>1,52 - 1,93</t>
  </si>
  <si>
    <t>0,72 - 0,93</t>
  </si>
  <si>
    <t>1,01 - 1,00</t>
  </si>
  <si>
    <t>0,46 - 0,57</t>
  </si>
  <si>
    <t>0,55 - 0,54</t>
  </si>
  <si>
    <t>0,28 - 0,35</t>
  </si>
  <si>
    <t>0,25 - 0,33</t>
  </si>
  <si>
    <t>0,49 - 0,53</t>
  </si>
  <si>
    <t>1,08 - 1,12</t>
  </si>
  <si>
    <t>0,47 - 0,59</t>
  </si>
  <si>
    <t>0,382 - 0,374</t>
  </si>
  <si>
    <t>1,48 - 2,37</t>
  </si>
  <si>
    <t>1,88 - 3,02</t>
  </si>
  <si>
    <t>3,06 - 4,73</t>
  </si>
  <si>
    <t>1,14 - 1,82</t>
  </si>
  <si>
    <t>1,27 - 1,25</t>
  </si>
  <si>
    <t>0,93 - 1,41</t>
  </si>
  <si>
    <t>0,49 - 0,77</t>
  </si>
  <si>
    <t>0,70 - 0,68</t>
  </si>
  <si>
    <t>0,56 - 0,86</t>
  </si>
  <si>
    <t>0,41 - 0,61</t>
  </si>
  <si>
    <t>0,54 - 0,53</t>
  </si>
  <si>
    <t>0,59 - 0,66</t>
  </si>
  <si>
    <t>1,33 - 1,41</t>
  </si>
  <si>
    <t>0,96 - 1,44</t>
  </si>
  <si>
    <t>0,385 - 0,374</t>
  </si>
  <si>
    <t>2,26 - 2,46</t>
  </si>
  <si>
    <t>2,67 - 3,28</t>
  </si>
  <si>
    <t>4,18 - 5,04</t>
  </si>
  <si>
    <t>1,54 - 1,88</t>
  </si>
  <si>
    <t>1,25 - 1,24</t>
  </si>
  <si>
    <t>2,01 - 2,41</t>
  </si>
  <si>
    <t>0,91 - 1,11</t>
  </si>
  <si>
    <t>0,87 - 0,86</t>
  </si>
  <si>
    <t>1,09 - 1,33</t>
  </si>
  <si>
    <t>0,75 - 0,91</t>
  </si>
  <si>
    <t>0,78 - 0,82</t>
  </si>
  <si>
    <t>1,28 - 1,31</t>
  </si>
  <si>
    <t>1,68 - 2,00</t>
  </si>
  <si>
    <t>0,544 - 0,539</t>
  </si>
  <si>
    <t>1,68 - 2,20</t>
  </si>
  <si>
    <t>2,14 - 2,80</t>
  </si>
  <si>
    <t>4,41 - 5,68</t>
  </si>
  <si>
    <t>1,45 - 1,90</t>
  </si>
  <si>
    <t>1,48 - 1,42</t>
  </si>
  <si>
    <t>1,32 - 1,69</t>
  </si>
  <si>
    <t>0,61 - 0,80</t>
  </si>
  <si>
    <t>0,79 - 0,78</t>
  </si>
  <si>
    <t>0,79 - 1,02</t>
  </si>
  <si>
    <t>0,52 - 0,67</t>
  </si>
  <si>
    <t>0,61 - 0,60</t>
  </si>
  <si>
    <t>0,64 - 0,68</t>
  </si>
  <si>
    <t>1,47 - 1,52</t>
  </si>
  <si>
    <t>1,38 - 1,77</t>
  </si>
  <si>
    <t>0,382 - 0,379</t>
  </si>
  <si>
    <t>1,9 - 2,49</t>
  </si>
  <si>
    <t>2,42 - 3,17</t>
  </si>
  <si>
    <t>6,18 - 7,98</t>
  </si>
  <si>
    <t>1,82 - 2,38</t>
  </si>
  <si>
    <t>1,60 - 1,59</t>
  </si>
  <si>
    <t>1,99 - 2,56</t>
  </si>
  <si>
    <t>0,81 - 1,05</t>
  </si>
  <si>
    <t>0,91 - 0,90</t>
  </si>
  <si>
    <t>1,18 - 1,52</t>
  </si>
  <si>
    <t>0,70 - 0,69</t>
  </si>
  <si>
    <t>0,72 - 0,76</t>
  </si>
  <si>
    <t>1,60 - 1,65</t>
  </si>
  <si>
    <t>2,01 - 2,59</t>
  </si>
  <si>
    <t>0,403 - 0,401</t>
  </si>
  <si>
    <t>2,81 - 3,46</t>
  </si>
  <si>
    <t>3,58 - 4,41</t>
  </si>
  <si>
    <t>11,37 - 13,82</t>
  </si>
  <si>
    <t>3,01 - 3,70</t>
  </si>
  <si>
    <t>1,78 - 1,77</t>
  </si>
  <si>
    <t>3,7 - 4,48</t>
  </si>
  <si>
    <t>1,34 - 1,65</t>
  </si>
  <si>
    <t>1,02 - 1,01</t>
  </si>
  <si>
    <t>2,19 - 2,65</t>
  </si>
  <si>
    <t>1,13 - 1,37</t>
  </si>
  <si>
    <t>0,84 - 0,88</t>
  </si>
  <si>
    <t>1,82 - 1,87</t>
  </si>
  <si>
    <t>3,74 - 4,50</t>
  </si>
  <si>
    <t>0,403 - 0,404</t>
  </si>
  <si>
    <t>4 - 8</t>
  </si>
  <si>
    <t>3,17 - 6,03</t>
  </si>
  <si>
    <t>4,04 - 7,68</t>
  </si>
  <si>
    <t>16,33 - 29,60</t>
  </si>
  <si>
    <t>3,83 - 7,22</t>
  </si>
  <si>
    <t>2,01 - 1,96</t>
  </si>
  <si>
    <t>5,16 - 9,15</t>
  </si>
  <si>
    <t>1,67 - 3,12</t>
  </si>
  <si>
    <t>1,13 - 1,09</t>
  </si>
  <si>
    <t>3,07 - 5,58</t>
  </si>
  <si>
    <t>1,41 - 2,60</t>
  </si>
  <si>
    <t>0,87 - 0,85</t>
  </si>
  <si>
    <t>0,91 - 1,06</t>
  </si>
  <si>
    <t>2,04 - 2,20</t>
  </si>
  <si>
    <t>5,25 - 9,27</t>
  </si>
  <si>
    <t>0,397 - 0,386</t>
  </si>
  <si>
    <t>5 - 8</t>
  </si>
  <si>
    <t>4,36 - 6,77</t>
  </si>
  <si>
    <t>5,56 - 8,62</t>
  </si>
  <si>
    <t>23</t>
  </si>
  <si>
    <t>23,41 - 35,00</t>
  </si>
  <si>
    <t>5,20 - 7,99</t>
  </si>
  <si>
    <t>2,05 - 2,02</t>
  </si>
  <si>
    <t>12,08 - 18,88</t>
  </si>
  <si>
    <t>3,23 - 4,85</t>
  </si>
  <si>
    <t>1,47 - 1,44</t>
  </si>
  <si>
    <t>6,41 - 9,65</t>
  </si>
  <si>
    <t>2,68 - 4,02</t>
  </si>
  <si>
    <t>1,07 - 1,06</t>
  </si>
  <si>
    <t>1,26 - 1,37</t>
  </si>
  <si>
    <t>2,00 - 2,12</t>
  </si>
  <si>
    <t>9,77 - 13,61</t>
  </si>
  <si>
    <t>0,576 - 0,570</t>
  </si>
  <si>
    <t>4,79 - 7,43</t>
  </si>
  <si>
    <t>6,10 - 9,46</t>
  </si>
  <si>
    <t>34,81 - 52,38</t>
  </si>
  <si>
    <t>6,81 - 10,52</t>
  </si>
  <si>
    <t>2,39 - 2,40</t>
  </si>
  <si>
    <t>12,47 - 18,52</t>
  </si>
  <si>
    <t>3,25 - 4,88</t>
  </si>
  <si>
    <t>1,43 - 1,40</t>
  </si>
  <si>
    <t>7,24 - 10,87</t>
  </si>
  <si>
    <t>2,73 - 4,14</t>
  </si>
  <si>
    <t>1,09 - 1,07</t>
  </si>
  <si>
    <t>1,17 - 1,29</t>
  </si>
  <si>
    <t>2,39 - 2,52</t>
  </si>
  <si>
    <t>12,00 - 17,80</t>
  </si>
  <si>
    <t>0,436 - 0,430</t>
  </si>
  <si>
    <t>5 - 6</t>
  </si>
  <si>
    <t>4,99 -5,92</t>
  </si>
  <si>
    <t>6,35 - 7,54</t>
  </si>
  <si>
    <t>41,64 - 48,98</t>
  </si>
  <si>
    <t>7,71 - 9,15</t>
  </si>
  <si>
    <t>2,56 - 2,55</t>
  </si>
  <si>
    <t>12,68 - 14,85</t>
  </si>
  <si>
    <t>3,28 - 3,88</t>
  </si>
  <si>
    <t>1,41 - 1,40</t>
  </si>
  <si>
    <t>7,57 - 8,88</t>
  </si>
  <si>
    <t>2,75 - 3,24</t>
  </si>
  <si>
    <t>1,00 - 1,08</t>
  </si>
  <si>
    <t>1,13 - 1,17</t>
  </si>
  <si>
    <t>2,61 - 2,65</t>
  </si>
  <si>
    <t>13,20 - 15,50</t>
  </si>
  <si>
    <t>0,387 - 0,386</t>
  </si>
  <si>
    <t>6 - 8</t>
  </si>
  <si>
    <t>6,39 - 8,37</t>
  </si>
  <si>
    <t>8,15 - 10,66</t>
  </si>
  <si>
    <t>52,06 - 66,88</t>
  </si>
  <si>
    <t>9,42 - 12,38</t>
  </si>
  <si>
    <t>2,53 - 2,50</t>
  </si>
  <si>
    <t>25,18 - 32,15</t>
  </si>
  <si>
    <t>5,58 - 7,26</t>
  </si>
  <si>
    <t>1,76 - 1,74</t>
  </si>
  <si>
    <t>13,61 - 17,49</t>
  </si>
  <si>
    <t>4,66 - 5,99</t>
  </si>
  <si>
    <t>1,29 - 1,28</t>
  </si>
  <si>
    <t>1,49 - 1,57</t>
  </si>
  <si>
    <t>2,47 - 2,56</t>
  </si>
  <si>
    <t>20,98 - 26,83</t>
  </si>
  <si>
    <t>0,547 - 0,544</t>
  </si>
  <si>
    <t>5,5 - 8</t>
  </si>
  <si>
    <t>6,17 - 8,77</t>
  </si>
  <si>
    <t>7,86 - 11,17</t>
  </si>
  <si>
    <t>65,28 - 90,87</t>
  </si>
  <si>
    <t>10,74 - 15,24</t>
  </si>
  <si>
    <t>2,88 - 2,85</t>
  </si>
  <si>
    <t>19,67 - 27,08</t>
  </si>
  <si>
    <t>4,53 - 6,39</t>
  </si>
  <si>
    <t>1,58 - 1,56</t>
  </si>
  <si>
    <t>11,77 - 16,29</t>
  </si>
  <si>
    <t>3,81 - 5,32</t>
  </si>
  <si>
    <t>1,22 - 1,21</t>
  </si>
  <si>
    <t>1,26 - 1,36</t>
  </si>
  <si>
    <t>2,93 - 3,04</t>
  </si>
  <si>
    <t>20,54 - 28,33</t>
  </si>
  <si>
    <t>0,384 - 0,380</t>
  </si>
  <si>
    <t>6 - 10</t>
  </si>
  <si>
    <t>7,53 - 12,14</t>
  </si>
  <si>
    <t>9,59 - 15,47</t>
  </si>
  <si>
    <t>98,29 - 153,95</t>
  </si>
  <si>
    <t>14,52 - 23,32</t>
  </si>
  <si>
    <t>3,20 - 3,15</t>
  </si>
  <si>
    <t>30,58 - 47,18</t>
  </si>
  <si>
    <t>6,27 - 9,99</t>
  </si>
  <si>
    <t>1,79 - 1,75</t>
  </si>
  <si>
    <t>18,20 - 28,34</t>
  </si>
  <si>
    <t>5,27 - 8,31</t>
  </si>
  <si>
    <t>1,38 - 1,35</t>
  </si>
  <si>
    <t>1,42 - 1,57</t>
  </si>
  <si>
    <t>3,24 - 3,40</t>
  </si>
  <si>
    <t>31,50 - 48,60</t>
  </si>
  <si>
    <t>0,393 - 0,387</t>
  </si>
  <si>
    <t>7 - 10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</si>
</sst>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000000000000000000"/>
    <numFmt numFmtId="167" formatCode="0.0000"/>
    <numFmt numFmtId="168" formatCode="0.00000"/>
  </numFmts>
  <fonts count="123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sz val="10"/>
      <name val="Arial Cyr"/>
      <charset val="204"/>
    </font>
    <font>
      <vertAlign val="superscript"/>
      <sz val="10"/>
      <name val="Arial Cyr"/>
      <family val="2"/>
      <charset val="204"/>
    </font>
    <font>
      <sz val="8"/>
      <name val="Arial Cyr"/>
      <family val="2"/>
      <charset val="204"/>
    </font>
    <font>
      <b/>
      <sz val="12"/>
      <name val="Arial Cyr"/>
      <family val="2"/>
      <charset val="204"/>
    </font>
    <font>
      <b/>
      <vertAlign val="superscript"/>
      <sz val="12"/>
      <name val="Arial Cyr"/>
      <family val="2"/>
      <charset val="204"/>
    </font>
    <font>
      <sz val="10"/>
      <name val="Arial Cyr"/>
      <family val="2"/>
      <charset val="204"/>
    </font>
    <font>
      <b/>
      <sz val="10"/>
      <name val="Arial Cyr"/>
      <family val="2"/>
      <charset val="204"/>
    </font>
    <font>
      <vertAlign val="subscript"/>
      <sz val="10"/>
      <name val="Arial Cyr"/>
      <family val="2"/>
      <charset val="204"/>
    </font>
    <font>
      <sz val="7"/>
      <name val="Arial Cyr"/>
      <family val="2"/>
      <charset val="204"/>
    </font>
    <font>
      <b/>
      <sz val="12"/>
      <name val="Arial Cyr"/>
      <charset val="204"/>
    </font>
    <font>
      <b/>
      <vertAlign val="superscript"/>
      <sz val="12"/>
      <name val="Arial Cyr"/>
      <charset val="204"/>
    </font>
    <font>
      <b/>
      <sz val="8"/>
      <name val="Arial Cyr"/>
      <family val="2"/>
      <charset val="204"/>
    </font>
    <font>
      <b/>
      <vertAlign val="subscript"/>
      <sz val="8"/>
      <name val="Arial Cyr"/>
      <family val="2"/>
      <charset val="204"/>
    </font>
    <font>
      <sz val="10"/>
      <color indexed="22"/>
      <name val="Arial Cyr"/>
      <family val="2"/>
      <charset val="204"/>
    </font>
    <font>
      <sz val="10"/>
      <color indexed="17"/>
      <name val="Arial Cyr"/>
      <family val="2"/>
      <charset val="204"/>
    </font>
    <font>
      <vertAlign val="superscript"/>
      <sz val="10"/>
      <color indexed="17"/>
      <name val="Arial Cyr"/>
      <family val="2"/>
      <charset val="204"/>
    </font>
    <font>
      <b/>
      <vertAlign val="subscript"/>
      <sz val="12"/>
      <name val="Arial Cyr"/>
      <family val="2"/>
      <charset val="204"/>
    </font>
    <font>
      <b/>
      <sz val="10"/>
      <color indexed="17"/>
      <name val="Arial Cyr"/>
      <charset val="204"/>
    </font>
    <font>
      <b/>
      <sz val="11"/>
      <color indexed="17"/>
      <name val="Arial Cyr"/>
      <family val="2"/>
      <charset val="204"/>
    </font>
    <font>
      <b/>
      <sz val="12"/>
      <name val="Symbol"/>
      <family val="1"/>
      <charset val="2"/>
    </font>
    <font>
      <sz val="8"/>
      <color indexed="17"/>
      <name val="Arial Cyr"/>
      <family val="2"/>
      <charset val="204"/>
    </font>
    <font>
      <sz val="10"/>
      <color indexed="10"/>
      <name val="Arial Cyr"/>
      <family val="2"/>
      <charset val="204"/>
    </font>
    <font>
      <sz val="10"/>
      <color indexed="53"/>
      <name val="Arial Cyr"/>
      <family val="2"/>
      <charset val="204"/>
    </font>
    <font>
      <sz val="9"/>
      <name val="Arial Cyr"/>
      <family val="2"/>
      <charset val="204"/>
    </font>
    <font>
      <sz val="9"/>
      <color indexed="22"/>
      <name val="Arial Cyr"/>
      <family val="2"/>
      <charset val="204"/>
    </font>
    <font>
      <sz val="7"/>
      <name val="Courier New Cyr"/>
      <family val="3"/>
      <charset val="204"/>
    </font>
    <font>
      <b/>
      <sz val="7"/>
      <name val="Arial Cyr"/>
      <family val="2"/>
      <charset val="204"/>
    </font>
    <font>
      <sz val="7"/>
      <color indexed="53"/>
      <name val="Arial Cyr"/>
      <family val="2"/>
      <charset val="204"/>
    </font>
    <font>
      <sz val="7"/>
      <name val="Arial Cyr"/>
      <charset val="204"/>
    </font>
    <font>
      <b/>
      <sz val="11"/>
      <name val="Arial Cyr"/>
      <family val="2"/>
      <charset val="204"/>
    </font>
    <font>
      <b/>
      <vertAlign val="subscript"/>
      <sz val="11"/>
      <name val="Arial Cyr"/>
      <family val="2"/>
      <charset val="204"/>
    </font>
    <font>
      <sz val="9"/>
      <color indexed="17"/>
      <name val="Arial Cyr"/>
      <family val="2"/>
      <charset val="204"/>
    </font>
    <font>
      <b/>
      <sz val="9"/>
      <color indexed="17"/>
      <name val="Arial Cyr"/>
      <family val="2"/>
      <charset val="204"/>
    </font>
    <font>
      <vertAlign val="superscript"/>
      <sz val="9"/>
      <color indexed="17"/>
      <name val="Arial Cyr"/>
      <family val="2"/>
      <charset val="204"/>
    </font>
    <font>
      <sz val="9"/>
      <color indexed="9"/>
      <name val="Arial Cyr"/>
      <family val="2"/>
      <charset val="204"/>
    </font>
    <font>
      <b/>
      <sz val="9"/>
      <color indexed="17"/>
      <name val="Arial Cyr"/>
      <charset val="204"/>
    </font>
    <font>
      <b/>
      <sz val="8"/>
      <color indexed="61"/>
      <name val="Arial Cyr"/>
      <charset val="204"/>
    </font>
    <font>
      <sz val="8"/>
      <name val="Symbol"/>
      <family val="1"/>
      <charset val="2"/>
    </font>
    <font>
      <b/>
      <sz val="8"/>
      <name val="Arial Cyr"/>
      <charset val="204"/>
    </font>
    <font>
      <vertAlign val="subscript"/>
      <sz val="11"/>
      <name val="Arial Cyr"/>
      <family val="2"/>
      <charset val="204"/>
    </font>
    <font>
      <sz val="9"/>
      <color indexed="18"/>
      <name val="Arial Cyr"/>
      <family val="2"/>
      <charset val="204"/>
    </font>
    <font>
      <b/>
      <sz val="11"/>
      <name val="Arial Cyr"/>
      <charset val="204"/>
    </font>
    <font>
      <b/>
      <vertAlign val="subscript"/>
      <sz val="11"/>
      <name val="Arial Cyr"/>
      <charset val="204"/>
    </font>
    <font>
      <i/>
      <sz val="8"/>
      <color indexed="17"/>
      <name val="Symbol"/>
      <family val="1"/>
      <charset val="2"/>
    </font>
    <font>
      <i/>
      <sz val="8"/>
      <color indexed="17"/>
      <name val="Arial Cyr"/>
      <family val="2"/>
      <charset val="204"/>
    </font>
    <font>
      <b/>
      <sz val="10"/>
      <name val="Courier New Cyr"/>
      <family val="3"/>
      <charset val="204"/>
    </font>
    <font>
      <b/>
      <sz val="12"/>
      <name val="Courier New Cyr"/>
      <family val="3"/>
      <charset val="204"/>
    </font>
    <font>
      <sz val="10"/>
      <name val="Courier New Cyr"/>
      <family val="3"/>
      <charset val="204"/>
    </font>
    <font>
      <b/>
      <sz val="12"/>
      <name val="Courier New Cyr"/>
      <charset val="204"/>
    </font>
    <font>
      <b/>
      <sz val="9"/>
      <name val="Courier New Cyr"/>
      <family val="3"/>
      <charset val="204"/>
    </font>
    <font>
      <sz val="9"/>
      <name val="Arial Cyr"/>
      <charset val="204"/>
    </font>
    <font>
      <sz val="10"/>
      <color indexed="57"/>
      <name val="Arial Cyr"/>
      <charset val="204"/>
    </font>
    <font>
      <b/>
      <sz val="12"/>
      <color indexed="57"/>
      <name val="Arial Cyr"/>
      <family val="2"/>
      <charset val="204"/>
    </font>
    <font>
      <b/>
      <sz val="10"/>
      <color indexed="57"/>
      <name val="Arial Cyr"/>
      <charset val="204"/>
    </font>
    <font>
      <b/>
      <sz val="12"/>
      <color indexed="57"/>
      <name val="Courier New Cyr"/>
      <charset val="204"/>
    </font>
    <font>
      <vertAlign val="superscript"/>
      <sz val="10"/>
      <color indexed="57"/>
      <name val="Arial Cyr"/>
      <family val="2"/>
      <charset val="204"/>
    </font>
    <font>
      <sz val="9"/>
      <color indexed="57"/>
      <name val="Arial Cyr"/>
      <charset val="204"/>
    </font>
    <font>
      <sz val="9"/>
      <color indexed="57"/>
      <name val="Courier New Cyr"/>
      <family val="3"/>
      <charset val="204"/>
    </font>
    <font>
      <sz val="10"/>
      <color indexed="8"/>
      <name val="Arial Cyr"/>
      <family val="2"/>
      <charset val="204"/>
    </font>
    <font>
      <sz val="8"/>
      <color indexed="57"/>
      <name val="Arial Cyr"/>
      <family val="2"/>
      <charset val="204"/>
    </font>
    <font>
      <sz val="8"/>
      <color indexed="57"/>
      <name val="Arial Cyr"/>
      <charset val="204"/>
    </font>
    <font>
      <b/>
      <sz val="9"/>
      <name val="Arial Cyr"/>
      <family val="2"/>
      <charset val="204"/>
    </font>
    <font>
      <b/>
      <vertAlign val="superscript"/>
      <sz val="10"/>
      <name val="Arial Cyr"/>
      <charset val="204"/>
    </font>
    <font>
      <u/>
      <vertAlign val="superscript"/>
      <sz val="8"/>
      <name val="Arial Cyr"/>
      <family val="2"/>
      <charset val="204"/>
    </font>
    <font>
      <sz val="8"/>
      <color indexed="22"/>
      <name val="Arial Cyr"/>
      <family val="2"/>
      <charset val="204"/>
    </font>
    <font>
      <sz val="8"/>
      <color indexed="18"/>
      <name val="Arial Cyr"/>
      <family val="2"/>
      <charset val="204"/>
    </font>
    <font>
      <sz val="9"/>
      <color indexed="53"/>
      <name val="Arial Cyr"/>
      <family val="2"/>
      <charset val="204"/>
    </font>
    <font>
      <b/>
      <sz val="9"/>
      <color indexed="22"/>
      <name val="Arial Cyr"/>
      <family val="2"/>
      <charset val="204"/>
    </font>
    <font>
      <sz val="10"/>
      <color indexed="48"/>
      <name val="Arial Cyr"/>
      <family val="2"/>
      <charset val="204"/>
    </font>
    <font>
      <b/>
      <sz val="10"/>
      <color indexed="38"/>
      <name val="Arial Cyr"/>
      <family val="2"/>
      <charset val="204"/>
    </font>
    <font>
      <b/>
      <sz val="10"/>
      <color indexed="10"/>
      <name val="Arial Cyr"/>
      <family val="2"/>
      <charset val="204"/>
    </font>
    <font>
      <sz val="10"/>
      <color indexed="10"/>
      <name val="Aldine721 BT"/>
      <family val="1"/>
      <charset val="204"/>
    </font>
    <font>
      <sz val="10"/>
      <color indexed="57"/>
      <name val="Arial Cyr"/>
      <family val="2"/>
      <charset val="204"/>
    </font>
    <font>
      <sz val="10"/>
      <color indexed="57"/>
      <name val="Aldine721 BT"/>
      <family val="1"/>
      <charset val="204"/>
    </font>
    <font>
      <sz val="10"/>
      <color indexed="48"/>
      <name val="Aldine721 BT"/>
      <family val="1"/>
      <charset val="204"/>
    </font>
    <font>
      <b/>
      <vertAlign val="superscript"/>
      <sz val="10"/>
      <color indexed="17"/>
      <name val="Arial Cyr"/>
      <family val="2"/>
      <charset val="204"/>
    </font>
    <font>
      <sz val="10"/>
      <color indexed="52"/>
      <name val="Arial Cyr"/>
      <family val="2"/>
      <charset val="204"/>
    </font>
    <font>
      <sz val="10"/>
      <color indexed="12"/>
      <name val="Arial Cyr"/>
      <family val="2"/>
      <charset val="204"/>
    </font>
    <font>
      <b/>
      <sz val="10"/>
      <color indexed="17"/>
      <name val="Arial Cyr"/>
      <family val="2"/>
      <charset val="204"/>
    </font>
    <font>
      <b/>
      <sz val="10"/>
      <color indexed="10"/>
      <name val="Arial Cyr"/>
      <charset val="204"/>
    </font>
    <font>
      <sz val="10"/>
      <color indexed="50"/>
      <name val="Arial Cyr"/>
      <family val="2"/>
      <charset val="204"/>
    </font>
    <font>
      <i/>
      <sz val="8"/>
      <color indexed="50"/>
      <name val="Symbol"/>
      <family val="1"/>
      <charset val="2"/>
    </font>
    <font>
      <i/>
      <sz val="8"/>
      <color indexed="50"/>
      <name val="Arial Cyr"/>
      <family val="2"/>
      <charset val="204"/>
    </font>
    <font>
      <i/>
      <sz val="10"/>
      <color indexed="50"/>
      <name val="Arial Cyr"/>
      <charset val="204"/>
    </font>
    <font>
      <vertAlign val="superscript"/>
      <sz val="8"/>
      <name val="Arial Cyr"/>
      <family val="2"/>
      <charset val="204"/>
    </font>
    <font>
      <b/>
      <sz val="8"/>
      <color indexed="10"/>
      <name val="Arial Cyr"/>
      <family val="2"/>
      <charset val="204"/>
    </font>
    <font>
      <sz val="8"/>
      <color indexed="9"/>
      <name val="Arial Cyr"/>
      <family val="2"/>
      <charset val="204"/>
    </font>
    <font>
      <b/>
      <sz val="8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b/>
      <vertAlign val="superscript"/>
      <sz val="10"/>
      <name val="Arial Cyr"/>
      <family val="2"/>
      <charset val="204"/>
    </font>
    <font>
      <vertAlign val="subscript"/>
      <sz val="8"/>
      <name val="Arial Cyr"/>
      <family val="2"/>
      <charset val="204"/>
    </font>
    <font>
      <i/>
      <sz val="10"/>
      <name val="Arial Cyr"/>
      <family val="2"/>
      <charset val="204"/>
    </font>
    <font>
      <i/>
      <sz val="9"/>
      <name val="Arial Cyr"/>
      <family val="2"/>
      <charset val="204"/>
    </font>
    <font>
      <sz val="10"/>
      <color indexed="17"/>
      <name val="Arial Cyr"/>
      <charset val="204"/>
    </font>
    <font>
      <sz val="8"/>
      <color indexed="81"/>
      <name val="Tahoma"/>
      <family val="2"/>
      <charset val="204"/>
    </font>
    <font>
      <sz val="6"/>
      <name val="Arial Cyr"/>
      <family val="2"/>
      <charset val="204"/>
    </font>
    <font>
      <sz val="9"/>
      <name val="Courier New Cyr"/>
      <family val="3"/>
      <charset val="204"/>
    </font>
    <font>
      <b/>
      <i/>
      <sz val="9"/>
      <name val="Arial Cyr"/>
      <family val="2"/>
      <charset val="204"/>
    </font>
    <font>
      <sz val="10"/>
      <name val="Calisto MT"/>
      <family val="1"/>
      <charset val="204"/>
    </font>
    <font>
      <b/>
      <sz val="12"/>
      <name val="Calisto MT"/>
      <family val="1"/>
      <charset val="204"/>
    </font>
    <font>
      <sz val="10"/>
      <color indexed="17"/>
      <name val="Calisto MT"/>
      <family val="1"/>
      <charset val="204"/>
    </font>
    <font>
      <sz val="9"/>
      <name val="Calisto MT"/>
      <family val="1"/>
      <charset val="204"/>
    </font>
    <font>
      <sz val="8"/>
      <name val="Calisto MT"/>
      <family val="1"/>
      <charset val="204"/>
    </font>
    <font>
      <sz val="10"/>
      <color indexed="55"/>
      <name val="Arial Cyr"/>
      <family val="2"/>
      <charset val="204"/>
    </font>
    <font>
      <b/>
      <sz val="7"/>
      <color indexed="10"/>
      <name val="Arial Cyr"/>
      <family val="2"/>
      <charset val="204"/>
    </font>
    <font>
      <sz val="10"/>
      <color indexed="23"/>
      <name val="Arial Cyr"/>
      <family val="2"/>
      <charset val="204"/>
    </font>
    <font>
      <sz val="12"/>
      <name val="Calisto MT"/>
      <family val="1"/>
      <charset val="204"/>
    </font>
    <font>
      <b/>
      <sz val="11"/>
      <name val="Bookman Old Style"/>
      <family val="1"/>
      <charset val="204"/>
    </font>
    <font>
      <b/>
      <vertAlign val="subscript"/>
      <sz val="11"/>
      <name val="Bookman Old Style"/>
      <family val="1"/>
      <charset val="204"/>
    </font>
    <font>
      <sz val="11"/>
      <name val="Arial Cyr"/>
      <family val="2"/>
      <charset val="204"/>
    </font>
    <font>
      <b/>
      <sz val="12"/>
      <name val="Bookman Old Style"/>
      <family val="1"/>
      <charset val="204"/>
    </font>
    <font>
      <b/>
      <sz val="14"/>
      <name val="Arial Cyr"/>
      <family val="2"/>
      <charset val="204"/>
    </font>
    <font>
      <vertAlign val="superscript"/>
      <sz val="9"/>
      <name val="Arial Cyr"/>
      <family val="2"/>
      <charset val="204"/>
    </font>
    <font>
      <sz val="12"/>
      <name val="Symbol"/>
      <family val="1"/>
      <charset val="2"/>
    </font>
    <font>
      <vertAlign val="subscript"/>
      <sz val="12"/>
      <name val="Arial Cyr"/>
      <family val="2"/>
      <charset val="204"/>
    </font>
    <font>
      <b/>
      <vertAlign val="subscript"/>
      <sz val="14"/>
      <name val="Arial Cyr"/>
      <family val="2"/>
      <charset val="204"/>
    </font>
    <font>
      <sz val="14"/>
      <name val="Symbol"/>
      <family val="1"/>
      <charset val="2"/>
    </font>
    <font>
      <sz val="9"/>
      <color indexed="81"/>
      <name val="Tahoma"/>
      <family val="2"/>
      <charset val="204"/>
    </font>
    <font>
      <sz val="10"/>
      <color rgb="FF0000FF"/>
      <name val="Arial Cyr"/>
    </font>
    <font>
      <sz val="8"/>
      <color rgb="FF000000"/>
      <name val="Tahoma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</fills>
  <borders count="1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6"/>
      </left>
      <right/>
      <top style="medium">
        <color indexed="16"/>
      </top>
      <bottom/>
      <diagonal/>
    </border>
    <border>
      <left/>
      <right/>
      <top style="medium">
        <color indexed="16"/>
      </top>
      <bottom/>
      <diagonal/>
    </border>
    <border>
      <left/>
      <right style="medium">
        <color indexed="16"/>
      </right>
      <top style="medium">
        <color indexed="16"/>
      </top>
      <bottom/>
      <diagonal/>
    </border>
    <border>
      <left style="medium">
        <color indexed="16"/>
      </left>
      <right/>
      <top/>
      <bottom/>
      <diagonal/>
    </border>
    <border>
      <left/>
      <right style="medium">
        <color indexed="16"/>
      </right>
      <top/>
      <bottom/>
      <diagonal/>
    </border>
    <border>
      <left style="medium">
        <color indexed="16"/>
      </left>
      <right/>
      <top/>
      <bottom style="medium">
        <color indexed="16"/>
      </bottom>
      <diagonal/>
    </border>
    <border>
      <left/>
      <right/>
      <top/>
      <bottom style="medium">
        <color indexed="16"/>
      </bottom>
      <diagonal/>
    </border>
    <border>
      <left/>
      <right style="medium">
        <color indexed="16"/>
      </right>
      <top/>
      <bottom style="medium">
        <color indexed="16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 style="medium">
        <color indexed="17"/>
      </top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 style="medium">
        <color indexed="17"/>
      </right>
      <top/>
      <bottom style="medium">
        <color indexed="37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14"/>
      </left>
      <right style="thin">
        <color indexed="14"/>
      </right>
      <top style="thin">
        <color indexed="14"/>
      </top>
      <bottom style="thin">
        <color indexed="1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/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37"/>
      </left>
      <right style="medium">
        <color indexed="37"/>
      </right>
      <top style="medium">
        <color indexed="37"/>
      </top>
      <bottom style="medium">
        <color indexed="64"/>
      </bottom>
      <diagonal/>
    </border>
    <border>
      <left/>
      <right style="medium">
        <color indexed="17"/>
      </right>
      <top style="medium">
        <color indexed="37"/>
      </top>
      <bottom/>
      <diagonal/>
    </border>
    <border>
      <left style="medium">
        <color indexed="37"/>
      </left>
      <right style="medium">
        <color indexed="37"/>
      </right>
      <top style="medium">
        <color indexed="64"/>
      </top>
      <bottom style="medium">
        <color indexed="37"/>
      </bottom>
      <diagonal/>
    </border>
    <border>
      <left/>
      <right/>
      <top style="medium">
        <color indexed="1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57"/>
      </left>
      <right style="medium">
        <color indexed="57"/>
      </right>
      <top style="medium">
        <color indexed="57"/>
      </top>
      <bottom style="medium">
        <color indexed="64"/>
      </bottom>
      <diagonal/>
    </border>
    <border>
      <left style="medium">
        <color indexed="10"/>
      </left>
      <right style="medium">
        <color indexed="10"/>
      </right>
      <top/>
      <bottom style="medium">
        <color indexed="10"/>
      </bottom>
      <diagonal/>
    </border>
    <border>
      <left style="medium">
        <color indexed="48"/>
      </left>
      <right style="medium">
        <color indexed="48"/>
      </right>
      <top style="medium">
        <color indexed="48"/>
      </top>
      <bottom style="medium">
        <color indexed="48"/>
      </bottom>
      <diagonal/>
    </border>
    <border>
      <left/>
      <right style="medium">
        <color indexed="64"/>
      </right>
      <top style="medium">
        <color indexed="17"/>
      </top>
      <bottom style="medium">
        <color indexed="17"/>
      </bottom>
      <diagonal/>
    </border>
    <border>
      <left/>
      <right style="medium">
        <color indexed="64"/>
      </right>
      <top/>
      <bottom style="medium">
        <color indexed="17"/>
      </bottom>
      <diagonal/>
    </border>
    <border>
      <left style="medium">
        <color indexed="64"/>
      </left>
      <right/>
      <top style="medium">
        <color indexed="10"/>
      </top>
      <bottom style="medium">
        <color indexed="64"/>
      </bottom>
      <diagonal/>
    </border>
    <border>
      <left style="medium">
        <color indexed="25"/>
      </left>
      <right style="medium">
        <color indexed="25"/>
      </right>
      <top style="medium">
        <color indexed="25"/>
      </top>
      <bottom style="medium">
        <color indexed="25"/>
      </bottom>
      <diagonal/>
    </border>
    <border>
      <left/>
      <right style="medium">
        <color indexed="64"/>
      </right>
      <top style="medium">
        <color indexed="10"/>
      </top>
      <bottom style="medium">
        <color indexed="64"/>
      </bottom>
      <diagonal/>
    </border>
    <border>
      <left style="medium">
        <color indexed="52"/>
      </left>
      <right style="medium">
        <color indexed="52"/>
      </right>
      <top style="medium">
        <color indexed="52"/>
      </top>
      <bottom style="medium">
        <color indexed="52"/>
      </bottom>
      <diagonal/>
    </border>
    <border>
      <left style="medium">
        <color indexed="12"/>
      </left>
      <right style="medium">
        <color indexed="12"/>
      </right>
      <top style="medium">
        <color indexed="52"/>
      </top>
      <bottom style="medium">
        <color indexed="12"/>
      </bottom>
      <diagonal/>
    </border>
    <border>
      <left/>
      <right style="medium">
        <color indexed="64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 style="medium">
        <color indexed="10"/>
      </top>
      <bottom style="medium">
        <color indexed="64"/>
      </bottom>
      <diagonal/>
    </border>
    <border>
      <left style="medium">
        <color indexed="17"/>
      </left>
      <right/>
      <top style="medium">
        <color indexed="64"/>
      </top>
      <bottom style="medium">
        <color indexed="17"/>
      </bottom>
      <diagonal/>
    </border>
    <border>
      <left/>
      <right style="medium">
        <color indexed="64"/>
      </right>
      <top style="medium">
        <color indexed="64"/>
      </top>
      <bottom style="medium">
        <color indexed="17"/>
      </bottom>
      <diagonal/>
    </border>
    <border>
      <left style="medium">
        <color indexed="25"/>
      </left>
      <right style="medium">
        <color indexed="25"/>
      </right>
      <top style="medium">
        <color indexed="64"/>
      </top>
      <bottom style="medium">
        <color indexed="25"/>
      </bottom>
      <diagonal/>
    </border>
    <border>
      <left style="medium">
        <color indexed="64"/>
      </left>
      <right/>
      <top style="medium">
        <color indexed="10"/>
      </top>
      <bottom style="medium">
        <color indexed="10"/>
      </bottom>
      <diagonal/>
    </border>
    <border>
      <left style="thin">
        <color indexed="34"/>
      </left>
      <right style="thin">
        <color indexed="34"/>
      </right>
      <top style="thin">
        <color indexed="34"/>
      </top>
      <bottom style="thin">
        <color indexed="3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medium">
        <color indexed="12"/>
      </left>
      <right style="medium">
        <color indexed="12"/>
      </right>
      <top style="medium">
        <color indexed="52"/>
      </top>
      <bottom/>
      <diagonal/>
    </border>
    <border>
      <left style="double">
        <color indexed="32"/>
      </left>
      <right style="thin">
        <color indexed="64"/>
      </right>
      <top style="thin">
        <color indexed="64"/>
      </top>
      <bottom/>
      <diagonal/>
    </border>
    <border>
      <left style="double">
        <color indexed="32"/>
      </left>
      <right style="thin">
        <color indexed="64"/>
      </right>
      <top/>
      <bottom/>
      <diagonal/>
    </border>
    <border>
      <left style="double">
        <color indexed="32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17"/>
      </top>
      <bottom/>
      <diagonal/>
    </border>
    <border>
      <left style="double">
        <color indexed="32"/>
      </left>
      <right style="thin">
        <color indexed="64"/>
      </right>
      <top style="double">
        <color indexed="32"/>
      </top>
      <bottom/>
      <diagonal/>
    </border>
    <border>
      <left style="thin">
        <color indexed="64"/>
      </left>
      <right style="medium">
        <color indexed="64"/>
      </right>
      <top style="double">
        <color indexed="32"/>
      </top>
      <bottom/>
      <diagonal/>
    </border>
    <border>
      <left style="medium">
        <color indexed="64"/>
      </left>
      <right style="medium">
        <color indexed="64"/>
      </right>
      <top style="double">
        <color indexed="32"/>
      </top>
      <bottom/>
      <diagonal/>
    </border>
    <border>
      <left style="medium">
        <color indexed="64"/>
      </left>
      <right/>
      <top style="double">
        <color indexed="32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32"/>
      </left>
      <right/>
      <top/>
      <bottom/>
      <diagonal/>
    </border>
    <border>
      <left style="medium">
        <color indexed="64"/>
      </left>
      <right style="double">
        <color indexed="32"/>
      </right>
      <top/>
      <bottom/>
      <diagonal/>
    </border>
    <border>
      <left style="double">
        <color indexed="32"/>
      </left>
      <right style="thin">
        <color indexed="64"/>
      </right>
      <top/>
      <bottom style="medium">
        <color indexed="62"/>
      </bottom>
      <diagonal/>
    </border>
    <border>
      <left/>
      <right style="medium">
        <color indexed="64"/>
      </right>
      <top/>
      <bottom style="medium">
        <color indexed="62"/>
      </bottom>
      <diagonal/>
    </border>
    <border>
      <left style="medium">
        <color indexed="64"/>
      </left>
      <right/>
      <top/>
      <bottom style="medium">
        <color indexed="62"/>
      </bottom>
      <diagonal/>
    </border>
    <border>
      <left style="medium">
        <color indexed="64"/>
      </left>
      <right style="double">
        <color indexed="32"/>
      </right>
      <top/>
      <bottom style="medium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double">
        <color indexed="32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32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3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3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32"/>
      </right>
      <top style="double">
        <color indexed="32"/>
      </top>
      <bottom/>
      <diagonal/>
    </border>
    <border>
      <left style="double">
        <color indexed="32"/>
      </left>
      <right style="thin">
        <color indexed="64"/>
      </right>
      <top style="thin">
        <color indexed="64"/>
      </top>
      <bottom style="double">
        <color indexed="2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24"/>
      </bottom>
      <diagonal/>
    </border>
    <border>
      <left style="medium">
        <color indexed="64"/>
      </left>
      <right/>
      <top style="thin">
        <color indexed="64"/>
      </top>
      <bottom style="double">
        <color indexed="24"/>
      </bottom>
      <diagonal/>
    </border>
    <border>
      <left style="medium">
        <color indexed="64"/>
      </left>
      <right style="double">
        <color indexed="32"/>
      </right>
      <top style="thin">
        <color indexed="64"/>
      </top>
      <bottom style="double">
        <color indexed="2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4"/>
      </left>
      <right style="medium">
        <color indexed="14"/>
      </right>
      <top style="medium">
        <color indexed="14"/>
      </top>
      <bottom style="medium">
        <color indexed="14"/>
      </bottom>
      <diagonal/>
    </border>
    <border>
      <left style="medium">
        <color indexed="10"/>
      </left>
      <right style="medium">
        <color indexed="10"/>
      </right>
      <top style="medium">
        <color indexed="12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0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6" fillId="0" borderId="11" xfId="0" applyFont="1" applyBorder="1" applyAlignment="1">
      <alignment horizontal="center" wrapText="1"/>
    </xf>
    <xf numFmtId="0" fontId="6" fillId="0" borderId="12" xfId="0" applyFont="1" applyBorder="1" applyAlignment="1">
      <alignment horizontal="center" wrapText="1"/>
    </xf>
    <xf numFmtId="0" fontId="6" fillId="0" borderId="2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12" fillId="0" borderId="5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0" fillId="0" borderId="3" xfId="0" applyBorder="1"/>
    <xf numFmtId="0" fontId="0" fillId="0" borderId="1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5" fillId="0" borderId="0" xfId="0" applyFont="1" applyBorder="1"/>
    <xf numFmtId="164" fontId="0" fillId="0" borderId="0" xfId="0" applyNumberFormat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34" fillId="0" borderId="17" xfId="0" applyFont="1" applyBorder="1" applyAlignment="1">
      <alignment horizontal="center" wrapText="1"/>
    </xf>
    <xf numFmtId="0" fontId="39" fillId="0" borderId="0" xfId="0" applyFont="1" applyAlignment="1">
      <alignment horizontal="center"/>
    </xf>
    <xf numFmtId="0" fontId="20" fillId="0" borderId="18" xfId="0" applyFont="1" applyBorder="1" applyAlignment="1">
      <alignment horizontal="left"/>
    </xf>
    <xf numFmtId="0" fontId="0" fillId="2" borderId="0" xfId="0" applyFill="1"/>
    <xf numFmtId="0" fontId="17" fillId="0" borderId="0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5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164" fontId="26" fillId="0" borderId="0" xfId="0" applyNumberFormat="1" applyFont="1" applyAlignment="1">
      <alignment horizontal="center"/>
    </xf>
    <xf numFmtId="2" fontId="26" fillId="0" borderId="0" xfId="0" applyNumberFormat="1" applyFont="1" applyAlignment="1">
      <alignment horizontal="center"/>
    </xf>
    <xf numFmtId="1" fontId="26" fillId="0" borderId="0" xfId="0" applyNumberFormat="1" applyFont="1" applyAlignment="1">
      <alignment horizontal="center"/>
    </xf>
    <xf numFmtId="0" fontId="0" fillId="0" borderId="0" xfId="0" applyBorder="1" applyAlignment="1">
      <alignment horizontal="center" wrapText="1"/>
    </xf>
    <xf numFmtId="0" fontId="12" fillId="0" borderId="0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/>
    <xf numFmtId="0" fontId="0" fillId="0" borderId="20" xfId="0" applyBorder="1"/>
    <xf numFmtId="0" fontId="1" fillId="0" borderId="21" xfId="0" applyFont="1" applyBorder="1" applyAlignment="1">
      <alignment horizontal="center"/>
    </xf>
    <xf numFmtId="49" fontId="1" fillId="0" borderId="21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4" fillId="0" borderId="2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0" xfId="0" quotePrefix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Fill="1"/>
    <xf numFmtId="0" fontId="44" fillId="0" borderId="9" xfId="0" applyFont="1" applyBorder="1" applyAlignment="1">
      <alignment horizontal="center" wrapText="1"/>
    </xf>
    <xf numFmtId="0" fontId="44" fillId="0" borderId="19" xfId="0" applyFont="1" applyBorder="1" applyAlignment="1">
      <alignment horizontal="center" wrapText="1"/>
    </xf>
    <xf numFmtId="0" fontId="14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 vertical="center"/>
    </xf>
    <xf numFmtId="2" fontId="0" fillId="0" borderId="25" xfId="0" applyNumberFormat="1" applyBorder="1" applyAlignment="1">
      <alignment horizontal="center"/>
    </xf>
    <xf numFmtId="2" fontId="0" fillId="0" borderId="25" xfId="0" applyNumberFormat="1" applyBorder="1"/>
    <xf numFmtId="2" fontId="0" fillId="0" borderId="26" xfId="0" applyNumberFormat="1" applyBorder="1" applyAlignment="1">
      <alignment horizontal="center"/>
    </xf>
    <xf numFmtId="2" fontId="0" fillId="0" borderId="26" xfId="0" applyNumberFormat="1" applyBorder="1"/>
    <xf numFmtId="2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2" fontId="0" fillId="0" borderId="0" xfId="0" applyNumberFormat="1" applyBorder="1"/>
    <xf numFmtId="164" fontId="0" fillId="0" borderId="27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28" xfId="0" applyNumberFormat="1" applyBorder="1"/>
    <xf numFmtId="164" fontId="0" fillId="0" borderId="5" xfId="0" applyNumberFormat="1" applyBorder="1" applyAlignment="1">
      <alignment horizontal="center"/>
    </xf>
    <xf numFmtId="164" fontId="0" fillId="0" borderId="31" xfId="0" applyNumberFormat="1" applyBorder="1"/>
    <xf numFmtId="164" fontId="0" fillId="0" borderId="30" xfId="0" applyNumberFormat="1" applyBorder="1"/>
    <xf numFmtId="1" fontId="0" fillId="0" borderId="5" xfId="0" applyNumberFormat="1" applyBorder="1" applyAlignment="1">
      <alignment horizontal="center"/>
    </xf>
    <xf numFmtId="2" fontId="0" fillId="0" borderId="27" xfId="0" applyNumberFormat="1" applyBorder="1"/>
    <xf numFmtId="2" fontId="0" fillId="0" borderId="28" xfId="0" applyNumberFormat="1" applyBorder="1"/>
    <xf numFmtId="2" fontId="0" fillId="0" borderId="29" xfId="0" applyNumberFormat="1" applyBorder="1"/>
    <xf numFmtId="2" fontId="0" fillId="0" borderId="30" xfId="0" applyNumberFormat="1" applyBorder="1"/>
    <xf numFmtId="2" fontId="0" fillId="0" borderId="5" xfId="0" applyNumberFormat="1" applyBorder="1"/>
    <xf numFmtId="2" fontId="0" fillId="0" borderId="31" xfId="0" applyNumberFormat="1" applyBorder="1"/>
    <xf numFmtId="0" fontId="0" fillId="0" borderId="31" xfId="0" applyBorder="1"/>
    <xf numFmtId="0" fontId="0" fillId="0" borderId="32" xfId="0" applyBorder="1"/>
    <xf numFmtId="2" fontId="0" fillId="0" borderId="27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28" xfId="0" applyBorder="1"/>
    <xf numFmtId="0" fontId="0" fillId="0" borderId="30" xfId="0" applyBorder="1"/>
    <xf numFmtId="0" fontId="0" fillId="0" borderId="5" xfId="0" applyBorder="1"/>
    <xf numFmtId="0" fontId="0" fillId="0" borderId="33" xfId="0" applyBorder="1"/>
    <xf numFmtId="0" fontId="0" fillId="0" borderId="34" xfId="0" applyBorder="1"/>
    <xf numFmtId="0" fontId="0" fillId="0" borderId="13" xfId="0" applyBorder="1"/>
    <xf numFmtId="2" fontId="0" fillId="0" borderId="34" xfId="0" applyNumberFormat="1" applyBorder="1"/>
    <xf numFmtId="2" fontId="0" fillId="0" borderId="13" xfId="0" applyNumberFormat="1" applyBorder="1"/>
    <xf numFmtId="165" fontId="0" fillId="0" borderId="34" xfId="0" applyNumberFormat="1" applyBorder="1"/>
    <xf numFmtId="165" fontId="0" fillId="0" borderId="13" xfId="0" applyNumberFormat="1" applyBorder="1"/>
    <xf numFmtId="2" fontId="24" fillId="0" borderId="0" xfId="0" applyNumberFormat="1" applyFont="1" applyBorder="1" applyAlignment="1">
      <alignment horizontal="center"/>
    </xf>
    <xf numFmtId="2" fontId="24" fillId="0" borderId="26" xfId="0" applyNumberFormat="1" applyFont="1" applyBorder="1" applyAlignment="1">
      <alignment horizontal="center"/>
    </xf>
    <xf numFmtId="0" fontId="0" fillId="0" borderId="29" xfId="0" applyBorder="1"/>
    <xf numFmtId="0" fontId="0" fillId="0" borderId="26" xfId="0" applyBorder="1"/>
    <xf numFmtId="1" fontId="0" fillId="0" borderId="29" xfId="0" applyNumberFormat="1" applyBorder="1" applyAlignment="1">
      <alignment horizontal="center"/>
    </xf>
    <xf numFmtId="164" fontId="0" fillId="0" borderId="13" xfId="0" applyNumberFormat="1" applyBorder="1"/>
    <xf numFmtId="164" fontId="0" fillId="0" borderId="34" xfId="0" applyNumberFormat="1" applyBorder="1"/>
    <xf numFmtId="0" fontId="47" fillId="0" borderId="35" xfId="0" applyFont="1" applyBorder="1"/>
    <xf numFmtId="0" fontId="47" fillId="0" borderId="36" xfId="0" applyFont="1" applyBorder="1"/>
    <xf numFmtId="49" fontId="47" fillId="0" borderId="36" xfId="0" applyNumberFormat="1" applyFont="1" applyBorder="1" applyAlignment="1">
      <alignment horizontal="center"/>
    </xf>
    <xf numFmtId="0" fontId="47" fillId="0" borderId="37" xfId="0" applyFont="1" applyBorder="1" applyAlignment="1">
      <alignment horizontal="center"/>
    </xf>
    <xf numFmtId="0" fontId="47" fillId="0" borderId="38" xfId="0" applyFont="1" applyBorder="1" applyAlignment="1">
      <alignment horizontal="center"/>
    </xf>
    <xf numFmtId="0" fontId="47" fillId="0" borderId="39" xfId="0" applyFont="1" applyBorder="1" applyAlignment="1">
      <alignment horizontal="left"/>
    </xf>
    <xf numFmtId="0" fontId="47" fillId="0" borderId="40" xfId="0" applyFont="1" applyBorder="1"/>
    <xf numFmtId="0" fontId="47" fillId="0" borderId="38" xfId="0" applyFont="1" applyBorder="1"/>
    <xf numFmtId="49" fontId="47" fillId="0" borderId="38" xfId="0" applyNumberFormat="1" applyFont="1" applyBorder="1" applyAlignment="1">
      <alignment horizontal="center"/>
    </xf>
    <xf numFmtId="0" fontId="47" fillId="0" borderId="39" xfId="0" applyFont="1" applyBorder="1" applyAlignment="1">
      <alignment horizontal="center"/>
    </xf>
    <xf numFmtId="0" fontId="47" fillId="0" borderId="40" xfId="0" applyFont="1" applyBorder="1" applyAlignment="1">
      <alignment vertical="top"/>
    </xf>
    <xf numFmtId="0" fontId="47" fillId="0" borderId="38" xfId="0" applyFont="1" applyBorder="1" applyAlignment="1">
      <alignment vertical="top"/>
    </xf>
    <xf numFmtId="49" fontId="47" fillId="0" borderId="38" xfId="0" applyNumberFormat="1" applyFont="1" applyBorder="1" applyAlignment="1">
      <alignment horizontal="center" vertical="top"/>
    </xf>
    <xf numFmtId="0" fontId="47" fillId="0" borderId="39" xfId="0" applyFont="1" applyBorder="1" applyAlignment="1">
      <alignment horizontal="center" vertical="top"/>
    </xf>
    <xf numFmtId="0" fontId="47" fillId="0" borderId="39" xfId="0" applyFont="1" applyBorder="1" applyAlignment="1">
      <alignment horizontal="left" wrapText="1"/>
    </xf>
    <xf numFmtId="164" fontId="0" fillId="0" borderId="0" xfId="0" applyNumberFormat="1"/>
    <xf numFmtId="164" fontId="26" fillId="0" borderId="0" xfId="0" applyNumberFormat="1" applyFont="1"/>
    <xf numFmtId="164" fontId="5" fillId="0" borderId="0" xfId="0" applyNumberFormat="1" applyFont="1" applyAlignment="1">
      <alignment horizontal="center"/>
    </xf>
    <xf numFmtId="2" fontId="26" fillId="0" borderId="0" xfId="0" applyNumberFormat="1" applyFont="1"/>
    <xf numFmtId="0" fontId="8" fillId="0" borderId="0" xfId="0" applyFont="1" applyAlignment="1">
      <alignment horizontal="center"/>
    </xf>
    <xf numFmtId="0" fontId="0" fillId="0" borderId="0" xfId="0" applyAlignment="1">
      <alignment horizontal="left"/>
    </xf>
    <xf numFmtId="166" fontId="5" fillId="0" borderId="0" xfId="0" applyNumberFormat="1" applyFont="1" applyAlignment="1">
      <alignment horizontal="left"/>
    </xf>
    <xf numFmtId="0" fontId="0" fillId="0" borderId="11" xfId="0" applyBorder="1"/>
    <xf numFmtId="0" fontId="0" fillId="0" borderId="41" xfId="0" applyBorder="1"/>
    <xf numFmtId="0" fontId="0" fillId="0" borderId="6" xfId="0" applyBorder="1"/>
    <xf numFmtId="49" fontId="0" fillId="0" borderId="0" xfId="0" applyNumberFormat="1"/>
    <xf numFmtId="0" fontId="0" fillId="0" borderId="24" xfId="0" applyBorder="1"/>
    <xf numFmtId="0" fontId="0" fillId="3" borderId="24" xfId="0" applyFill="1" applyBorder="1"/>
    <xf numFmtId="0" fontId="0" fillId="3" borderId="0" xfId="0" applyFill="1"/>
    <xf numFmtId="0" fontId="0" fillId="0" borderId="42" xfId="0" applyBorder="1"/>
    <xf numFmtId="0" fontId="0" fillId="0" borderId="4" xfId="0" applyBorder="1"/>
    <xf numFmtId="0" fontId="0" fillId="0" borderId="21" xfId="0" applyBorder="1"/>
    <xf numFmtId="2" fontId="0" fillId="0" borderId="2" xfId="0" applyNumberFormat="1" applyBorder="1"/>
    <xf numFmtId="2" fontId="0" fillId="0" borderId="19" xfId="0" applyNumberFormat="1" applyBorder="1"/>
    <xf numFmtId="2" fontId="0" fillId="0" borderId="43" xfId="0" applyNumberFormat="1" applyBorder="1"/>
    <xf numFmtId="164" fontId="0" fillId="0" borderId="43" xfId="0" applyNumberFormat="1" applyBorder="1"/>
    <xf numFmtId="164" fontId="0" fillId="0" borderId="19" xfId="0" applyNumberFormat="1" applyBorder="1"/>
    <xf numFmtId="0" fontId="0" fillId="0" borderId="19" xfId="0" applyBorder="1"/>
    <xf numFmtId="0" fontId="0" fillId="0" borderId="17" xfId="0" applyBorder="1"/>
    <xf numFmtId="0" fontId="1" fillId="0" borderId="20" xfId="0" applyFont="1" applyBorder="1"/>
    <xf numFmtId="0" fontId="0" fillId="0" borderId="22" xfId="0" applyBorder="1"/>
    <xf numFmtId="0" fontId="0" fillId="4" borderId="0" xfId="0" applyFill="1"/>
    <xf numFmtId="2" fontId="0" fillId="0" borderId="3" xfId="0" applyNumberFormat="1" applyBorder="1"/>
    <xf numFmtId="4" fontId="0" fillId="0" borderId="13" xfId="0" applyNumberFormat="1" applyBorder="1"/>
    <xf numFmtId="2" fontId="0" fillId="0" borderId="24" xfId="0" applyNumberFormat="1" applyBorder="1"/>
    <xf numFmtId="2" fontId="0" fillId="0" borderId="14" xfId="0" applyNumberFormat="1" applyBorder="1"/>
    <xf numFmtId="0" fontId="0" fillId="0" borderId="44" xfId="0" applyBorder="1" applyAlignment="1">
      <alignment horizontal="left"/>
    </xf>
    <xf numFmtId="0" fontId="12" fillId="0" borderId="0" xfId="0" applyFont="1" applyAlignment="1">
      <alignment horizontal="right"/>
    </xf>
    <xf numFmtId="0" fontId="0" fillId="5" borderId="5" xfId="0" applyFill="1" applyBorder="1"/>
    <xf numFmtId="0" fontId="0" fillId="5" borderId="31" xfId="0" applyFill="1" applyBorder="1"/>
    <xf numFmtId="0" fontId="50" fillId="5" borderId="32" xfId="0" applyFont="1" applyFill="1" applyBorder="1"/>
    <xf numFmtId="2" fontId="1" fillId="5" borderId="6" xfId="0" applyNumberFormat="1" applyFont="1" applyFill="1" applyBorder="1" applyAlignment="1">
      <alignment horizontal="right"/>
    </xf>
    <xf numFmtId="0" fontId="0" fillId="5" borderId="41" xfId="0" applyFill="1" applyBorder="1"/>
    <xf numFmtId="0" fontId="0" fillId="6" borderId="11" xfId="0" applyFill="1" applyBorder="1"/>
    <xf numFmtId="0" fontId="0" fillId="6" borderId="41" xfId="0" applyFill="1" applyBorder="1"/>
    <xf numFmtId="0" fontId="0" fillId="6" borderId="5" xfId="0" applyFill="1" applyBorder="1"/>
    <xf numFmtId="0" fontId="0" fillId="6" borderId="31" xfId="0" applyFill="1" applyBorder="1"/>
    <xf numFmtId="1" fontId="1" fillId="6" borderId="6" xfId="0" applyNumberFormat="1" applyFont="1" applyFill="1" applyBorder="1" applyAlignment="1">
      <alignment horizontal="right"/>
    </xf>
    <xf numFmtId="1" fontId="48" fillId="6" borderId="32" xfId="0" applyNumberFormat="1" applyFont="1" applyFill="1" applyBorder="1" applyAlignment="1">
      <alignment horizontal="left"/>
    </xf>
    <xf numFmtId="0" fontId="0" fillId="7" borderId="11" xfId="0" applyFill="1" applyBorder="1"/>
    <xf numFmtId="0" fontId="0" fillId="7" borderId="41" xfId="0" applyFill="1" applyBorder="1"/>
    <xf numFmtId="0" fontId="0" fillId="7" borderId="5" xfId="0" applyFill="1" applyBorder="1"/>
    <xf numFmtId="0" fontId="0" fillId="7" borderId="31" xfId="0" applyFill="1" applyBorder="1"/>
    <xf numFmtId="1" fontId="1" fillId="7" borderId="6" xfId="0" applyNumberFormat="1" applyFont="1" applyFill="1" applyBorder="1" applyAlignment="1">
      <alignment horizontal="right"/>
    </xf>
    <xf numFmtId="1" fontId="48" fillId="7" borderId="32" xfId="0" applyNumberFormat="1" applyFont="1" applyFill="1" applyBorder="1" applyAlignment="1">
      <alignment horizontal="left"/>
    </xf>
    <xf numFmtId="2" fontId="0" fillId="0" borderId="0" xfId="0" applyNumberFormat="1"/>
    <xf numFmtId="0" fontId="48" fillId="3" borderId="11" xfId="0" applyFont="1" applyFill="1" applyBorder="1" applyAlignment="1">
      <alignment horizontal="left" vertical="center"/>
    </xf>
    <xf numFmtId="0" fontId="0" fillId="3" borderId="41" xfId="0" applyFill="1" applyBorder="1" applyAlignment="1">
      <alignment vertical="center"/>
    </xf>
    <xf numFmtId="0" fontId="0" fillId="0" borderId="0" xfId="0" applyAlignment="1">
      <alignment vertical="center"/>
    </xf>
    <xf numFmtId="0" fontId="48" fillId="8" borderId="11" xfId="0" applyFont="1" applyFill="1" applyBorder="1" applyAlignment="1">
      <alignment horizontal="left" vertical="center"/>
    </xf>
    <xf numFmtId="0" fontId="49" fillId="8" borderId="41" xfId="0" applyFont="1" applyFill="1" applyBorder="1" applyAlignment="1">
      <alignment horizontal="center" vertical="center"/>
    </xf>
    <xf numFmtId="0" fontId="48" fillId="4" borderId="11" xfId="0" applyFont="1" applyFill="1" applyBorder="1" applyAlignment="1">
      <alignment horizontal="left" vertical="center"/>
    </xf>
    <xf numFmtId="0" fontId="49" fillId="4" borderId="41" xfId="0" applyFont="1" applyFill="1" applyBorder="1" applyAlignment="1">
      <alignment horizontal="center" vertical="center"/>
    </xf>
    <xf numFmtId="0" fontId="52" fillId="3" borderId="6" xfId="0" applyFont="1" applyFill="1" applyBorder="1" applyAlignment="1">
      <alignment horizontal="left" vertical="center"/>
    </xf>
    <xf numFmtId="0" fontId="53" fillId="3" borderId="32" xfId="0" applyFont="1" applyFill="1" applyBorder="1" applyAlignment="1">
      <alignment vertical="center"/>
    </xf>
    <xf numFmtId="0" fontId="52" fillId="8" borderId="6" xfId="0" applyFont="1" applyFill="1" applyBorder="1" applyAlignment="1">
      <alignment horizontal="left" vertical="center"/>
    </xf>
    <xf numFmtId="0" fontId="48" fillId="8" borderId="32" xfId="0" applyFont="1" applyFill="1" applyBorder="1" applyAlignment="1">
      <alignment horizontal="center" vertical="center"/>
    </xf>
    <xf numFmtId="0" fontId="52" fillId="4" borderId="6" xfId="0" applyFont="1" applyFill="1" applyBorder="1" applyAlignment="1">
      <alignment horizontal="left" vertical="center"/>
    </xf>
    <xf numFmtId="0" fontId="48" fillId="4" borderId="32" xfId="0" applyFont="1" applyFill="1" applyBorder="1" applyAlignment="1">
      <alignment horizontal="center" vertical="center"/>
    </xf>
    <xf numFmtId="0" fontId="0" fillId="2" borderId="0" xfId="0" applyFill="1" applyAlignment="1">
      <alignment horizontal="right"/>
    </xf>
    <xf numFmtId="1" fontId="0" fillId="0" borderId="0" xfId="0" applyNumberFormat="1" applyFill="1" applyBorder="1"/>
    <xf numFmtId="2" fontId="0" fillId="0" borderId="0" xfId="0" applyNumberFormat="1" applyBorder="1" applyAlignment="1">
      <alignment horizontal="right"/>
    </xf>
    <xf numFmtId="2" fontId="0" fillId="0" borderId="45" xfId="0" applyNumberFormat="1" applyBorder="1"/>
    <xf numFmtId="0" fontId="0" fillId="0" borderId="45" xfId="0" applyBorder="1"/>
    <xf numFmtId="0" fontId="0" fillId="2" borderId="24" xfId="0" applyFill="1" applyBorder="1"/>
    <xf numFmtId="2" fontId="0" fillId="3" borderId="0" xfId="0" applyNumberFormat="1" applyFill="1" applyAlignment="1">
      <alignment horizontal="right"/>
    </xf>
    <xf numFmtId="0" fontId="0" fillId="0" borderId="0" xfId="0" applyBorder="1" applyAlignment="1">
      <alignment horizontal="right"/>
    </xf>
    <xf numFmtId="2" fontId="0" fillId="3" borderId="13" xfId="0" applyNumberFormat="1" applyFill="1" applyBorder="1"/>
    <xf numFmtId="2" fontId="0" fillId="2" borderId="13" xfId="0" applyNumberFormat="1" applyFill="1" applyBorder="1"/>
    <xf numFmtId="2" fontId="0" fillId="4" borderId="14" xfId="0" applyNumberFormat="1" applyFill="1" applyBorder="1"/>
    <xf numFmtId="0" fontId="0" fillId="9" borderId="0" xfId="0" applyFill="1" applyBorder="1"/>
    <xf numFmtId="0" fontId="0" fillId="9" borderId="0" xfId="0" applyFill="1" applyBorder="1" applyAlignment="1">
      <alignment vertical="center"/>
    </xf>
    <xf numFmtId="0" fontId="0" fillId="9" borderId="0" xfId="0" applyFill="1" applyBorder="1" applyAlignment="1">
      <alignment horizontal="right" vertical="center"/>
    </xf>
    <xf numFmtId="4" fontId="1" fillId="9" borderId="0" xfId="0" applyNumberFormat="1" applyFont="1" applyFill="1" applyBorder="1" applyAlignment="1">
      <alignment vertical="center"/>
    </xf>
    <xf numFmtId="0" fontId="51" fillId="9" borderId="0" xfId="0" applyFont="1" applyFill="1" applyBorder="1" applyAlignment="1">
      <alignment vertical="center"/>
    </xf>
    <xf numFmtId="0" fontId="61" fillId="9" borderId="0" xfId="0" applyFont="1" applyFill="1" applyBorder="1" applyAlignment="1">
      <alignment horizontal="center"/>
    </xf>
    <xf numFmtId="0" fontId="0" fillId="10" borderId="0" xfId="0" applyFill="1" applyBorder="1"/>
    <xf numFmtId="0" fontId="0" fillId="10" borderId="0" xfId="0" applyFill="1" applyBorder="1" applyAlignment="1">
      <alignment vertical="center"/>
    </xf>
    <xf numFmtId="0" fontId="0" fillId="10" borderId="0" xfId="0" applyFill="1" applyBorder="1" applyAlignment="1">
      <alignment horizontal="right" vertical="center"/>
    </xf>
    <xf numFmtId="4" fontId="1" fillId="10" borderId="0" xfId="0" applyNumberFormat="1" applyFont="1" applyFill="1" applyBorder="1" applyAlignment="1">
      <alignment vertical="center"/>
    </xf>
    <xf numFmtId="0" fontId="51" fillId="10" borderId="0" xfId="0" applyFont="1" applyFill="1" applyBorder="1" applyAlignment="1">
      <alignment vertical="center"/>
    </xf>
    <xf numFmtId="0" fontId="61" fillId="10" borderId="0" xfId="0" applyFont="1" applyFill="1" applyBorder="1" applyAlignment="1">
      <alignment horizontal="center"/>
    </xf>
    <xf numFmtId="0" fontId="0" fillId="10" borderId="11" xfId="0" applyFill="1" applyBorder="1"/>
    <xf numFmtId="0" fontId="0" fillId="10" borderId="42" xfId="0" applyFill="1" applyBorder="1"/>
    <xf numFmtId="0" fontId="61" fillId="10" borderId="42" xfId="0" applyFont="1" applyFill="1" applyBorder="1" applyAlignment="1">
      <alignment horizontal="center"/>
    </xf>
    <xf numFmtId="0" fontId="0" fillId="10" borderId="41" xfId="0" applyFill="1" applyBorder="1"/>
    <xf numFmtId="0" fontId="0" fillId="10" borderId="5" xfId="0" applyFill="1" applyBorder="1"/>
    <xf numFmtId="0" fontId="0" fillId="10" borderId="31" xfId="0" applyFill="1" applyBorder="1"/>
    <xf numFmtId="0" fontId="0" fillId="10" borderId="5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6" xfId="0" applyFill="1" applyBorder="1"/>
    <xf numFmtId="0" fontId="0" fillId="10" borderId="4" xfId="0" applyFill="1" applyBorder="1"/>
    <xf numFmtId="0" fontId="0" fillId="10" borderId="32" xfId="0" applyFill="1" applyBorder="1"/>
    <xf numFmtId="0" fontId="0" fillId="9" borderId="46" xfId="0" applyFill="1" applyBorder="1"/>
    <xf numFmtId="0" fontId="0" fillId="9" borderId="47" xfId="0" applyFill="1" applyBorder="1"/>
    <xf numFmtId="0" fontId="0" fillId="9" borderId="48" xfId="0" applyFill="1" applyBorder="1"/>
    <xf numFmtId="0" fontId="0" fillId="9" borderId="49" xfId="0" applyFill="1" applyBorder="1"/>
    <xf numFmtId="0" fontId="0" fillId="9" borderId="50" xfId="0" applyFill="1" applyBorder="1"/>
    <xf numFmtId="0" fontId="0" fillId="9" borderId="49" xfId="0" applyFill="1" applyBorder="1" applyAlignment="1">
      <alignment vertical="center"/>
    </xf>
    <xf numFmtId="0" fontId="0" fillId="9" borderId="50" xfId="0" applyFill="1" applyBorder="1" applyAlignment="1">
      <alignment vertical="center"/>
    </xf>
    <xf numFmtId="0" fontId="0" fillId="9" borderId="51" xfId="0" applyFill="1" applyBorder="1"/>
    <xf numFmtId="0" fontId="0" fillId="9" borderId="52" xfId="0" applyFill="1" applyBorder="1"/>
    <xf numFmtId="0" fontId="0" fillId="9" borderId="53" xfId="0" applyFill="1" applyBorder="1"/>
    <xf numFmtId="0" fontId="0" fillId="0" borderId="0" xfId="0" applyFill="1" applyAlignment="1">
      <alignment vertical="center"/>
    </xf>
    <xf numFmtId="0" fontId="47" fillId="0" borderId="45" xfId="0" applyFont="1" applyBorder="1" applyAlignment="1">
      <alignment horizontal="right"/>
    </xf>
    <xf numFmtId="0" fontId="50" fillId="0" borderId="0" xfId="0" applyFont="1" applyAlignment="1">
      <alignment horizontal="right"/>
    </xf>
    <xf numFmtId="0" fontId="0" fillId="11" borderId="0" xfId="0" applyFill="1"/>
    <xf numFmtId="0" fontId="0" fillId="6" borderId="0" xfId="0" applyFill="1"/>
    <xf numFmtId="0" fontId="8" fillId="0" borderId="0" xfId="0" applyFont="1" applyAlignment="1"/>
    <xf numFmtId="0" fontId="8" fillId="0" borderId="0" xfId="0" applyFont="1"/>
    <xf numFmtId="0" fontId="0" fillId="0" borderId="0" xfId="0" applyFill="1" applyBorder="1"/>
    <xf numFmtId="0" fontId="54" fillId="0" borderId="54" xfId="0" applyFont="1" applyFill="1" applyBorder="1" applyAlignment="1">
      <alignment vertical="center"/>
    </xf>
    <xf numFmtId="0" fontId="57" fillId="0" borderId="55" xfId="0" applyFont="1" applyFill="1" applyBorder="1" applyAlignment="1">
      <alignment vertical="center"/>
    </xf>
    <xf numFmtId="0" fontId="54" fillId="0" borderId="56" xfId="0" applyFont="1" applyFill="1" applyBorder="1" applyAlignment="1">
      <alignment vertical="center"/>
    </xf>
    <xf numFmtId="0" fontId="57" fillId="0" borderId="57" xfId="0" applyFont="1" applyFill="1" applyBorder="1" applyAlignment="1">
      <alignment vertical="center"/>
    </xf>
    <xf numFmtId="0" fontId="48" fillId="2" borderId="11" xfId="0" applyFont="1" applyFill="1" applyBorder="1" applyAlignment="1">
      <alignment horizontal="left" vertical="center"/>
    </xf>
    <xf numFmtId="0" fontId="0" fillId="2" borderId="41" xfId="0" applyFill="1" applyBorder="1" applyAlignment="1">
      <alignment vertical="center"/>
    </xf>
    <xf numFmtId="0" fontId="52" fillId="2" borderId="6" xfId="0" applyFont="1" applyFill="1" applyBorder="1" applyAlignment="1">
      <alignment horizontal="left" vertical="center"/>
    </xf>
    <xf numFmtId="0" fontId="53" fillId="2" borderId="32" xfId="0" applyFont="1" applyFill="1" applyBorder="1" applyAlignment="1">
      <alignment vertical="center"/>
    </xf>
    <xf numFmtId="0" fontId="52" fillId="12" borderId="11" xfId="0" applyFont="1" applyFill="1" applyBorder="1" applyAlignment="1">
      <alignment horizontal="left" vertical="center"/>
    </xf>
    <xf numFmtId="0" fontId="53" fillId="12" borderId="41" xfId="0" applyFont="1" applyFill="1" applyBorder="1" applyAlignment="1">
      <alignment vertical="center"/>
    </xf>
    <xf numFmtId="0" fontId="0" fillId="12" borderId="5" xfId="0" applyFill="1" applyBorder="1"/>
    <xf numFmtId="0" fontId="0" fillId="12" borderId="31" xfId="0" applyFill="1" applyBorder="1"/>
    <xf numFmtId="1" fontId="1" fillId="12" borderId="6" xfId="0" applyNumberFormat="1" applyFont="1" applyFill="1" applyBorder="1" applyAlignment="1">
      <alignment horizontal="right"/>
    </xf>
    <xf numFmtId="0" fontId="50" fillId="12" borderId="32" xfId="0" applyFont="1" applyFill="1" applyBorder="1"/>
    <xf numFmtId="0" fontId="0" fillId="6" borderId="11" xfId="0" applyFill="1" applyBorder="1" applyAlignment="1">
      <alignment vertical="center"/>
    </xf>
    <xf numFmtId="0" fontId="52" fillId="6" borderId="41" xfId="0" applyFont="1" applyFill="1" applyBorder="1" applyAlignment="1">
      <alignment horizontal="left" vertical="center"/>
    </xf>
    <xf numFmtId="0" fontId="50" fillId="6" borderId="32" xfId="0" applyFont="1" applyFill="1" applyBorder="1"/>
    <xf numFmtId="0" fontId="62" fillId="0" borderId="58" xfId="0" applyFont="1" applyFill="1" applyBorder="1" applyAlignment="1">
      <alignment horizontal="right" vertical="center"/>
    </xf>
    <xf numFmtId="0" fontId="63" fillId="0" borderId="0" xfId="0" applyFont="1" applyFill="1" applyBorder="1" applyAlignment="1">
      <alignment horizontal="right" vertical="center"/>
    </xf>
    <xf numFmtId="0" fontId="0" fillId="13" borderId="46" xfId="0" applyFill="1" applyBorder="1"/>
    <xf numFmtId="0" fontId="0" fillId="13" borderId="47" xfId="0" applyFill="1" applyBorder="1"/>
    <xf numFmtId="0" fontId="61" fillId="13" borderId="47" xfId="0" applyFont="1" applyFill="1" applyBorder="1" applyAlignment="1">
      <alignment horizontal="center"/>
    </xf>
    <xf numFmtId="0" fontId="0" fillId="13" borderId="48" xfId="0" applyFill="1" applyBorder="1"/>
    <xf numFmtId="0" fontId="0" fillId="13" borderId="49" xfId="0" applyFill="1" applyBorder="1"/>
    <xf numFmtId="0" fontId="0" fillId="13" borderId="0" xfId="0" applyFill="1" applyBorder="1"/>
    <xf numFmtId="0" fontId="61" fillId="13" borderId="0" xfId="0" applyFont="1" applyFill="1" applyBorder="1" applyAlignment="1">
      <alignment horizontal="center"/>
    </xf>
    <xf numFmtId="0" fontId="0" fillId="13" borderId="50" xfId="0" applyFill="1" applyBorder="1"/>
    <xf numFmtId="0" fontId="0" fillId="13" borderId="0" xfId="0" applyFill="1" applyBorder="1" applyAlignment="1">
      <alignment vertical="center"/>
    </xf>
    <xf numFmtId="0" fontId="48" fillId="13" borderId="0" xfId="0" applyFont="1" applyFill="1" applyBorder="1" applyAlignment="1">
      <alignment horizontal="left" vertical="center"/>
    </xf>
    <xf numFmtId="0" fontId="49" fillId="13" borderId="0" xfId="0" applyFont="1" applyFill="1" applyBorder="1" applyAlignment="1">
      <alignment horizontal="center" vertical="center"/>
    </xf>
    <xf numFmtId="0" fontId="52" fillId="13" borderId="0" xfId="0" applyFont="1" applyFill="1" applyBorder="1" applyAlignment="1">
      <alignment horizontal="left" vertical="center"/>
    </xf>
    <xf numFmtId="0" fontId="48" fillId="13" borderId="0" xfId="0" applyFont="1" applyFill="1" applyBorder="1" applyAlignment="1">
      <alignment horizontal="center" vertical="center"/>
    </xf>
    <xf numFmtId="0" fontId="0" fillId="13" borderId="0" xfId="0" applyFill="1"/>
    <xf numFmtId="1" fontId="1" fillId="13" borderId="0" xfId="0" applyNumberFormat="1" applyFont="1" applyFill="1" applyBorder="1" applyAlignment="1">
      <alignment horizontal="right"/>
    </xf>
    <xf numFmtId="1" fontId="48" fillId="13" borderId="0" xfId="0" applyNumberFormat="1" applyFont="1" applyFill="1" applyBorder="1" applyAlignment="1">
      <alignment horizontal="left"/>
    </xf>
    <xf numFmtId="0" fontId="0" fillId="13" borderId="50" xfId="0" applyFill="1" applyBorder="1" applyAlignment="1">
      <alignment vertical="center"/>
    </xf>
    <xf numFmtId="0" fontId="0" fillId="13" borderId="49" xfId="0" applyFill="1" applyBorder="1" applyAlignment="1">
      <alignment vertical="center"/>
    </xf>
    <xf numFmtId="0" fontId="0" fillId="13" borderId="52" xfId="0" applyFill="1" applyBorder="1" applyAlignment="1">
      <alignment vertical="center"/>
    </xf>
    <xf numFmtId="0" fontId="0" fillId="13" borderId="53" xfId="0" applyFill="1" applyBorder="1"/>
    <xf numFmtId="0" fontId="0" fillId="13" borderId="51" xfId="0" applyFill="1" applyBorder="1"/>
    <xf numFmtId="0" fontId="0" fillId="13" borderId="52" xfId="0" applyFill="1" applyBorder="1"/>
    <xf numFmtId="0" fontId="0" fillId="13" borderId="0" xfId="0" applyFill="1" applyBorder="1" applyAlignment="1">
      <alignment horizontal="center"/>
    </xf>
    <xf numFmtId="4" fontId="1" fillId="13" borderId="0" xfId="0" applyNumberFormat="1" applyFont="1" applyFill="1" applyBorder="1" applyAlignment="1">
      <alignment vertical="center"/>
    </xf>
    <xf numFmtId="0" fontId="51" fillId="13" borderId="0" xfId="0" applyFont="1" applyFill="1" applyBorder="1" applyAlignment="1">
      <alignment vertical="center"/>
    </xf>
    <xf numFmtId="0" fontId="3" fillId="13" borderId="56" xfId="0" applyFont="1" applyFill="1" applyBorder="1" applyAlignment="1">
      <alignment vertical="center"/>
    </xf>
    <xf numFmtId="0" fontId="3" fillId="13" borderId="0" xfId="0" applyFont="1" applyFill="1" applyBorder="1" applyAlignment="1">
      <alignment horizontal="right" vertical="center"/>
    </xf>
    <xf numFmtId="0" fontId="51" fillId="13" borderId="57" xfId="0" applyFont="1" applyFill="1" applyBorder="1" applyAlignment="1">
      <alignment vertical="center"/>
    </xf>
    <xf numFmtId="0" fontId="3" fillId="13" borderId="59" xfId="0" applyFont="1" applyFill="1" applyBorder="1" applyAlignment="1">
      <alignment vertical="center"/>
    </xf>
    <xf numFmtId="0" fontId="26" fillId="13" borderId="60" xfId="0" applyFont="1" applyFill="1" applyBorder="1" applyAlignment="1">
      <alignment horizontal="right" vertical="center"/>
    </xf>
    <xf numFmtId="0" fontId="51" fillId="13" borderId="61" xfId="0" applyFont="1" applyFill="1" applyBorder="1" applyAlignment="1">
      <alignment vertical="center"/>
    </xf>
    <xf numFmtId="0" fontId="52" fillId="3" borderId="11" xfId="0" applyFont="1" applyFill="1" applyBorder="1" applyAlignment="1">
      <alignment horizontal="left" vertical="center"/>
    </xf>
    <xf numFmtId="0" fontId="52" fillId="2" borderId="11" xfId="0" applyFont="1" applyFill="1" applyBorder="1" applyAlignment="1">
      <alignment horizontal="left" vertical="center"/>
    </xf>
    <xf numFmtId="1" fontId="1" fillId="6" borderId="6" xfId="0" applyNumberFormat="1" applyFont="1" applyFill="1" applyBorder="1" applyAlignment="1">
      <alignment horizontal="center"/>
    </xf>
    <xf numFmtId="4" fontId="64" fillId="13" borderId="0" xfId="0" applyNumberFormat="1" applyFont="1" applyFill="1" applyBorder="1" applyAlignment="1">
      <alignment vertical="center"/>
    </xf>
    <xf numFmtId="4" fontId="64" fillId="13" borderId="60" xfId="0" applyNumberFormat="1" applyFont="1" applyFill="1" applyBorder="1" applyAlignment="1">
      <alignment vertical="center"/>
    </xf>
    <xf numFmtId="0" fontId="48" fillId="10" borderId="0" xfId="0" applyFont="1" applyFill="1" applyBorder="1" applyAlignment="1">
      <alignment horizontal="left" vertical="center"/>
    </xf>
    <xf numFmtId="0" fontId="49" fillId="10" borderId="0" xfId="0" applyFont="1" applyFill="1" applyBorder="1" applyAlignment="1">
      <alignment horizontal="center" vertical="center"/>
    </xf>
    <xf numFmtId="0" fontId="52" fillId="10" borderId="0" xfId="0" applyFont="1" applyFill="1" applyBorder="1" applyAlignment="1">
      <alignment horizontal="left" vertical="center"/>
    </xf>
    <xf numFmtId="0" fontId="48" fillId="10" borderId="0" xfId="0" applyFont="1" applyFill="1" applyBorder="1" applyAlignment="1">
      <alignment horizontal="center" vertical="center"/>
    </xf>
    <xf numFmtId="1" fontId="1" fillId="10" borderId="0" xfId="0" applyNumberFormat="1" applyFont="1" applyFill="1" applyBorder="1" applyAlignment="1">
      <alignment horizontal="right"/>
    </xf>
    <xf numFmtId="1" fontId="48" fillId="10" borderId="0" xfId="0" applyNumberFormat="1" applyFont="1" applyFill="1" applyBorder="1" applyAlignment="1">
      <alignment horizontal="left"/>
    </xf>
    <xf numFmtId="0" fontId="0" fillId="10" borderId="0" xfId="0" applyFill="1" applyBorder="1" applyAlignment="1">
      <alignment horizontal="center"/>
    </xf>
    <xf numFmtId="0" fontId="0" fillId="10" borderId="4" xfId="0" applyFill="1" applyBorder="1" applyAlignment="1">
      <alignment vertical="center"/>
    </xf>
    <xf numFmtId="0" fontId="3" fillId="10" borderId="0" xfId="0" applyFont="1" applyFill="1" applyBorder="1" applyAlignment="1">
      <alignment horizontal="right" vertical="center"/>
    </xf>
    <xf numFmtId="2" fontId="64" fillId="10" borderId="0" xfId="0" applyNumberFormat="1" applyFont="1" applyFill="1" applyBorder="1" applyAlignment="1">
      <alignment vertical="center"/>
    </xf>
    <xf numFmtId="0" fontId="54" fillId="0" borderId="11" xfId="0" applyFont="1" applyFill="1" applyBorder="1" applyAlignment="1">
      <alignment vertical="center"/>
    </xf>
    <xf numFmtId="0" fontId="62" fillId="0" borderId="42" xfId="0" applyFont="1" applyFill="1" applyBorder="1" applyAlignment="1">
      <alignment horizontal="right" vertical="center"/>
    </xf>
    <xf numFmtId="0" fontId="57" fillId="0" borderId="41" xfId="0" applyFont="1" applyFill="1" applyBorder="1" applyAlignment="1">
      <alignment vertical="center"/>
    </xf>
    <xf numFmtId="0" fontId="3" fillId="10" borderId="5" xfId="0" applyFont="1" applyFill="1" applyBorder="1" applyAlignment="1">
      <alignment vertical="center"/>
    </xf>
    <xf numFmtId="0" fontId="51" fillId="10" borderId="31" xfId="0" applyFont="1" applyFill="1" applyBorder="1" applyAlignment="1">
      <alignment vertical="center"/>
    </xf>
    <xf numFmtId="0" fontId="54" fillId="0" borderId="5" xfId="0" applyFont="1" applyFill="1" applyBorder="1" applyAlignment="1">
      <alignment vertical="center"/>
    </xf>
    <xf numFmtId="0" fontId="57" fillId="0" borderId="31" xfId="0" applyFont="1" applyFill="1" applyBorder="1" applyAlignment="1">
      <alignment vertical="center"/>
    </xf>
    <xf numFmtId="0" fontId="3" fillId="10" borderId="6" xfId="0" applyFont="1" applyFill="1" applyBorder="1" applyAlignment="1">
      <alignment vertical="center"/>
    </xf>
    <xf numFmtId="0" fontId="26" fillId="10" borderId="4" xfId="0" applyFont="1" applyFill="1" applyBorder="1" applyAlignment="1">
      <alignment horizontal="right" vertical="center"/>
    </xf>
    <xf numFmtId="4" fontId="64" fillId="10" borderId="4" xfId="0" applyNumberFormat="1" applyFont="1" applyFill="1" applyBorder="1" applyAlignment="1">
      <alignment vertical="center"/>
    </xf>
    <xf numFmtId="0" fontId="51" fillId="10" borderId="32" xfId="0" applyFont="1" applyFill="1" applyBorder="1" applyAlignment="1">
      <alignment vertical="center"/>
    </xf>
    <xf numFmtId="0" fontId="0" fillId="3" borderId="11" xfId="0" applyFill="1" applyBorder="1"/>
    <xf numFmtId="0" fontId="0" fillId="3" borderId="41" xfId="0" applyFill="1" applyBorder="1" applyAlignment="1">
      <alignment horizontal="right"/>
    </xf>
    <xf numFmtId="0" fontId="5" fillId="0" borderId="5" xfId="0" applyFont="1" applyBorder="1"/>
    <xf numFmtId="0" fontId="5" fillId="0" borderId="6" xfId="0" applyFont="1" applyBorder="1"/>
    <xf numFmtId="0" fontId="0" fillId="3" borderId="31" xfId="0" applyFill="1" applyBorder="1"/>
    <xf numFmtId="0" fontId="0" fillId="3" borderId="32" xfId="0" applyFill="1" applyBorder="1"/>
    <xf numFmtId="0" fontId="0" fillId="0" borderId="0" xfId="0" applyFill="1" applyBorder="1" applyAlignment="1">
      <alignment horizontal="right"/>
    </xf>
    <xf numFmtId="0" fontId="0" fillId="4" borderId="41" xfId="0" applyFill="1" applyBorder="1" applyAlignment="1">
      <alignment horizontal="right"/>
    </xf>
    <xf numFmtId="0" fontId="0" fillId="4" borderId="31" xfId="0" applyFill="1" applyBorder="1"/>
    <xf numFmtId="0" fontId="0" fillId="4" borderId="32" xfId="0" applyFill="1" applyBorder="1"/>
    <xf numFmtId="0" fontId="0" fillId="0" borderId="41" xfId="0" applyBorder="1" applyAlignment="1">
      <alignment horizontal="right"/>
    </xf>
    <xf numFmtId="0" fontId="0" fillId="14" borderId="31" xfId="0" applyFill="1" applyBorder="1" applyAlignment="1">
      <alignment horizontal="center"/>
    </xf>
    <xf numFmtId="0" fontId="0" fillId="14" borderId="31" xfId="0" applyFill="1" applyBorder="1"/>
    <xf numFmtId="0" fontId="0" fillId="14" borderId="32" xfId="0" applyFill="1" applyBorder="1"/>
    <xf numFmtId="0" fontId="0" fillId="14" borderId="0" xfId="0" applyFill="1"/>
    <xf numFmtId="0" fontId="0" fillId="14" borderId="5" xfId="0" applyFill="1" applyBorder="1"/>
    <xf numFmtId="0" fontId="0" fillId="5" borderId="11" xfId="0" applyFill="1" applyBorder="1"/>
    <xf numFmtId="0" fontId="0" fillId="5" borderId="42" xfId="0" applyFill="1" applyBorder="1"/>
    <xf numFmtId="0" fontId="26" fillId="5" borderId="42" xfId="0" applyFont="1" applyFill="1" applyBorder="1" applyAlignment="1">
      <alignment horizontal="center"/>
    </xf>
    <xf numFmtId="0" fontId="0" fillId="5" borderId="0" xfId="0" applyFill="1" applyBorder="1"/>
    <xf numFmtId="0" fontId="5" fillId="5" borderId="0" xfId="0" applyFont="1" applyFill="1" applyBorder="1" applyAlignment="1">
      <alignment horizontal="center"/>
    </xf>
    <xf numFmtId="0" fontId="1" fillId="0" borderId="0" xfId="0" applyFont="1" applyFill="1" applyBorder="1"/>
    <xf numFmtId="0" fontId="0" fillId="3" borderId="5" xfId="0" applyFill="1" applyBorder="1"/>
    <xf numFmtId="0" fontId="0" fillId="3" borderId="0" xfId="0" applyFill="1" applyBorder="1"/>
    <xf numFmtId="0" fontId="5" fillId="3" borderId="0" xfId="0" applyFont="1" applyFill="1" applyBorder="1" applyAlignment="1">
      <alignment horizontal="right"/>
    </xf>
    <xf numFmtId="0" fontId="1" fillId="3" borderId="31" xfId="0" applyFont="1" applyFill="1" applyBorder="1"/>
    <xf numFmtId="0" fontId="0" fillId="3" borderId="6" xfId="0" applyFill="1" applyBorder="1"/>
    <xf numFmtId="0" fontId="0" fillId="3" borderId="4" xfId="0" applyFill="1" applyBorder="1"/>
    <xf numFmtId="0" fontId="5" fillId="3" borderId="4" xfId="0" applyFont="1" applyFill="1" applyBorder="1" applyAlignment="1">
      <alignment horizontal="right"/>
    </xf>
    <xf numFmtId="0" fontId="1" fillId="3" borderId="32" xfId="0" applyFont="1" applyFill="1" applyBorder="1"/>
    <xf numFmtId="0" fontId="5" fillId="5" borderId="0" xfId="0" applyFont="1" applyFill="1" applyBorder="1" applyAlignment="1">
      <alignment horizontal="right"/>
    </xf>
    <xf numFmtId="165" fontId="1" fillId="5" borderId="0" xfId="0" applyNumberFormat="1" applyFont="1" applyFill="1" applyBorder="1"/>
    <xf numFmtId="0" fontId="1" fillId="5" borderId="31" xfId="0" applyFont="1" applyFill="1" applyBorder="1"/>
    <xf numFmtId="2" fontId="1" fillId="5" borderId="0" xfId="0" applyNumberFormat="1" applyFont="1" applyFill="1" applyBorder="1"/>
    <xf numFmtId="0" fontId="0" fillId="11" borderId="5" xfId="0" applyFill="1" applyBorder="1"/>
    <xf numFmtId="0" fontId="0" fillId="11" borderId="0" xfId="0" applyFill="1" applyBorder="1"/>
    <xf numFmtId="0" fontId="5" fillId="11" borderId="0" xfId="0" applyFont="1" applyFill="1" applyBorder="1" applyAlignment="1">
      <alignment horizontal="right"/>
    </xf>
    <xf numFmtId="2" fontId="0" fillId="11" borderId="0" xfId="0" applyNumberFormat="1" applyFill="1" applyBorder="1"/>
    <xf numFmtId="0" fontId="1" fillId="11" borderId="31" xfId="0" applyFont="1" applyFill="1" applyBorder="1"/>
    <xf numFmtId="0" fontId="0" fillId="6" borderId="42" xfId="0" applyFill="1" applyBorder="1"/>
    <xf numFmtId="0" fontId="26" fillId="6" borderId="42" xfId="0" applyFont="1" applyFill="1" applyBorder="1" applyAlignment="1">
      <alignment horizontal="center"/>
    </xf>
    <xf numFmtId="0" fontId="0" fillId="6" borderId="0" xfId="0" applyFill="1" applyBorder="1"/>
    <xf numFmtId="0" fontId="5" fillId="6" borderId="0" xfId="0" applyFont="1" applyFill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/>
    <xf numFmtId="0" fontId="0" fillId="2" borderId="31" xfId="0" applyFill="1" applyBorder="1"/>
    <xf numFmtId="0" fontId="5" fillId="2" borderId="0" xfId="0" applyFont="1" applyFill="1" applyBorder="1" applyAlignment="1">
      <alignment horizontal="right"/>
    </xf>
    <xf numFmtId="0" fontId="1" fillId="2" borderId="31" xfId="0" applyFont="1" applyFill="1" applyBorder="1"/>
    <xf numFmtId="0" fontId="0" fillId="2" borderId="6" xfId="0" applyFill="1" applyBorder="1"/>
    <xf numFmtId="0" fontId="0" fillId="2" borderId="4" xfId="0" applyFill="1" applyBorder="1"/>
    <xf numFmtId="0" fontId="5" fillId="2" borderId="4" xfId="0" applyFont="1" applyFill="1" applyBorder="1" applyAlignment="1">
      <alignment horizontal="right"/>
    </xf>
    <xf numFmtId="0" fontId="1" fillId="2" borderId="32" xfId="0" applyFont="1" applyFill="1" applyBorder="1"/>
    <xf numFmtId="0" fontId="5" fillId="6" borderId="0" xfId="0" applyFont="1" applyFill="1" applyBorder="1" applyAlignment="1">
      <alignment horizontal="right"/>
    </xf>
    <xf numFmtId="165" fontId="1" fillId="6" borderId="0" xfId="0" applyNumberFormat="1" applyFont="1" applyFill="1" applyBorder="1"/>
    <xf numFmtId="0" fontId="1" fillId="6" borderId="31" xfId="0" applyFont="1" applyFill="1" applyBorder="1"/>
    <xf numFmtId="2" fontId="1" fillId="6" borderId="0" xfId="0" applyNumberFormat="1" applyFont="1" applyFill="1" applyBorder="1"/>
    <xf numFmtId="2" fontId="0" fillId="6" borderId="0" xfId="0" applyNumberFormat="1" applyFill="1" applyBorder="1"/>
    <xf numFmtId="0" fontId="0" fillId="15" borderId="11" xfId="0" applyFill="1" applyBorder="1"/>
    <xf numFmtId="0" fontId="0" fillId="15" borderId="42" xfId="0" applyFill="1" applyBorder="1"/>
    <xf numFmtId="0" fontId="26" fillId="15" borderId="42" xfId="0" applyFont="1" applyFill="1" applyBorder="1" applyAlignment="1">
      <alignment horizontal="center"/>
    </xf>
    <xf numFmtId="0" fontId="0" fillId="15" borderId="41" xfId="0" applyFill="1" applyBorder="1"/>
    <xf numFmtId="0" fontId="0" fillId="15" borderId="5" xfId="0" applyFill="1" applyBorder="1"/>
    <xf numFmtId="0" fontId="0" fillId="15" borderId="0" xfId="0" applyFill="1" applyBorder="1"/>
    <xf numFmtId="0" fontId="5" fillId="15" borderId="0" xfId="0" applyFont="1" applyFill="1" applyBorder="1" applyAlignment="1">
      <alignment horizontal="center"/>
    </xf>
    <xf numFmtId="0" fontId="0" fillId="15" borderId="31" xfId="0" applyFill="1" applyBorder="1"/>
    <xf numFmtId="0" fontId="0" fillId="4" borderId="5" xfId="0" applyFill="1" applyBorder="1"/>
    <xf numFmtId="0" fontId="0" fillId="4" borderId="0" xfId="0" applyFill="1" applyBorder="1"/>
    <xf numFmtId="0" fontId="5" fillId="15" borderId="0" xfId="0" applyFont="1" applyFill="1" applyBorder="1" applyAlignment="1">
      <alignment horizontal="right"/>
    </xf>
    <xf numFmtId="165" fontId="1" fillId="15" borderId="0" xfId="0" applyNumberFormat="1" applyFont="1" applyFill="1" applyBorder="1"/>
    <xf numFmtId="0" fontId="1" fillId="15" borderId="31" xfId="0" applyFont="1" applyFill="1" applyBorder="1"/>
    <xf numFmtId="2" fontId="0" fillId="15" borderId="0" xfId="0" applyNumberFormat="1" applyFill="1" applyBorder="1"/>
    <xf numFmtId="0" fontId="5" fillId="4" borderId="0" xfId="0" applyFont="1" applyFill="1" applyBorder="1" applyAlignment="1">
      <alignment horizontal="right"/>
    </xf>
    <xf numFmtId="0" fontId="1" fillId="4" borderId="31" xfId="0" applyFont="1" applyFill="1" applyBorder="1"/>
    <xf numFmtId="0" fontId="0" fillId="4" borderId="6" xfId="0" applyFill="1" applyBorder="1"/>
    <xf numFmtId="0" fontId="0" fillId="4" borderId="4" xfId="0" applyFill="1" applyBorder="1"/>
    <xf numFmtId="0" fontId="5" fillId="4" borderId="4" xfId="0" applyFont="1" applyFill="1" applyBorder="1" applyAlignment="1">
      <alignment horizontal="right"/>
    </xf>
    <xf numFmtId="0" fontId="1" fillId="4" borderId="32" xfId="0" applyFont="1" applyFill="1" applyBorder="1"/>
    <xf numFmtId="0" fontId="12" fillId="0" borderId="0" xfId="0" applyFont="1" applyAlignment="1">
      <alignment horizontal="center" vertical="center"/>
    </xf>
    <xf numFmtId="0" fontId="26" fillId="0" borderId="0" xfId="0" applyFont="1" applyBorder="1" applyAlignment="1">
      <alignment horizontal="right"/>
    </xf>
    <xf numFmtId="0" fontId="20" fillId="0" borderId="55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8" fillId="0" borderId="0" xfId="0" quotePrefix="1" applyFont="1" applyFill="1" applyBorder="1" applyAlignment="1" applyProtection="1">
      <alignment horizontal="center"/>
      <protection hidden="1"/>
    </xf>
    <xf numFmtId="0" fontId="27" fillId="0" borderId="0" xfId="0" applyFont="1" applyBorder="1" applyProtection="1"/>
    <xf numFmtId="49" fontId="64" fillId="0" borderId="62" xfId="0" applyNumberFormat="1" applyFont="1" applyBorder="1" applyAlignment="1">
      <alignment horizontal="right"/>
    </xf>
    <xf numFmtId="0" fontId="0" fillId="16" borderId="63" xfId="0" quotePrefix="1" applyFill="1" applyBorder="1" applyAlignment="1">
      <alignment horizontal="center"/>
    </xf>
    <xf numFmtId="0" fontId="64" fillId="0" borderId="62" xfId="0" applyNumberFormat="1" applyFont="1" applyBorder="1" applyAlignment="1">
      <alignment horizontal="right"/>
    </xf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16" fillId="0" borderId="0" xfId="0" applyFont="1" applyBorder="1"/>
    <xf numFmtId="49" fontId="5" fillId="0" borderId="0" xfId="0" applyNumberFormat="1" applyFont="1" applyBorder="1" applyAlignment="1">
      <alignment horizontal="right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/>
    <xf numFmtId="165" fontId="0" fillId="0" borderId="0" xfId="0" applyNumberFormat="1" applyBorder="1"/>
    <xf numFmtId="0" fontId="5" fillId="11" borderId="65" xfId="0" applyFont="1" applyFill="1" applyBorder="1" applyAlignment="1">
      <alignment horizontal="right"/>
    </xf>
    <xf numFmtId="0" fontId="0" fillId="11" borderId="66" xfId="0" applyFill="1" applyBorder="1" applyAlignment="1">
      <alignment horizontal="center"/>
    </xf>
    <xf numFmtId="0" fontId="0" fillId="11" borderId="67" xfId="0" applyFill="1" applyBorder="1" applyAlignment="1">
      <alignment horizontal="center"/>
    </xf>
    <xf numFmtId="0" fontId="0" fillId="11" borderId="68" xfId="0" applyFill="1" applyBorder="1" applyAlignment="1">
      <alignment horizontal="center"/>
    </xf>
    <xf numFmtId="2" fontId="0" fillId="11" borderId="65" xfId="0" applyNumberFormat="1" applyFill="1" applyBorder="1" applyAlignment="1">
      <alignment horizontal="center"/>
    </xf>
    <xf numFmtId="0" fontId="5" fillId="11" borderId="33" xfId="0" applyFont="1" applyFill="1" applyBorder="1" applyAlignment="1">
      <alignment horizontal="right"/>
    </xf>
    <xf numFmtId="0" fontId="0" fillId="11" borderId="27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2" fontId="0" fillId="11" borderId="33" xfId="0" applyNumberFormat="1" applyFill="1" applyBorder="1" applyAlignment="1">
      <alignment horizontal="center"/>
    </xf>
    <xf numFmtId="0" fontId="5" fillId="11" borderId="34" xfId="0" applyFont="1" applyFill="1" applyBorder="1" applyAlignment="1">
      <alignment horizontal="right"/>
    </xf>
    <xf numFmtId="0" fontId="0" fillId="11" borderId="29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2" fontId="0" fillId="11" borderId="34" xfId="0" applyNumberFormat="1" applyFill="1" applyBorder="1" applyAlignment="1">
      <alignment horizontal="center"/>
    </xf>
    <xf numFmtId="0" fontId="5" fillId="11" borderId="13" xfId="0" applyFont="1" applyFill="1" applyBorder="1" applyAlignment="1">
      <alignment horizontal="right"/>
    </xf>
    <xf numFmtId="0" fontId="0" fillId="11" borderId="5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31" xfId="0" applyFill="1" applyBorder="1" applyAlignment="1">
      <alignment horizontal="center"/>
    </xf>
    <xf numFmtId="2" fontId="0" fillId="11" borderId="13" xfId="0" applyNumberFormat="1" applyFill="1" applyBorder="1" applyAlignment="1">
      <alignment horizontal="center"/>
    </xf>
    <xf numFmtId="49" fontId="5" fillId="11" borderId="13" xfId="0" applyNumberFormat="1" applyFont="1" applyFill="1" applyBorder="1" applyAlignment="1">
      <alignment horizontal="right"/>
    </xf>
    <xf numFmtId="49" fontId="5" fillId="11" borderId="34" xfId="0" applyNumberFormat="1" applyFont="1" applyFill="1" applyBorder="1" applyAlignment="1">
      <alignment horizontal="right"/>
    </xf>
    <xf numFmtId="0" fontId="0" fillId="12" borderId="5" xfId="0" applyFill="1" applyBorder="1" applyAlignment="1">
      <alignment horizontal="center"/>
    </xf>
    <xf numFmtId="164" fontId="0" fillId="10" borderId="66" xfId="0" applyNumberFormat="1" applyFill="1" applyBorder="1" applyAlignment="1">
      <alignment horizontal="center"/>
    </xf>
    <xf numFmtId="164" fontId="0" fillId="10" borderId="68" xfId="0" applyNumberFormat="1" applyFill="1" applyBorder="1" applyAlignment="1">
      <alignment horizontal="center"/>
    </xf>
    <xf numFmtId="2" fontId="0" fillId="10" borderId="66" xfId="0" applyNumberFormat="1" applyFill="1" applyBorder="1"/>
    <xf numFmtId="2" fontId="0" fillId="10" borderId="67" xfId="0" applyNumberFormat="1" applyFill="1" applyBorder="1"/>
    <xf numFmtId="2" fontId="0" fillId="10" borderId="68" xfId="0" applyNumberFormat="1" applyFill="1" applyBorder="1"/>
    <xf numFmtId="2" fontId="0" fillId="10" borderId="66" xfId="0" applyNumberFormat="1" applyFill="1" applyBorder="1" applyAlignment="1">
      <alignment horizontal="center"/>
    </xf>
    <xf numFmtId="2" fontId="0" fillId="10" borderId="67" xfId="0" applyNumberFormat="1" applyFill="1" applyBorder="1" applyAlignment="1">
      <alignment horizontal="center"/>
    </xf>
    <xf numFmtId="0" fontId="0" fillId="10" borderId="66" xfId="0" applyFill="1" applyBorder="1"/>
    <xf numFmtId="0" fontId="0" fillId="10" borderId="67" xfId="0" applyFill="1" applyBorder="1"/>
    <xf numFmtId="0" fontId="0" fillId="10" borderId="68" xfId="0" applyFill="1" applyBorder="1"/>
    <xf numFmtId="0" fontId="0" fillId="10" borderId="65" xfId="0" applyFill="1" applyBorder="1"/>
    <xf numFmtId="164" fontId="0" fillId="10" borderId="27" xfId="0" applyNumberFormat="1" applyFill="1" applyBorder="1" applyAlignment="1">
      <alignment horizontal="center"/>
    </xf>
    <xf numFmtId="164" fontId="0" fillId="10" borderId="28" xfId="0" applyNumberFormat="1" applyFill="1" applyBorder="1" applyAlignment="1">
      <alignment horizontal="center"/>
    </xf>
    <xf numFmtId="2" fontId="0" fillId="10" borderId="27" xfId="0" applyNumberFormat="1" applyFill="1" applyBorder="1"/>
    <xf numFmtId="2" fontId="0" fillId="10" borderId="25" xfId="0" applyNumberFormat="1" applyFill="1" applyBorder="1"/>
    <xf numFmtId="2" fontId="0" fillId="10" borderId="28" xfId="0" applyNumberFormat="1" applyFill="1" applyBorder="1"/>
    <xf numFmtId="2" fontId="0" fillId="10" borderId="27" xfId="0" applyNumberFormat="1" applyFill="1" applyBorder="1" applyAlignment="1">
      <alignment horizontal="center"/>
    </xf>
    <xf numFmtId="2" fontId="0" fillId="10" borderId="25" xfId="0" applyNumberFormat="1" applyFill="1" applyBorder="1" applyAlignment="1">
      <alignment horizontal="center"/>
    </xf>
    <xf numFmtId="0" fontId="0" fillId="10" borderId="28" xfId="0" applyFill="1" applyBorder="1"/>
    <xf numFmtId="0" fontId="0" fillId="10" borderId="33" xfId="0" applyFill="1" applyBorder="1"/>
    <xf numFmtId="164" fontId="0" fillId="10" borderId="29" xfId="0" applyNumberFormat="1" applyFill="1" applyBorder="1" applyAlignment="1">
      <alignment horizontal="center"/>
    </xf>
    <xf numFmtId="164" fontId="0" fillId="10" borderId="30" xfId="0" applyNumberFormat="1" applyFill="1" applyBorder="1" applyAlignment="1">
      <alignment horizontal="center"/>
    </xf>
    <xf numFmtId="2" fontId="0" fillId="10" borderId="29" xfId="0" applyNumberFormat="1" applyFill="1" applyBorder="1"/>
    <xf numFmtId="2" fontId="0" fillId="10" borderId="26" xfId="0" applyNumberFormat="1" applyFill="1" applyBorder="1"/>
    <xf numFmtId="2" fontId="0" fillId="10" borderId="30" xfId="0" applyNumberFormat="1" applyFill="1" applyBorder="1"/>
    <xf numFmtId="2" fontId="0" fillId="10" borderId="29" xfId="0" applyNumberFormat="1" applyFill="1" applyBorder="1" applyAlignment="1">
      <alignment horizontal="center"/>
    </xf>
    <xf numFmtId="2" fontId="0" fillId="10" borderId="26" xfId="0" applyNumberFormat="1" applyFill="1" applyBorder="1" applyAlignment="1">
      <alignment horizontal="center"/>
    </xf>
    <xf numFmtId="0" fontId="0" fillId="10" borderId="30" xfId="0" applyFill="1" applyBorder="1"/>
    <xf numFmtId="0" fontId="0" fillId="10" borderId="34" xfId="0" applyFill="1" applyBorder="1"/>
    <xf numFmtId="164" fontId="0" fillId="10" borderId="28" xfId="0" applyNumberFormat="1" applyFill="1" applyBorder="1"/>
    <xf numFmtId="164" fontId="0" fillId="10" borderId="30" xfId="0" applyNumberFormat="1" applyFill="1" applyBorder="1"/>
    <xf numFmtId="2" fontId="0" fillId="10" borderId="34" xfId="0" applyNumberFormat="1" applyFill="1" applyBorder="1"/>
    <xf numFmtId="164" fontId="0" fillId="10" borderId="5" xfId="0" applyNumberFormat="1" applyFill="1" applyBorder="1" applyAlignment="1">
      <alignment horizontal="center"/>
    </xf>
    <xf numFmtId="164" fontId="0" fillId="10" borderId="31" xfId="0" applyNumberFormat="1" applyFill="1" applyBorder="1"/>
    <xf numFmtId="2" fontId="0" fillId="10" borderId="5" xfId="0" applyNumberFormat="1" applyFill="1" applyBorder="1"/>
    <xf numFmtId="2" fontId="0" fillId="10" borderId="0" xfId="0" applyNumberFormat="1" applyFill="1" applyBorder="1"/>
    <xf numFmtId="2" fontId="0" fillId="10" borderId="31" xfId="0" applyNumberFormat="1" applyFill="1" applyBorder="1"/>
    <xf numFmtId="2" fontId="0" fillId="10" borderId="5" xfId="0" applyNumberFormat="1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0" fontId="0" fillId="10" borderId="13" xfId="0" applyFill="1" applyBorder="1"/>
    <xf numFmtId="2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34" xfId="0" applyNumberFormat="1" applyFill="1" applyBorder="1"/>
    <xf numFmtId="0" fontId="0" fillId="10" borderId="26" xfId="0" applyFill="1" applyBorder="1"/>
    <xf numFmtId="1" fontId="0" fillId="10" borderId="5" xfId="0" applyNumberFormat="1" applyFill="1" applyBorder="1" applyAlignment="1">
      <alignment horizontal="center"/>
    </xf>
    <xf numFmtId="0" fontId="0" fillId="11" borderId="69" xfId="0" applyFill="1" applyBorder="1" applyAlignment="1">
      <alignment horizontal="center"/>
    </xf>
    <xf numFmtId="1" fontId="0" fillId="10" borderId="29" xfId="0" applyNumberFormat="1" applyFill="1" applyBorder="1" applyAlignment="1">
      <alignment horizontal="center"/>
    </xf>
    <xf numFmtId="164" fontId="0" fillId="10" borderId="13" xfId="0" applyNumberFormat="1" applyFill="1" applyBorder="1"/>
    <xf numFmtId="164" fontId="0" fillId="10" borderId="34" xfId="0" applyNumberFormat="1" applyFill="1" applyBorder="1"/>
    <xf numFmtId="1" fontId="0" fillId="10" borderId="6" xfId="0" applyNumberFormat="1" applyFill="1" applyBorder="1" applyAlignment="1">
      <alignment horizontal="center"/>
    </xf>
    <xf numFmtId="164" fontId="0" fillId="10" borderId="32" xfId="0" applyNumberFormat="1" applyFill="1" applyBorder="1"/>
    <xf numFmtId="2" fontId="0" fillId="10" borderId="6" xfId="0" applyNumberFormat="1" applyFill="1" applyBorder="1"/>
    <xf numFmtId="2" fontId="0" fillId="10" borderId="4" xfId="0" applyNumberFormat="1" applyFill="1" applyBorder="1"/>
    <xf numFmtId="2" fontId="0" fillId="10" borderId="32" xfId="0" applyNumberFormat="1" applyFill="1" applyBorder="1"/>
    <xf numFmtId="2" fontId="0" fillId="10" borderId="6" xfId="0" applyNumberFormat="1" applyFill="1" applyBorder="1" applyAlignment="1">
      <alignment horizontal="center"/>
    </xf>
    <xf numFmtId="164" fontId="0" fillId="10" borderId="4" xfId="0" applyNumberFormat="1" applyFill="1" applyBorder="1" applyAlignment="1">
      <alignment horizontal="center"/>
    </xf>
    <xf numFmtId="164" fontId="0" fillId="10" borderId="14" xfId="0" applyNumberFormat="1" applyFill="1" applyBorder="1"/>
    <xf numFmtId="165" fontId="0" fillId="10" borderId="14" xfId="0" applyNumberFormat="1" applyFill="1" applyBorder="1"/>
    <xf numFmtId="0" fontId="5" fillId="12" borderId="33" xfId="0" applyFont="1" applyFill="1" applyBorder="1" applyAlignment="1">
      <alignment horizontal="right"/>
    </xf>
    <xf numFmtId="0" fontId="0" fillId="12" borderId="27" xfId="0" applyFill="1" applyBorder="1" applyAlignment="1">
      <alignment horizontal="center"/>
    </xf>
    <xf numFmtId="0" fontId="0" fillId="12" borderId="25" xfId="0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2" fontId="0" fillId="12" borderId="33" xfId="0" applyNumberFormat="1" applyFill="1" applyBorder="1" applyAlignment="1">
      <alignment horizontal="center"/>
    </xf>
    <xf numFmtId="0" fontId="5" fillId="12" borderId="34" xfId="0" applyFont="1" applyFill="1" applyBorder="1" applyAlignment="1">
      <alignment horizontal="right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30" xfId="0" applyFill="1" applyBorder="1" applyAlignment="1">
      <alignment horizontal="center"/>
    </xf>
    <xf numFmtId="2" fontId="0" fillId="12" borderId="34" xfId="0" applyNumberFormat="1" applyFill="1" applyBorder="1" applyAlignment="1">
      <alignment horizontal="center"/>
    </xf>
    <xf numFmtId="0" fontId="5" fillId="12" borderId="13" xfId="0" applyFont="1" applyFill="1" applyBorder="1" applyAlignment="1">
      <alignment horizontal="right"/>
    </xf>
    <xf numFmtId="0" fontId="0" fillId="12" borderId="0" xfId="0" applyFill="1" applyBorder="1" applyAlignment="1">
      <alignment horizontal="center"/>
    </xf>
    <xf numFmtId="0" fontId="0" fillId="12" borderId="31" xfId="0" applyFill="1" applyBorder="1" applyAlignment="1">
      <alignment horizontal="center"/>
    </xf>
    <xf numFmtId="2" fontId="0" fillId="12" borderId="13" xfId="0" applyNumberFormat="1" applyFill="1" applyBorder="1" applyAlignment="1">
      <alignment horizontal="center"/>
    </xf>
    <xf numFmtId="49" fontId="5" fillId="12" borderId="13" xfId="0" applyNumberFormat="1" applyFont="1" applyFill="1" applyBorder="1" applyAlignment="1">
      <alignment horizontal="right"/>
    </xf>
    <xf numFmtId="0" fontId="0" fillId="0" borderId="0" xfId="0" applyBorder="1" applyAlignment="1">
      <alignment horizontal="left"/>
    </xf>
    <xf numFmtId="49" fontId="0" fillId="12" borderId="28" xfId="0" applyNumberFormat="1" applyFill="1" applyBorder="1" applyAlignment="1">
      <alignment horizontal="center"/>
    </xf>
    <xf numFmtId="49" fontId="0" fillId="11" borderId="28" xfId="0" applyNumberFormat="1" applyFill="1" applyBorder="1" applyAlignment="1">
      <alignment horizontal="center"/>
    </xf>
    <xf numFmtId="0" fontId="5" fillId="11" borderId="45" xfId="0" applyFont="1" applyFill="1" applyBorder="1" applyAlignment="1">
      <alignment horizontal="right"/>
    </xf>
    <xf numFmtId="0" fontId="0" fillId="11" borderId="70" xfId="0" applyFill="1" applyBorder="1" applyAlignment="1">
      <alignment horizontal="center"/>
    </xf>
    <xf numFmtId="49" fontId="0" fillId="11" borderId="71" xfId="0" applyNumberFormat="1" applyFill="1" applyBorder="1" applyAlignment="1">
      <alignment horizontal="center"/>
    </xf>
    <xf numFmtId="2" fontId="0" fillId="11" borderId="45" xfId="0" applyNumberFormat="1" applyFill="1" applyBorder="1" applyAlignment="1">
      <alignment horizontal="center"/>
    </xf>
    <xf numFmtId="164" fontId="0" fillId="10" borderId="69" xfId="0" applyNumberFormat="1" applyFill="1" applyBorder="1" applyAlignment="1">
      <alignment horizontal="center"/>
    </xf>
    <xf numFmtId="164" fontId="0" fillId="10" borderId="71" xfId="0" applyNumberFormat="1" applyFill="1" applyBorder="1"/>
    <xf numFmtId="2" fontId="0" fillId="10" borderId="69" xfId="0" applyNumberFormat="1" applyFill="1" applyBorder="1"/>
    <xf numFmtId="2" fontId="0" fillId="10" borderId="70" xfId="0" applyNumberFormat="1" applyFill="1" applyBorder="1"/>
    <xf numFmtId="2" fontId="0" fillId="10" borderId="71" xfId="0" applyNumberFormat="1" applyFill="1" applyBorder="1"/>
    <xf numFmtId="2" fontId="0" fillId="10" borderId="69" xfId="0" applyNumberFormat="1" applyFill="1" applyBorder="1" applyAlignment="1">
      <alignment horizontal="center"/>
    </xf>
    <xf numFmtId="2" fontId="0" fillId="10" borderId="70" xfId="0" applyNumberFormat="1" applyFill="1" applyBorder="1" applyAlignment="1">
      <alignment horizontal="center"/>
    </xf>
    <xf numFmtId="0" fontId="0" fillId="10" borderId="71" xfId="0" applyFill="1" applyBorder="1"/>
    <xf numFmtId="0" fontId="0" fillId="10" borderId="45" xfId="0" applyFill="1" applyBorder="1"/>
    <xf numFmtId="0" fontId="5" fillId="12" borderId="45" xfId="0" applyFont="1" applyFill="1" applyBorder="1" applyAlignment="1">
      <alignment horizontal="right"/>
    </xf>
    <xf numFmtId="0" fontId="0" fillId="12" borderId="69" xfId="0" applyFill="1" applyBorder="1" applyAlignment="1">
      <alignment horizontal="center"/>
    </xf>
    <xf numFmtId="0" fontId="0" fillId="12" borderId="70" xfId="0" applyFill="1" applyBorder="1" applyAlignment="1">
      <alignment horizontal="center"/>
    </xf>
    <xf numFmtId="49" fontId="0" fillId="12" borderId="71" xfId="0" applyNumberFormat="1" applyFill="1" applyBorder="1" applyAlignment="1">
      <alignment horizontal="center"/>
    </xf>
    <xf numFmtId="2" fontId="0" fillId="12" borderId="45" xfId="0" applyNumberFormat="1" applyFill="1" applyBorder="1" applyAlignment="1">
      <alignment horizontal="center"/>
    </xf>
    <xf numFmtId="164" fontId="0" fillId="0" borderId="69" xfId="0" applyNumberFormat="1" applyBorder="1" applyAlignment="1">
      <alignment horizontal="center"/>
    </xf>
    <xf numFmtId="164" fontId="0" fillId="0" borderId="71" xfId="0" applyNumberFormat="1" applyBorder="1"/>
    <xf numFmtId="2" fontId="0" fillId="0" borderId="69" xfId="0" applyNumberFormat="1" applyBorder="1"/>
    <xf numFmtId="2" fontId="0" fillId="0" borderId="70" xfId="0" applyNumberFormat="1" applyBorder="1"/>
    <xf numFmtId="2" fontId="0" fillId="0" borderId="71" xfId="0" applyNumberFormat="1" applyBorder="1"/>
    <xf numFmtId="2" fontId="0" fillId="0" borderId="69" xfId="0" applyNumberForma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0" fillId="0" borderId="71" xfId="0" applyBorder="1"/>
    <xf numFmtId="49" fontId="0" fillId="11" borderId="31" xfId="0" applyNumberFormat="1" applyFill="1" applyBorder="1" applyAlignment="1">
      <alignment horizontal="center"/>
    </xf>
    <xf numFmtId="49" fontId="5" fillId="11" borderId="45" xfId="0" applyNumberFormat="1" applyFont="1" applyFill="1" applyBorder="1" applyAlignment="1">
      <alignment horizontal="right"/>
    </xf>
    <xf numFmtId="2" fontId="0" fillId="10" borderId="45" xfId="0" applyNumberFormat="1" applyFill="1" applyBorder="1"/>
    <xf numFmtId="165" fontId="0" fillId="10" borderId="45" xfId="0" applyNumberFormat="1" applyFill="1" applyBorder="1"/>
    <xf numFmtId="49" fontId="5" fillId="12" borderId="45" xfId="0" applyNumberFormat="1" applyFont="1" applyFill="1" applyBorder="1" applyAlignment="1">
      <alignment horizontal="right"/>
    </xf>
    <xf numFmtId="165" fontId="0" fillId="0" borderId="45" xfId="0" applyNumberFormat="1" applyBorder="1"/>
    <xf numFmtId="0" fontId="0" fillId="10" borderId="70" xfId="0" applyFill="1" applyBorder="1"/>
    <xf numFmtId="1" fontId="0" fillId="0" borderId="69" xfId="0" applyNumberFormat="1" applyBorder="1" applyAlignment="1">
      <alignment horizontal="center"/>
    </xf>
    <xf numFmtId="0" fontId="0" fillId="0" borderId="70" xfId="0" applyBorder="1"/>
    <xf numFmtId="1" fontId="0" fillId="10" borderId="69" xfId="0" applyNumberFormat="1" applyFill="1" applyBorder="1" applyAlignment="1">
      <alignment horizontal="center"/>
    </xf>
    <xf numFmtId="164" fontId="0" fillId="0" borderId="45" xfId="0" applyNumberFormat="1" applyBorder="1"/>
    <xf numFmtId="164" fontId="0" fillId="10" borderId="45" xfId="0" applyNumberFormat="1" applyFill="1" applyBorder="1"/>
    <xf numFmtId="49" fontId="5" fillId="11" borderId="72" xfId="0" applyNumberFormat="1" applyFont="1" applyFill="1" applyBorder="1" applyAlignment="1">
      <alignment horizontal="right"/>
    </xf>
    <xf numFmtId="0" fontId="0" fillId="11" borderId="73" xfId="0" applyFill="1" applyBorder="1" applyAlignment="1">
      <alignment horizontal="center"/>
    </xf>
    <xf numFmtId="0" fontId="0" fillId="11" borderId="74" xfId="0" applyFill="1" applyBorder="1" applyAlignment="1">
      <alignment horizontal="center"/>
    </xf>
    <xf numFmtId="49" fontId="0" fillId="11" borderId="75" xfId="0" applyNumberFormat="1" applyFill="1" applyBorder="1" applyAlignment="1">
      <alignment horizontal="center"/>
    </xf>
    <xf numFmtId="2" fontId="0" fillId="11" borderId="72" xfId="0" applyNumberFormat="1" applyFill="1" applyBorder="1" applyAlignment="1">
      <alignment horizontal="center"/>
    </xf>
    <xf numFmtId="1" fontId="0" fillId="10" borderId="73" xfId="0" applyNumberFormat="1" applyFill="1" applyBorder="1" applyAlignment="1">
      <alignment horizontal="center"/>
    </xf>
    <xf numFmtId="164" fontId="0" fillId="10" borderId="75" xfId="0" applyNumberFormat="1" applyFill="1" applyBorder="1"/>
    <xf numFmtId="2" fontId="0" fillId="10" borderId="73" xfId="0" applyNumberFormat="1" applyFill="1" applyBorder="1"/>
    <xf numFmtId="2" fontId="0" fillId="10" borderId="74" xfId="0" applyNumberFormat="1" applyFill="1" applyBorder="1"/>
    <xf numFmtId="2" fontId="0" fillId="10" borderId="75" xfId="0" applyNumberFormat="1" applyFill="1" applyBorder="1"/>
    <xf numFmtId="2" fontId="0" fillId="10" borderId="73" xfId="0" applyNumberFormat="1" applyFill="1" applyBorder="1" applyAlignment="1">
      <alignment horizontal="center"/>
    </xf>
    <xf numFmtId="2" fontId="0" fillId="10" borderId="74" xfId="0" applyNumberFormat="1" applyFill="1" applyBorder="1" applyAlignment="1">
      <alignment horizontal="center"/>
    </xf>
    <xf numFmtId="0" fontId="0" fillId="10" borderId="75" xfId="0" applyFill="1" applyBorder="1"/>
    <xf numFmtId="164" fontId="0" fillId="10" borderId="72" xfId="0" applyNumberFormat="1" applyFill="1" applyBorder="1"/>
    <xf numFmtId="165" fontId="0" fillId="10" borderId="72" xfId="0" applyNumberFormat="1" applyFill="1" applyBorder="1"/>
    <xf numFmtId="49" fontId="8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24" fillId="0" borderId="0" xfId="0" applyFont="1"/>
    <xf numFmtId="0" fontId="74" fillId="0" borderId="0" xfId="0" applyFont="1" applyAlignment="1">
      <alignment horizontal="center"/>
    </xf>
    <xf numFmtId="0" fontId="75" fillId="0" borderId="0" xfId="0" applyFont="1"/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/>
    </xf>
    <xf numFmtId="0" fontId="71" fillId="0" borderId="0" xfId="0" applyFont="1"/>
    <xf numFmtId="0" fontId="5" fillId="12" borderId="65" xfId="0" applyFont="1" applyFill="1" applyBorder="1" applyAlignment="1">
      <alignment horizontal="right"/>
    </xf>
    <xf numFmtId="0" fontId="0" fillId="12" borderId="66" xfId="0" applyFill="1" applyBorder="1" applyAlignment="1">
      <alignment horizontal="center"/>
    </xf>
    <xf numFmtId="0" fontId="0" fillId="12" borderId="67" xfId="0" applyFill="1" applyBorder="1" applyAlignment="1">
      <alignment horizontal="center"/>
    </xf>
    <xf numFmtId="0" fontId="0" fillId="12" borderId="68" xfId="0" applyFill="1" applyBorder="1" applyAlignment="1">
      <alignment horizontal="center"/>
    </xf>
    <xf numFmtId="2" fontId="0" fillId="12" borderId="65" xfId="0" applyNumberFormat="1" applyFill="1" applyBorder="1" applyAlignment="1">
      <alignment horizontal="center"/>
    </xf>
    <xf numFmtId="49" fontId="5" fillId="12" borderId="34" xfId="0" applyNumberFormat="1" applyFont="1" applyFill="1" applyBorder="1" applyAlignment="1">
      <alignment horizontal="right"/>
    </xf>
    <xf numFmtId="49" fontId="5" fillId="12" borderId="14" xfId="0" applyNumberFormat="1" applyFont="1" applyFill="1" applyBorder="1" applyAlignment="1">
      <alignment horizontal="right"/>
    </xf>
    <xf numFmtId="0" fontId="0" fillId="12" borderId="6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2" fontId="0" fillId="12" borderId="14" xfId="0" applyNumberForma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0" borderId="0" xfId="0" applyFont="1" applyBorder="1" applyAlignment="1">
      <alignment horizontal="center" wrapText="1"/>
    </xf>
    <xf numFmtId="0" fontId="79" fillId="0" borderId="0" xfId="0" applyFont="1"/>
    <xf numFmtId="0" fontId="80" fillId="0" borderId="0" xfId="0" applyFont="1"/>
    <xf numFmtId="0" fontId="11" fillId="0" borderId="13" xfId="0" applyFont="1" applyBorder="1" applyAlignment="1">
      <alignment horizontal="center" vertical="center" wrapText="1"/>
    </xf>
    <xf numFmtId="0" fontId="0" fillId="0" borderId="11" xfId="0" applyBorder="1" applyAlignment="1">
      <alignment horizontal="right"/>
    </xf>
    <xf numFmtId="0" fontId="85" fillId="0" borderId="0" xfId="0" applyFont="1" applyBorder="1"/>
    <xf numFmtId="0" fontId="86" fillId="0" borderId="0" xfId="0" applyFont="1"/>
    <xf numFmtId="0" fontId="86" fillId="0" borderId="0" xfId="0" applyFont="1" applyAlignment="1">
      <alignment horizontal="center"/>
    </xf>
    <xf numFmtId="0" fontId="0" fillId="4" borderId="24" xfId="0" applyFill="1" applyBorder="1"/>
    <xf numFmtId="0" fontId="5" fillId="0" borderId="0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42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5" xfId="0" applyFont="1" applyBorder="1"/>
    <xf numFmtId="0" fontId="83" fillId="0" borderId="0" xfId="0" applyFont="1" applyBorder="1"/>
    <xf numFmtId="49" fontId="16" fillId="0" borderId="0" xfId="0" applyNumberFormat="1" applyFont="1" applyBorder="1"/>
    <xf numFmtId="0" fontId="16" fillId="0" borderId="6" xfId="0" applyFont="1" applyBorder="1"/>
    <xf numFmtId="0" fontId="16" fillId="0" borderId="4" xfId="0" applyFont="1" applyBorder="1"/>
    <xf numFmtId="0" fontId="83" fillId="0" borderId="4" xfId="0" applyFont="1" applyBorder="1"/>
    <xf numFmtId="0" fontId="0" fillId="3" borderId="38" xfId="0" applyFill="1" applyBorder="1"/>
    <xf numFmtId="0" fontId="0" fillId="10" borderId="24" xfId="0" applyFill="1" applyBorder="1"/>
    <xf numFmtId="168" fontId="0" fillId="0" borderId="0" xfId="0" quotePrefix="1" applyNumberFormat="1" applyBorder="1"/>
    <xf numFmtId="49" fontId="0" fillId="0" borderId="31" xfId="0" applyNumberFormat="1" applyBorder="1" applyAlignment="1">
      <alignment horizontal="right"/>
    </xf>
    <xf numFmtId="0" fontId="0" fillId="4" borderId="14" xfId="0" applyFill="1" applyBorder="1"/>
    <xf numFmtId="0" fontId="0" fillId="3" borderId="76" xfId="0" applyFill="1" applyBorder="1"/>
    <xf numFmtId="49" fontId="0" fillId="0" borderId="0" xfId="0" applyNumberFormat="1" applyBorder="1" applyAlignment="1">
      <alignment horizontal="right"/>
    </xf>
    <xf numFmtId="0" fontId="5" fillId="3" borderId="76" xfId="0" applyFont="1" applyFill="1" applyBorder="1" applyAlignment="1">
      <alignment horizontal="left"/>
    </xf>
    <xf numFmtId="0" fontId="5" fillId="0" borderId="0" xfId="0" applyFont="1" applyAlignment="1">
      <alignment horizontal="center" vertical="center" wrapText="1"/>
    </xf>
    <xf numFmtId="0" fontId="5" fillId="0" borderId="0" xfId="0" applyFont="1" applyFill="1" applyBorder="1"/>
    <xf numFmtId="0" fontId="0" fillId="17" borderId="11" xfId="0" applyFill="1" applyBorder="1"/>
    <xf numFmtId="0" fontId="0" fillId="17" borderId="42" xfId="0" applyFill="1" applyBorder="1"/>
    <xf numFmtId="0" fontId="0" fillId="17" borderId="41" xfId="0" applyFill="1" applyBorder="1"/>
    <xf numFmtId="0" fontId="0" fillId="17" borderId="5" xfId="0" applyFill="1" applyBorder="1"/>
    <xf numFmtId="0" fontId="0" fillId="17" borderId="0" xfId="0" applyFill="1" applyBorder="1"/>
    <xf numFmtId="0" fontId="0" fillId="17" borderId="31" xfId="0" applyFill="1" applyBorder="1"/>
    <xf numFmtId="0" fontId="5" fillId="17" borderId="5" xfId="0" applyFont="1" applyFill="1" applyBorder="1" applyAlignment="1">
      <alignment horizontal="center" vertical="center" wrapText="1"/>
    </xf>
    <xf numFmtId="0" fontId="5" fillId="17" borderId="0" xfId="0" applyFont="1" applyFill="1" applyBorder="1" applyAlignment="1">
      <alignment horizontal="center" vertical="center" wrapText="1"/>
    </xf>
    <xf numFmtId="0" fontId="5" fillId="17" borderId="31" xfId="0" applyFont="1" applyFill="1" applyBorder="1" applyAlignment="1">
      <alignment horizontal="center" vertical="center" wrapText="1"/>
    </xf>
    <xf numFmtId="0" fontId="5" fillId="17" borderId="77" xfId="0" applyFont="1" applyFill="1" applyBorder="1" applyAlignment="1">
      <alignment horizontal="center" vertical="center" wrapText="1"/>
    </xf>
    <xf numFmtId="0" fontId="5" fillId="17" borderId="0" xfId="0" applyFont="1" applyFill="1" applyBorder="1" applyAlignment="1">
      <alignment horizontal="right"/>
    </xf>
    <xf numFmtId="0" fontId="9" fillId="17" borderId="0" xfId="0" applyFont="1" applyFill="1" applyBorder="1"/>
    <xf numFmtId="0" fontId="0" fillId="17" borderId="6" xfId="0" applyFill="1" applyBorder="1"/>
    <xf numFmtId="0" fontId="0" fillId="17" borderId="4" xfId="0" applyFill="1" applyBorder="1"/>
    <xf numFmtId="0" fontId="0" fillId="17" borderId="32" xfId="0" applyFill="1" applyBorder="1"/>
    <xf numFmtId="0" fontId="0" fillId="17" borderId="0" xfId="0" applyFill="1"/>
    <xf numFmtId="0" fontId="5" fillId="18" borderId="77" xfId="0" applyFont="1" applyFill="1" applyBorder="1" applyAlignment="1">
      <alignment horizontal="center" wrapText="1"/>
    </xf>
    <xf numFmtId="2" fontId="9" fillId="18" borderId="78" xfId="0" applyNumberFormat="1" applyFont="1" applyFill="1" applyBorder="1" applyAlignment="1">
      <alignment horizontal="center"/>
    </xf>
    <xf numFmtId="0" fontId="5" fillId="17" borderId="0" xfId="0" applyFont="1" applyFill="1" applyBorder="1" applyAlignment="1">
      <alignment horizontal="center" vertical="center"/>
    </xf>
    <xf numFmtId="2" fontId="64" fillId="17" borderId="79" xfId="0" applyNumberFormat="1" applyFont="1" applyFill="1" applyBorder="1" applyAlignment="1">
      <alignment horizontal="center"/>
    </xf>
    <xf numFmtId="2" fontId="64" fillId="17" borderId="78" xfId="0" applyNumberFormat="1" applyFont="1" applyFill="1" applyBorder="1" applyAlignment="1">
      <alignment horizontal="center"/>
    </xf>
    <xf numFmtId="0" fontId="14" fillId="17" borderId="42" xfId="0" applyFont="1" applyFill="1" applyBorder="1" applyAlignment="1">
      <alignment horizontal="center" vertical="center"/>
    </xf>
    <xf numFmtId="0" fontId="14" fillId="17" borderId="0" xfId="0" applyFont="1" applyFill="1" applyBorder="1" applyAlignment="1">
      <alignment horizontal="center" vertical="center"/>
    </xf>
    <xf numFmtId="0" fontId="5" fillId="17" borderId="4" xfId="0" applyFont="1" applyFill="1" applyBorder="1" applyAlignment="1">
      <alignment horizontal="right"/>
    </xf>
    <xf numFmtId="2" fontId="64" fillId="17" borderId="23" xfId="0" applyNumberFormat="1" applyFont="1" applyFill="1" applyBorder="1" applyAlignment="1">
      <alignment horizontal="center"/>
    </xf>
    <xf numFmtId="0" fontId="9" fillId="17" borderId="4" xfId="0" applyFont="1" applyFill="1" applyBorder="1"/>
    <xf numFmtId="0" fontId="5" fillId="4" borderId="77" xfId="0" applyFont="1" applyFill="1" applyBorder="1" applyAlignment="1">
      <alignment horizontal="center" vertical="center" wrapText="1"/>
    </xf>
    <xf numFmtId="2" fontId="64" fillId="4" borderId="79" xfId="0" applyNumberFormat="1" applyFont="1" applyFill="1" applyBorder="1" applyAlignment="1">
      <alignment horizontal="center"/>
    </xf>
    <xf numFmtId="2" fontId="64" fillId="4" borderId="78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 vertical="center" wrapText="1"/>
    </xf>
    <xf numFmtId="0" fontId="9" fillId="4" borderId="0" xfId="0" applyFont="1" applyFill="1" applyBorder="1"/>
    <xf numFmtId="2" fontId="64" fillId="4" borderId="23" xfId="0" applyNumberFormat="1" applyFont="1" applyFill="1" applyBorder="1" applyAlignment="1">
      <alignment horizontal="center"/>
    </xf>
    <xf numFmtId="0" fontId="9" fillId="4" borderId="4" xfId="0" applyFont="1" applyFill="1" applyBorder="1"/>
    <xf numFmtId="0" fontId="5" fillId="19" borderId="0" xfId="0" applyFont="1" applyFill="1" applyBorder="1" applyAlignment="1">
      <alignment horizontal="center" vertical="center" wrapText="1"/>
    </xf>
    <xf numFmtId="0" fontId="5" fillId="19" borderId="77" xfId="0" applyFont="1" applyFill="1" applyBorder="1" applyAlignment="1">
      <alignment horizontal="center" vertical="center" wrapText="1"/>
    </xf>
    <xf numFmtId="2" fontId="64" fillId="19" borderId="79" xfId="0" applyNumberFormat="1" applyFont="1" applyFill="1" applyBorder="1" applyAlignment="1">
      <alignment horizontal="center"/>
    </xf>
    <xf numFmtId="2" fontId="64" fillId="19" borderId="78" xfId="0" applyNumberFormat="1" applyFont="1" applyFill="1" applyBorder="1" applyAlignment="1">
      <alignment horizontal="center"/>
    </xf>
    <xf numFmtId="0" fontId="5" fillId="19" borderId="0" xfId="0" applyFont="1" applyFill="1" applyBorder="1" applyAlignment="1">
      <alignment horizontal="right"/>
    </xf>
    <xf numFmtId="0" fontId="9" fillId="19" borderId="0" xfId="0" applyFont="1" applyFill="1" applyBorder="1"/>
    <xf numFmtId="0" fontId="5" fillId="19" borderId="4" xfId="0" applyFont="1" applyFill="1" applyBorder="1" applyAlignment="1">
      <alignment horizontal="right"/>
    </xf>
    <xf numFmtId="2" fontId="64" fillId="19" borderId="23" xfId="0" applyNumberFormat="1" applyFont="1" applyFill="1" applyBorder="1" applyAlignment="1">
      <alignment horizontal="center"/>
    </xf>
    <xf numFmtId="0" fontId="9" fillId="19" borderId="4" xfId="0" applyFont="1" applyFill="1" applyBorder="1"/>
    <xf numFmtId="0" fontId="0" fillId="0" borderId="42" xfId="0" applyFill="1" applyBorder="1" applyAlignment="1">
      <alignment vertical="center"/>
    </xf>
    <xf numFmtId="0" fontId="88" fillId="0" borderId="0" xfId="0" applyFont="1" applyFill="1" applyBorder="1" applyAlignment="1">
      <alignment horizontal="right" vertical="center"/>
    </xf>
    <xf numFmtId="0" fontId="5" fillId="17" borderId="0" xfId="0" applyFont="1" applyFill="1" applyBorder="1" applyAlignment="1">
      <alignment vertical="center"/>
    </xf>
    <xf numFmtId="0" fontId="0" fillId="17" borderId="0" xfId="0" applyFill="1" applyBorder="1" applyAlignment="1">
      <alignment vertical="center"/>
    </xf>
    <xf numFmtId="0" fontId="0" fillId="17" borderId="42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5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88" fillId="17" borderId="0" xfId="0" applyFont="1" applyFill="1" applyBorder="1" applyAlignment="1">
      <alignment horizontal="center"/>
    </xf>
    <xf numFmtId="0" fontId="89" fillId="19" borderId="0" xfId="0" applyFont="1" applyFill="1" applyBorder="1" applyAlignment="1">
      <alignment horizontal="right"/>
    </xf>
    <xf numFmtId="0" fontId="89" fillId="17" borderId="0" xfId="0" applyFont="1" applyFill="1" applyBorder="1" applyAlignment="1">
      <alignment horizontal="right"/>
    </xf>
    <xf numFmtId="0" fontId="5" fillId="15" borderId="77" xfId="0" applyFont="1" applyFill="1" applyBorder="1" applyAlignment="1">
      <alignment horizontal="center" wrapText="1"/>
    </xf>
    <xf numFmtId="2" fontId="9" fillId="15" borderId="78" xfId="0" applyNumberFormat="1" applyFont="1" applyFill="1" applyBorder="1" applyAlignment="1">
      <alignment horizontal="center"/>
    </xf>
    <xf numFmtId="0" fontId="5" fillId="14" borderId="77" xfId="0" applyFont="1" applyFill="1" applyBorder="1" applyAlignment="1">
      <alignment horizontal="center" wrapText="1"/>
    </xf>
    <xf numFmtId="2" fontId="9" fillId="14" borderId="78" xfId="0" applyNumberFormat="1" applyFont="1" applyFill="1" applyBorder="1" applyAlignment="1">
      <alignment horizontal="center"/>
    </xf>
    <xf numFmtId="2" fontId="91" fillId="0" borderId="0" xfId="0" applyNumberFormat="1" applyFont="1" applyBorder="1"/>
    <xf numFmtId="0" fontId="5" fillId="9" borderId="0" xfId="0" applyFont="1" applyFill="1" applyBorder="1" applyAlignment="1">
      <alignment horizontal="right" vertical="center"/>
    </xf>
    <xf numFmtId="0" fontId="0" fillId="9" borderId="11" xfId="0" applyFill="1" applyBorder="1" applyAlignment="1">
      <alignment vertical="center"/>
    </xf>
    <xf numFmtId="0" fontId="0" fillId="9" borderId="42" xfId="0" applyFill="1" applyBorder="1" applyAlignment="1">
      <alignment vertical="center"/>
    </xf>
    <xf numFmtId="0" fontId="5" fillId="9" borderId="42" xfId="0" applyFont="1" applyFill="1" applyBorder="1" applyAlignment="1">
      <alignment horizontal="right" vertical="center"/>
    </xf>
    <xf numFmtId="0" fontId="0" fillId="9" borderId="5" xfId="0" applyFill="1" applyBorder="1" applyAlignment="1">
      <alignment vertical="center"/>
    </xf>
    <xf numFmtId="0" fontId="0" fillId="9" borderId="6" xfId="0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5" fillId="9" borderId="4" xfId="0" applyFont="1" applyFill="1" applyBorder="1" applyAlignment="1">
      <alignment horizontal="right" vertical="center"/>
    </xf>
    <xf numFmtId="0" fontId="9" fillId="9" borderId="41" xfId="0" applyFont="1" applyFill="1" applyBorder="1" applyAlignment="1">
      <alignment vertical="center"/>
    </xf>
    <xf numFmtId="0" fontId="9" fillId="9" borderId="31" xfId="0" applyFont="1" applyFill="1" applyBorder="1" applyAlignment="1">
      <alignment vertical="center"/>
    </xf>
    <xf numFmtId="0" fontId="9" fillId="9" borderId="32" xfId="0" applyFont="1" applyFill="1" applyBorder="1" applyAlignment="1">
      <alignment vertical="center"/>
    </xf>
    <xf numFmtId="2" fontId="9" fillId="9" borderId="42" xfId="0" applyNumberFormat="1" applyFont="1" applyFill="1" applyBorder="1" applyAlignment="1">
      <alignment horizontal="center" vertical="center"/>
    </xf>
    <xf numFmtId="2" fontId="9" fillId="9" borderId="0" xfId="0" applyNumberFormat="1" applyFont="1" applyFill="1" applyBorder="1" applyAlignment="1">
      <alignment horizontal="center" vertical="center"/>
    </xf>
    <xf numFmtId="2" fontId="9" fillId="9" borderId="4" xfId="0" applyNumberFormat="1" applyFont="1" applyFill="1" applyBorder="1" applyAlignment="1">
      <alignment horizontal="center" vertical="center"/>
    </xf>
    <xf numFmtId="0" fontId="8" fillId="9" borderId="47" xfId="0" applyFont="1" applyFill="1" applyBorder="1" applyAlignment="1">
      <alignment horizontal="center"/>
    </xf>
    <xf numFmtId="0" fontId="8" fillId="10" borderId="42" xfId="0" applyFont="1" applyFill="1" applyBorder="1" applyAlignment="1">
      <alignment horizontal="center"/>
    </xf>
    <xf numFmtId="0" fontId="5" fillId="9" borderId="11" xfId="0" applyFont="1" applyFill="1" applyBorder="1" applyAlignment="1">
      <alignment horizontal="right" vertical="center"/>
    </xf>
    <xf numFmtId="0" fontId="5" fillId="9" borderId="5" xfId="0" applyFont="1" applyFill="1" applyBorder="1" applyAlignment="1">
      <alignment horizontal="right" vertical="center"/>
    </xf>
    <xf numFmtId="0" fontId="5" fillId="9" borderId="6" xfId="0" applyFont="1" applyFill="1" applyBorder="1" applyAlignment="1">
      <alignment horizontal="right" vertical="center"/>
    </xf>
    <xf numFmtId="0" fontId="0" fillId="10" borderId="11" xfId="0" applyFill="1" applyBorder="1" applyAlignment="1">
      <alignment vertical="center"/>
    </xf>
    <xf numFmtId="0" fontId="0" fillId="10" borderId="42" xfId="0" applyFill="1" applyBorder="1" applyAlignment="1">
      <alignment vertical="center"/>
    </xf>
    <xf numFmtId="0" fontId="5" fillId="10" borderId="42" xfId="0" applyFont="1" applyFill="1" applyBorder="1" applyAlignment="1">
      <alignment horizontal="right" vertical="center"/>
    </xf>
    <xf numFmtId="2" fontId="9" fillId="10" borderId="42" xfId="0" applyNumberFormat="1" applyFont="1" applyFill="1" applyBorder="1" applyAlignment="1">
      <alignment horizontal="center" vertical="center"/>
    </xf>
    <xf numFmtId="0" fontId="9" fillId="10" borderId="41" xfId="0" applyFont="1" applyFill="1" applyBorder="1" applyAlignment="1">
      <alignment vertical="center"/>
    </xf>
    <xf numFmtId="0" fontId="5" fillId="10" borderId="0" xfId="0" applyFont="1" applyFill="1" applyBorder="1" applyAlignment="1">
      <alignment horizontal="right" vertical="center"/>
    </xf>
    <xf numFmtId="2" fontId="9" fillId="10" borderId="0" xfId="0" applyNumberFormat="1" applyFont="1" applyFill="1" applyBorder="1" applyAlignment="1">
      <alignment horizontal="center" vertical="center"/>
    </xf>
    <xf numFmtId="0" fontId="9" fillId="10" borderId="31" xfId="0" applyFont="1" applyFill="1" applyBorder="1" applyAlignment="1">
      <alignment vertical="center"/>
    </xf>
    <xf numFmtId="0" fontId="0" fillId="10" borderId="6" xfId="0" applyFill="1" applyBorder="1" applyAlignment="1">
      <alignment vertical="center"/>
    </xf>
    <xf numFmtId="0" fontId="5" fillId="10" borderId="4" xfId="0" applyFont="1" applyFill="1" applyBorder="1" applyAlignment="1">
      <alignment horizontal="right" vertical="center"/>
    </xf>
    <xf numFmtId="2" fontId="9" fillId="10" borderId="4" xfId="0" applyNumberFormat="1" applyFont="1" applyFill="1" applyBorder="1" applyAlignment="1">
      <alignment horizontal="center" vertical="center"/>
    </xf>
    <xf numFmtId="0" fontId="9" fillId="10" borderId="32" xfId="0" applyFont="1" applyFill="1" applyBorder="1" applyAlignment="1">
      <alignment vertical="center"/>
    </xf>
    <xf numFmtId="0" fontId="5" fillId="10" borderId="11" xfId="0" applyFont="1" applyFill="1" applyBorder="1" applyAlignment="1">
      <alignment horizontal="right" vertical="center"/>
    </xf>
    <xf numFmtId="0" fontId="5" fillId="10" borderId="5" xfId="0" applyFont="1" applyFill="1" applyBorder="1" applyAlignment="1">
      <alignment horizontal="right" vertical="center"/>
    </xf>
    <xf numFmtId="0" fontId="5" fillId="10" borderId="6" xfId="0" applyFont="1" applyFill="1" applyBorder="1" applyAlignment="1">
      <alignment horizontal="right" vertical="center"/>
    </xf>
    <xf numFmtId="0" fontId="0" fillId="17" borderId="0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3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20" fillId="0" borderId="58" xfId="0" applyFont="1" applyBorder="1" applyAlignment="1">
      <alignment horizontal="left"/>
    </xf>
    <xf numFmtId="0" fontId="0" fillId="0" borderId="80" xfId="0" applyBorder="1"/>
    <xf numFmtId="0" fontId="11" fillId="0" borderId="81" xfId="0" applyFont="1" applyBorder="1" applyAlignment="1">
      <alignment horizontal="right"/>
    </xf>
    <xf numFmtId="2" fontId="0" fillId="0" borderId="81" xfId="0" applyNumberFormat="1" applyBorder="1" applyAlignment="1">
      <alignment horizontal="center"/>
    </xf>
    <xf numFmtId="164" fontId="5" fillId="5" borderId="42" xfId="0" applyNumberFormat="1" applyFont="1" applyFill="1" applyBorder="1" applyAlignment="1">
      <alignment horizontal="center"/>
    </xf>
    <xf numFmtId="164" fontId="5" fillId="3" borderId="0" xfId="0" applyNumberFormat="1" applyFont="1" applyFill="1" applyBorder="1" applyAlignment="1">
      <alignment horizontal="center"/>
    </xf>
    <xf numFmtId="164" fontId="5" fillId="5" borderId="0" xfId="0" applyNumberFormat="1" applyFont="1" applyFill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0" fillId="0" borderId="5" xfId="0" applyFont="1" applyBorder="1" applyAlignment="1">
      <alignment horizontal="center"/>
    </xf>
    <xf numFmtId="2" fontId="0" fillId="5" borderId="41" xfId="0" applyNumberFormat="1" applyFill="1" applyBorder="1" applyAlignment="1">
      <alignment horizontal="center"/>
    </xf>
    <xf numFmtId="2" fontId="0" fillId="3" borderId="31" xfId="0" applyNumberFormat="1" applyFill="1" applyBorder="1" applyAlignment="1">
      <alignment horizontal="center"/>
    </xf>
    <xf numFmtId="2" fontId="0" fillId="5" borderId="31" xfId="0" applyNumberForma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2" fontId="0" fillId="3" borderId="32" xfId="0" applyNumberFormat="1" applyFill="1" applyBorder="1" applyAlignment="1">
      <alignment horizontal="center"/>
    </xf>
    <xf numFmtId="164" fontId="26" fillId="10" borderId="11" xfId="0" applyNumberFormat="1" applyFont="1" applyFill="1" applyBorder="1"/>
    <xf numFmtId="164" fontId="26" fillId="10" borderId="42" xfId="0" applyNumberFormat="1" applyFont="1" applyFill="1" applyBorder="1"/>
    <xf numFmtId="2" fontId="26" fillId="10" borderId="42" xfId="0" applyNumberFormat="1" applyFont="1" applyFill="1" applyBorder="1"/>
    <xf numFmtId="2" fontId="26" fillId="10" borderId="41" xfId="0" applyNumberFormat="1" applyFont="1" applyFill="1" applyBorder="1"/>
    <xf numFmtId="164" fontId="26" fillId="0" borderId="5" xfId="0" applyNumberFormat="1" applyFont="1" applyBorder="1"/>
    <xf numFmtId="164" fontId="26" fillId="0" borderId="0" xfId="0" applyNumberFormat="1" applyFont="1" applyBorder="1"/>
    <xf numFmtId="2" fontId="26" fillId="0" borderId="0" xfId="0" applyNumberFormat="1" applyFont="1" applyBorder="1"/>
    <xf numFmtId="2" fontId="26" fillId="0" borderId="31" xfId="0" applyNumberFormat="1" applyFont="1" applyBorder="1"/>
    <xf numFmtId="164" fontId="26" fillId="10" borderId="5" xfId="0" applyNumberFormat="1" applyFont="1" applyFill="1" applyBorder="1"/>
    <xf numFmtId="164" fontId="26" fillId="10" borderId="0" xfId="0" applyNumberFormat="1" applyFont="1" applyFill="1" applyBorder="1"/>
    <xf numFmtId="2" fontId="26" fillId="10" borderId="0" xfId="0" applyNumberFormat="1" applyFont="1" applyFill="1" applyBorder="1"/>
    <xf numFmtId="2" fontId="26" fillId="10" borderId="31" xfId="0" applyNumberFormat="1" applyFont="1" applyFill="1" applyBorder="1"/>
    <xf numFmtId="164" fontId="26" fillId="0" borderId="6" xfId="0" applyNumberFormat="1" applyFont="1" applyBorder="1"/>
    <xf numFmtId="164" fontId="26" fillId="0" borderId="4" xfId="0" applyNumberFormat="1" applyFont="1" applyBorder="1"/>
    <xf numFmtId="2" fontId="26" fillId="0" borderId="4" xfId="0" applyNumberFormat="1" applyFont="1" applyBorder="1"/>
    <xf numFmtId="2" fontId="26" fillId="0" borderId="32" xfId="0" applyNumberFormat="1" applyFont="1" applyBorder="1"/>
    <xf numFmtId="0" fontId="0" fillId="5" borderId="3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2" fontId="8" fillId="5" borderId="3" xfId="0" applyNumberFormat="1" applyFont="1" applyFill="1" applyBorder="1" applyAlignment="1">
      <alignment horizontal="center" wrapText="1"/>
    </xf>
    <xf numFmtId="2" fontId="0" fillId="3" borderId="13" xfId="0" applyNumberFormat="1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2" fontId="0" fillId="3" borderId="14" xfId="0" applyNumberFormat="1" applyFill="1" applyBorder="1" applyAlignment="1">
      <alignment horizontal="center"/>
    </xf>
    <xf numFmtId="2" fontId="0" fillId="5" borderId="3" xfId="0" applyNumberFormat="1" applyFill="1" applyBorder="1" applyAlignment="1">
      <alignment horizontal="center"/>
    </xf>
    <xf numFmtId="2" fontId="26" fillId="10" borderId="3" xfId="0" applyNumberFormat="1" applyFont="1" applyFill="1" applyBorder="1"/>
    <xf numFmtId="2" fontId="26" fillId="0" borderId="13" xfId="0" applyNumberFormat="1" applyFont="1" applyBorder="1"/>
    <xf numFmtId="2" fontId="26" fillId="10" borderId="13" xfId="0" applyNumberFormat="1" applyFont="1" applyFill="1" applyBorder="1"/>
    <xf numFmtId="2" fontId="26" fillId="0" borderId="14" xfId="0" applyNumberFormat="1" applyFont="1" applyBorder="1"/>
    <xf numFmtId="0" fontId="0" fillId="5" borderId="82" xfId="0" applyFill="1" applyBorder="1"/>
    <xf numFmtId="164" fontId="0" fillId="5" borderId="82" xfId="0" applyNumberFormat="1" applyFill="1" applyBorder="1"/>
    <xf numFmtId="164" fontId="5" fillId="5" borderId="82" xfId="0" applyNumberFormat="1" applyFont="1" applyFill="1" applyBorder="1" applyAlignment="1">
      <alignment horizontal="center"/>
    </xf>
    <xf numFmtId="0" fontId="0" fillId="3" borderId="79" xfId="0" applyFill="1" applyBorder="1"/>
    <xf numFmtId="164" fontId="0" fillId="3" borderId="79" xfId="0" applyNumberFormat="1" applyFill="1" applyBorder="1"/>
    <xf numFmtId="164" fontId="5" fillId="3" borderId="79" xfId="0" applyNumberFormat="1" applyFont="1" applyFill="1" applyBorder="1" applyAlignment="1">
      <alignment horizontal="center"/>
    </xf>
    <xf numFmtId="0" fontId="0" fillId="5" borderId="79" xfId="0" applyFill="1" applyBorder="1"/>
    <xf numFmtId="164" fontId="0" fillId="5" borderId="79" xfId="0" applyNumberFormat="1" applyFill="1" applyBorder="1"/>
    <xf numFmtId="164" fontId="5" fillId="5" borderId="79" xfId="0" applyNumberFormat="1" applyFont="1" applyFill="1" applyBorder="1" applyAlignment="1">
      <alignment horizontal="center"/>
    </xf>
    <xf numFmtId="0" fontId="0" fillId="3" borderId="23" xfId="0" applyFill="1" applyBorder="1"/>
    <xf numFmtId="164" fontId="0" fillId="3" borderId="23" xfId="0" applyNumberFormat="1" applyFill="1" applyBorder="1"/>
    <xf numFmtId="164" fontId="5" fillId="3" borderId="23" xfId="0" applyNumberFormat="1" applyFont="1" applyFill="1" applyBorder="1" applyAlignment="1">
      <alignment horizontal="center"/>
    </xf>
    <xf numFmtId="164" fontId="26" fillId="10" borderId="82" xfId="0" applyNumberFormat="1" applyFont="1" applyFill="1" applyBorder="1"/>
    <xf numFmtId="2" fontId="26" fillId="10" borderId="82" xfId="0" applyNumberFormat="1" applyFont="1" applyFill="1" applyBorder="1"/>
    <xf numFmtId="164" fontId="26" fillId="0" borderId="79" xfId="0" applyNumberFormat="1" applyFont="1" applyBorder="1"/>
    <xf numFmtId="2" fontId="26" fillId="0" borderId="79" xfId="0" applyNumberFormat="1" applyFont="1" applyBorder="1"/>
    <xf numFmtId="164" fontId="26" fillId="10" borderId="79" xfId="0" applyNumberFormat="1" applyFont="1" applyFill="1" applyBorder="1"/>
    <xf numFmtId="2" fontId="26" fillId="10" borderId="79" xfId="0" applyNumberFormat="1" applyFont="1" applyFill="1" applyBorder="1"/>
    <xf numFmtId="164" fontId="26" fillId="0" borderId="23" xfId="0" applyNumberFormat="1" applyFont="1" applyBorder="1"/>
    <xf numFmtId="2" fontId="26" fillId="0" borderId="23" xfId="0" applyNumberFormat="1" applyFont="1" applyBorder="1"/>
    <xf numFmtId="2" fontId="26" fillId="10" borderId="2" xfId="0" applyNumberFormat="1" applyFont="1" applyFill="1" applyBorder="1"/>
    <xf numFmtId="2" fontId="26" fillId="0" borderId="19" xfId="0" applyNumberFormat="1" applyFont="1" applyBorder="1"/>
    <xf numFmtId="2" fontId="26" fillId="10" borderId="19" xfId="0" applyNumberFormat="1" applyFont="1" applyFill="1" applyBorder="1"/>
    <xf numFmtId="2" fontId="26" fillId="0" borderId="17" xfId="0" applyNumberFormat="1" applyFont="1" applyBorder="1"/>
    <xf numFmtId="164" fontId="64" fillId="0" borderId="0" xfId="0" applyNumberFormat="1" applyFont="1" applyAlignment="1">
      <alignment horizontal="center"/>
    </xf>
    <xf numFmtId="0" fontId="64" fillId="0" borderId="0" xfId="0" applyFont="1" applyAlignment="1">
      <alignment horizontal="center"/>
    </xf>
    <xf numFmtId="2" fontId="26" fillId="10" borderId="11" xfId="0" applyNumberFormat="1" applyFont="1" applyFill="1" applyBorder="1"/>
    <xf numFmtId="2" fontId="26" fillId="0" borderId="5" xfId="0" applyNumberFormat="1" applyFont="1" applyBorder="1"/>
    <xf numFmtId="0" fontId="0" fillId="5" borderId="3" xfId="0" applyFill="1" applyBorder="1" applyAlignment="1">
      <alignment horizontal="right"/>
    </xf>
    <xf numFmtId="0" fontId="0" fillId="3" borderId="13" xfId="0" applyFill="1" applyBorder="1" applyAlignment="1">
      <alignment horizontal="right"/>
    </xf>
    <xf numFmtId="0" fontId="0" fillId="5" borderId="13" xfId="0" applyFill="1" applyBorder="1" applyAlignment="1">
      <alignment horizontal="right"/>
    </xf>
    <xf numFmtId="0" fontId="0" fillId="3" borderId="14" xfId="0" applyFill="1" applyBorder="1" applyAlignment="1">
      <alignment horizontal="right"/>
    </xf>
    <xf numFmtId="0" fontId="0" fillId="5" borderId="4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82" xfId="0" applyFill="1" applyBorder="1" applyAlignment="1">
      <alignment horizontal="center"/>
    </xf>
    <xf numFmtId="0" fontId="0" fillId="3" borderId="79" xfId="0" applyFill="1" applyBorder="1" applyAlignment="1">
      <alignment horizontal="center"/>
    </xf>
    <xf numFmtId="0" fontId="0" fillId="5" borderId="79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64" fontId="0" fillId="5" borderId="82" xfId="0" applyNumberFormat="1" applyFill="1" applyBorder="1" applyAlignment="1">
      <alignment horizontal="center"/>
    </xf>
    <xf numFmtId="164" fontId="0" fillId="3" borderId="79" xfId="0" applyNumberFormat="1" applyFill="1" applyBorder="1" applyAlignment="1">
      <alignment horizontal="center"/>
    </xf>
    <xf numFmtId="164" fontId="0" fillId="5" borderId="79" xfId="0" applyNumberFormat="1" applyFill="1" applyBorder="1" applyAlignment="1">
      <alignment horizontal="center"/>
    </xf>
    <xf numFmtId="164" fontId="0" fillId="3" borderId="23" xfId="0" applyNumberFormat="1" applyFill="1" applyBorder="1" applyAlignment="1">
      <alignment horizontal="center"/>
    </xf>
    <xf numFmtId="164" fontId="0" fillId="3" borderId="31" xfId="0" applyNumberFormat="1" applyFill="1" applyBorder="1" applyAlignment="1">
      <alignment horizontal="center"/>
    </xf>
    <xf numFmtId="164" fontId="0" fillId="5" borderId="31" xfId="0" applyNumberFormat="1" applyFill="1" applyBorder="1" applyAlignment="1">
      <alignment horizontal="center"/>
    </xf>
    <xf numFmtId="0" fontId="0" fillId="5" borderId="4" xfId="0" applyFill="1" applyBorder="1"/>
    <xf numFmtId="164" fontId="0" fillId="5" borderId="32" xfId="0" applyNumberFormat="1" applyFill="1" applyBorder="1" applyAlignment="1">
      <alignment horizontal="center"/>
    </xf>
    <xf numFmtId="0" fontId="26" fillId="10" borderId="11" xfId="0" applyFont="1" applyFill="1" applyBorder="1"/>
    <xf numFmtId="0" fontId="26" fillId="0" borderId="5" xfId="0" applyFont="1" applyBorder="1"/>
    <xf numFmtId="0" fontId="26" fillId="10" borderId="5" xfId="0" applyFont="1" applyFill="1" applyBorder="1"/>
    <xf numFmtId="0" fontId="26" fillId="10" borderId="6" xfId="0" applyFont="1" applyFill="1" applyBorder="1"/>
    <xf numFmtId="164" fontId="26" fillId="10" borderId="4" xfId="0" applyNumberFormat="1" applyFont="1" applyFill="1" applyBorder="1"/>
    <xf numFmtId="2" fontId="26" fillId="10" borderId="32" xfId="0" applyNumberFormat="1" applyFont="1" applyFill="1" applyBorder="1"/>
    <xf numFmtId="0" fontId="0" fillId="5" borderId="3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164" fontId="8" fillId="5" borderId="3" xfId="0" applyNumberFormat="1" applyFont="1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/>
    </xf>
    <xf numFmtId="164" fontId="0" fillId="5" borderId="13" xfId="0" applyNumberFormat="1" applyFill="1" applyBorder="1" applyAlignment="1">
      <alignment horizontal="center"/>
    </xf>
    <xf numFmtId="164" fontId="0" fillId="5" borderId="14" xfId="0" applyNumberFormat="1" applyFill="1" applyBorder="1" applyAlignment="1">
      <alignment horizontal="center"/>
    </xf>
    <xf numFmtId="164" fontId="26" fillId="10" borderId="6" xfId="0" applyNumberFormat="1" applyFont="1" applyFill="1" applyBorder="1"/>
    <xf numFmtId="164" fontId="5" fillId="5" borderId="82" xfId="0" applyNumberFormat="1" applyFont="1" applyFill="1" applyBorder="1"/>
    <xf numFmtId="164" fontId="5" fillId="3" borderId="79" xfId="0" applyNumberFormat="1" applyFont="1" applyFill="1" applyBorder="1"/>
    <xf numFmtId="164" fontId="5" fillId="5" borderId="79" xfId="0" applyNumberFormat="1" applyFont="1" applyFill="1" applyBorder="1"/>
    <xf numFmtId="0" fontId="0" fillId="5" borderId="23" xfId="0" applyFill="1" applyBorder="1"/>
    <xf numFmtId="164" fontId="0" fillId="5" borderId="23" xfId="0" applyNumberFormat="1" applyFill="1" applyBorder="1"/>
    <xf numFmtId="164" fontId="5" fillId="5" borderId="23" xfId="0" applyNumberFormat="1" applyFont="1" applyFill="1" applyBorder="1"/>
    <xf numFmtId="0" fontId="26" fillId="10" borderId="82" xfId="0" applyFont="1" applyFill="1" applyBorder="1"/>
    <xf numFmtId="0" fontId="26" fillId="0" borderId="79" xfId="0" applyFont="1" applyBorder="1"/>
    <xf numFmtId="0" fontId="26" fillId="10" borderId="79" xfId="0" applyFont="1" applyFill="1" applyBorder="1"/>
    <xf numFmtId="0" fontId="26" fillId="10" borderId="23" xfId="0" applyFont="1" applyFill="1" applyBorder="1"/>
    <xf numFmtId="2" fontId="26" fillId="10" borderId="23" xfId="0" applyNumberFormat="1" applyFont="1" applyFill="1" applyBorder="1"/>
    <xf numFmtId="0" fontId="26" fillId="12" borderId="42" xfId="0" applyFont="1" applyFill="1" applyBorder="1" applyAlignment="1">
      <alignment horizontal="center"/>
    </xf>
    <xf numFmtId="0" fontId="26" fillId="12" borderId="41" xfId="0" applyFont="1" applyFill="1" applyBorder="1" applyAlignment="1">
      <alignment horizontal="center"/>
    </xf>
    <xf numFmtId="0" fontId="26" fillId="11" borderId="0" xfId="0" applyFont="1" applyFill="1" applyBorder="1" applyAlignment="1">
      <alignment horizontal="center"/>
    </xf>
    <xf numFmtId="164" fontId="26" fillId="11" borderId="0" xfId="0" applyNumberFormat="1" applyFont="1" applyFill="1" applyBorder="1" applyAlignment="1">
      <alignment horizontal="center"/>
    </xf>
    <xf numFmtId="0" fontId="26" fillId="11" borderId="31" xfId="0" applyFont="1" applyFill="1" applyBorder="1" applyAlignment="1">
      <alignment horizontal="center"/>
    </xf>
    <xf numFmtId="0" fontId="26" fillId="12" borderId="0" xfId="0" applyFont="1" applyFill="1" applyBorder="1" applyAlignment="1">
      <alignment horizontal="center"/>
    </xf>
    <xf numFmtId="164" fontId="26" fillId="12" borderId="0" xfId="0" applyNumberFormat="1" applyFont="1" applyFill="1" applyBorder="1" applyAlignment="1">
      <alignment horizontal="center"/>
    </xf>
    <xf numFmtId="0" fontId="26" fillId="12" borderId="31" xfId="0" applyFont="1" applyFill="1" applyBorder="1" applyAlignment="1">
      <alignment horizontal="center"/>
    </xf>
    <xf numFmtId="164" fontId="26" fillId="11" borderId="31" xfId="0" applyNumberFormat="1" applyFont="1" applyFill="1" applyBorder="1" applyAlignment="1">
      <alignment horizontal="center"/>
    </xf>
    <xf numFmtId="164" fontId="26" fillId="12" borderId="31" xfId="0" applyNumberFormat="1" applyFont="1" applyFill="1" applyBorder="1" applyAlignment="1">
      <alignment horizontal="center"/>
    </xf>
    <xf numFmtId="0" fontId="26" fillId="12" borderId="4" xfId="0" applyFont="1" applyFill="1" applyBorder="1" applyAlignment="1">
      <alignment horizontal="center"/>
    </xf>
    <xf numFmtId="164" fontId="26" fillId="12" borderId="32" xfId="0" applyNumberFormat="1" applyFont="1" applyFill="1" applyBorder="1" applyAlignment="1">
      <alignment horizontal="center"/>
    </xf>
    <xf numFmtId="0" fontId="26" fillId="10" borderId="11" xfId="0" applyFont="1" applyFill="1" applyBorder="1" applyAlignment="1">
      <alignment horizontal="center"/>
    </xf>
    <xf numFmtId="0" fontId="26" fillId="10" borderId="42" xfId="0" applyFont="1" applyFill="1" applyBorder="1" applyAlignment="1">
      <alignment horizontal="center"/>
    </xf>
    <xf numFmtId="0" fontId="26" fillId="10" borderId="41" xfId="0" applyFont="1" applyFill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26" fillId="0" borderId="31" xfId="0" applyFont="1" applyBorder="1" applyAlignment="1">
      <alignment horizontal="center"/>
    </xf>
    <xf numFmtId="0" fontId="26" fillId="10" borderId="5" xfId="0" applyFont="1" applyFill="1" applyBorder="1" applyAlignment="1">
      <alignment horizontal="center"/>
    </xf>
    <xf numFmtId="0" fontId="26" fillId="10" borderId="0" xfId="0" applyFont="1" applyFill="1" applyBorder="1" applyAlignment="1">
      <alignment horizontal="center"/>
    </xf>
    <xf numFmtId="0" fontId="26" fillId="10" borderId="31" xfId="0" applyFont="1" applyFill="1" applyBorder="1" applyAlignment="1">
      <alignment horizontal="center"/>
    </xf>
    <xf numFmtId="2" fontId="26" fillId="0" borderId="0" xfId="0" applyNumberFormat="1" applyFont="1" applyBorder="1" applyAlignment="1">
      <alignment horizontal="center"/>
    </xf>
    <xf numFmtId="2" fontId="26" fillId="0" borderId="31" xfId="0" applyNumberFormat="1" applyFont="1" applyBorder="1" applyAlignment="1">
      <alignment horizontal="center"/>
    </xf>
    <xf numFmtId="2" fontId="26" fillId="10" borderId="0" xfId="0" applyNumberFormat="1" applyFont="1" applyFill="1" applyBorder="1" applyAlignment="1">
      <alignment horizontal="center"/>
    </xf>
    <xf numFmtId="2" fontId="26" fillId="10" borderId="31" xfId="0" applyNumberFormat="1" applyFont="1" applyFill="1" applyBorder="1" applyAlignment="1">
      <alignment horizontal="center"/>
    </xf>
    <xf numFmtId="1" fontId="26" fillId="0" borderId="5" xfId="0" applyNumberFormat="1" applyFont="1" applyBorder="1" applyAlignment="1">
      <alignment horizontal="center"/>
    </xf>
    <xf numFmtId="1" fontId="26" fillId="10" borderId="5" xfId="0" applyNumberFormat="1" applyFont="1" applyFill="1" applyBorder="1" applyAlignment="1">
      <alignment horizontal="center"/>
    </xf>
    <xf numFmtId="1" fontId="26" fillId="10" borderId="6" xfId="0" applyNumberFormat="1" applyFont="1" applyFill="1" applyBorder="1" applyAlignment="1">
      <alignment horizontal="center"/>
    </xf>
    <xf numFmtId="2" fontId="26" fillId="10" borderId="4" xfId="0" applyNumberFormat="1" applyFont="1" applyFill="1" applyBorder="1" applyAlignment="1">
      <alignment horizontal="center"/>
    </xf>
    <xf numFmtId="2" fontId="26" fillId="10" borderId="32" xfId="0" applyNumberFormat="1" applyFont="1" applyFill="1" applyBorder="1" applyAlignment="1">
      <alignment horizontal="center"/>
    </xf>
    <xf numFmtId="0" fontId="26" fillId="12" borderId="3" xfId="0" applyFont="1" applyFill="1" applyBorder="1" applyAlignment="1">
      <alignment horizontal="center"/>
    </xf>
    <xf numFmtId="0" fontId="26" fillId="11" borderId="13" xfId="0" applyFont="1" applyFill="1" applyBorder="1" applyAlignment="1">
      <alignment horizontal="center"/>
    </xf>
    <xf numFmtId="0" fontId="26" fillId="12" borderId="13" xfId="0" applyFont="1" applyFill="1" applyBorder="1" applyAlignment="1">
      <alignment horizontal="center"/>
    </xf>
    <xf numFmtId="0" fontId="26" fillId="12" borderId="14" xfId="0" applyFont="1" applyFill="1" applyBorder="1" applyAlignment="1">
      <alignment horizontal="center"/>
    </xf>
    <xf numFmtId="0" fontId="26" fillId="12" borderId="3" xfId="0" applyFont="1" applyFill="1" applyBorder="1" applyAlignment="1">
      <alignment horizontal="center" wrapText="1"/>
    </xf>
    <xf numFmtId="2" fontId="26" fillId="11" borderId="13" xfId="0" applyNumberFormat="1" applyFont="1" applyFill="1" applyBorder="1" applyAlignment="1">
      <alignment horizontal="center"/>
    </xf>
    <xf numFmtId="2" fontId="26" fillId="12" borderId="13" xfId="0" applyNumberFormat="1" applyFont="1" applyFill="1" applyBorder="1" applyAlignment="1">
      <alignment horizontal="center"/>
    </xf>
    <xf numFmtId="2" fontId="26" fillId="12" borderId="14" xfId="0" applyNumberFormat="1" applyFont="1" applyFill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10" borderId="5" xfId="0" applyNumberFormat="1" applyFont="1" applyFill="1" applyBorder="1" applyAlignment="1">
      <alignment horizontal="center"/>
    </xf>
    <xf numFmtId="0" fontId="26" fillId="12" borderId="82" xfId="0" applyFont="1" applyFill="1" applyBorder="1" applyAlignment="1">
      <alignment horizontal="center"/>
    </xf>
    <xf numFmtId="164" fontId="26" fillId="12" borderId="82" xfId="0" applyNumberFormat="1" applyFont="1" applyFill="1" applyBorder="1" applyAlignment="1">
      <alignment horizontal="center"/>
    </xf>
    <xf numFmtId="0" fontId="26" fillId="11" borderId="79" xfId="0" applyFont="1" applyFill="1" applyBorder="1" applyAlignment="1">
      <alignment horizontal="center"/>
    </xf>
    <xf numFmtId="164" fontId="26" fillId="11" borderId="79" xfId="0" applyNumberFormat="1" applyFont="1" applyFill="1" applyBorder="1" applyAlignment="1">
      <alignment horizontal="center"/>
    </xf>
    <xf numFmtId="0" fontId="26" fillId="12" borderId="79" xfId="0" applyFont="1" applyFill="1" applyBorder="1" applyAlignment="1">
      <alignment horizontal="center"/>
    </xf>
    <xf numFmtId="164" fontId="26" fillId="12" borderId="79" xfId="0" applyNumberFormat="1" applyFont="1" applyFill="1" applyBorder="1" applyAlignment="1">
      <alignment horizontal="center"/>
    </xf>
    <xf numFmtId="0" fontId="26" fillId="12" borderId="23" xfId="0" applyFont="1" applyFill="1" applyBorder="1" applyAlignment="1">
      <alignment horizontal="center"/>
    </xf>
    <xf numFmtId="164" fontId="26" fillId="12" borderId="23" xfId="0" applyNumberFormat="1" applyFont="1" applyFill="1" applyBorder="1" applyAlignment="1">
      <alignment horizontal="center"/>
    </xf>
    <xf numFmtId="0" fontId="26" fillId="10" borderId="82" xfId="0" applyFont="1" applyFill="1" applyBorder="1" applyAlignment="1">
      <alignment horizontal="center"/>
    </xf>
    <xf numFmtId="0" fontId="26" fillId="0" borderId="79" xfId="0" applyFont="1" applyBorder="1" applyAlignment="1">
      <alignment horizontal="center"/>
    </xf>
    <xf numFmtId="0" fontId="26" fillId="10" borderId="79" xfId="0" applyFont="1" applyFill="1" applyBorder="1" applyAlignment="1">
      <alignment horizontal="center"/>
    </xf>
    <xf numFmtId="164" fontId="26" fillId="0" borderId="79" xfId="0" applyNumberFormat="1" applyFont="1" applyBorder="1" applyAlignment="1">
      <alignment horizontal="center"/>
    </xf>
    <xf numFmtId="164" fontId="26" fillId="10" borderId="79" xfId="0" applyNumberFormat="1" applyFont="1" applyFill="1" applyBorder="1" applyAlignment="1">
      <alignment horizontal="center"/>
    </xf>
    <xf numFmtId="1" fontId="26" fillId="0" borderId="79" xfId="0" applyNumberFormat="1" applyFont="1" applyBorder="1" applyAlignment="1">
      <alignment horizontal="center"/>
    </xf>
    <xf numFmtId="1" fontId="26" fillId="10" borderId="79" xfId="0" applyNumberFormat="1" applyFont="1" applyFill="1" applyBorder="1" applyAlignment="1">
      <alignment horizontal="center"/>
    </xf>
    <xf numFmtId="164" fontId="26" fillId="10" borderId="23" xfId="0" applyNumberFormat="1" applyFont="1" applyFill="1" applyBorder="1" applyAlignment="1">
      <alignment horizontal="center"/>
    </xf>
    <xf numFmtId="1" fontId="26" fillId="10" borderId="23" xfId="0" applyNumberFormat="1" applyFont="1" applyFill="1" applyBorder="1" applyAlignment="1">
      <alignment horizontal="center"/>
    </xf>
    <xf numFmtId="164" fontId="26" fillId="10" borderId="8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6" fillId="10" borderId="6" xfId="0" applyFont="1" applyFill="1" applyBorder="1" applyAlignment="1">
      <alignment horizontal="center"/>
    </xf>
    <xf numFmtId="0" fontId="26" fillId="10" borderId="23" xfId="0" applyFont="1" applyFill="1" applyBorder="1" applyAlignment="1">
      <alignment horizontal="center"/>
    </xf>
    <xf numFmtId="164" fontId="26" fillId="5" borderId="42" xfId="0" applyNumberFormat="1" applyFont="1" applyFill="1" applyBorder="1" applyAlignment="1">
      <alignment horizontal="center"/>
    </xf>
    <xf numFmtId="0" fontId="26" fillId="5" borderId="41" xfId="0" applyFont="1" applyFill="1" applyBorder="1" applyAlignment="1">
      <alignment horizontal="center"/>
    </xf>
    <xf numFmtId="0" fontId="26" fillId="3" borderId="0" xfId="0" applyFont="1" applyFill="1" applyBorder="1" applyAlignment="1">
      <alignment horizontal="center"/>
    </xf>
    <xf numFmtId="164" fontId="26" fillId="3" borderId="0" xfId="0" applyNumberFormat="1" applyFont="1" applyFill="1" applyBorder="1" applyAlignment="1">
      <alignment horizontal="center"/>
    </xf>
    <xf numFmtId="0" fontId="26" fillId="3" borderId="31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/>
    </xf>
    <xf numFmtId="164" fontId="26" fillId="5" borderId="0" xfId="0" applyNumberFormat="1" applyFont="1" applyFill="1" applyBorder="1" applyAlignment="1">
      <alignment horizontal="center"/>
    </xf>
    <xf numFmtId="0" fontId="26" fillId="5" borderId="31" xfId="0" applyFont="1" applyFill="1" applyBorder="1" applyAlignment="1">
      <alignment horizontal="center"/>
    </xf>
    <xf numFmtId="164" fontId="26" fillId="3" borderId="31" xfId="0" applyNumberFormat="1" applyFont="1" applyFill="1" applyBorder="1" applyAlignment="1">
      <alignment horizontal="center"/>
    </xf>
    <xf numFmtId="164" fontId="26" fillId="5" borderId="31" xfId="0" applyNumberFormat="1" applyFont="1" applyFill="1" applyBorder="1" applyAlignment="1">
      <alignment horizontal="center"/>
    </xf>
    <xf numFmtId="0" fontId="26" fillId="3" borderId="4" xfId="0" applyFont="1" applyFill="1" applyBorder="1" applyAlignment="1">
      <alignment horizontal="center"/>
    </xf>
    <xf numFmtId="164" fontId="26" fillId="3" borderId="4" xfId="0" applyNumberFormat="1" applyFont="1" applyFill="1" applyBorder="1" applyAlignment="1">
      <alignment horizontal="center"/>
    </xf>
    <xf numFmtId="164" fontId="26" fillId="3" borderId="32" xfId="0" applyNumberFormat="1" applyFont="1" applyFill="1" applyBorder="1" applyAlignment="1">
      <alignment horizontal="center"/>
    </xf>
    <xf numFmtId="0" fontId="26" fillId="0" borderId="6" xfId="0" applyFont="1" applyBorder="1" applyAlignment="1">
      <alignment horizontal="center"/>
    </xf>
    <xf numFmtId="2" fontId="26" fillId="0" borderId="4" xfId="0" applyNumberFormat="1" applyFont="1" applyBorder="1" applyAlignment="1">
      <alignment horizontal="center"/>
    </xf>
    <xf numFmtId="2" fontId="26" fillId="0" borderId="32" xfId="0" applyNumberFormat="1" applyFont="1" applyBorder="1" applyAlignment="1">
      <alignment horizontal="center"/>
    </xf>
    <xf numFmtId="0" fontId="26" fillId="5" borderId="3" xfId="0" applyFont="1" applyFill="1" applyBorder="1" applyAlignment="1">
      <alignment horizontal="center"/>
    </xf>
    <xf numFmtId="0" fontId="26" fillId="3" borderId="13" xfId="0" applyFont="1" applyFill="1" applyBorder="1" applyAlignment="1">
      <alignment horizontal="center"/>
    </xf>
    <xf numFmtId="0" fontId="26" fillId="5" borderId="13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5" borderId="3" xfId="0" applyFont="1" applyFill="1" applyBorder="1" applyAlignment="1">
      <alignment horizontal="center" wrapText="1"/>
    </xf>
    <xf numFmtId="2" fontId="26" fillId="3" borderId="13" xfId="0" applyNumberFormat="1" applyFont="1" applyFill="1" applyBorder="1" applyAlignment="1">
      <alignment horizontal="center"/>
    </xf>
    <xf numFmtId="2" fontId="26" fillId="5" borderId="13" xfId="0" applyNumberFormat="1" applyFont="1" applyFill="1" applyBorder="1" applyAlignment="1">
      <alignment horizontal="center"/>
    </xf>
    <xf numFmtId="2" fontId="26" fillId="3" borderId="14" xfId="0" applyNumberFormat="1" applyFont="1" applyFill="1" applyBorder="1" applyAlignment="1">
      <alignment horizontal="center"/>
    </xf>
    <xf numFmtId="0" fontId="26" fillId="5" borderId="82" xfId="0" applyFont="1" applyFill="1" applyBorder="1" applyAlignment="1">
      <alignment horizontal="center"/>
    </xf>
    <xf numFmtId="164" fontId="26" fillId="5" borderId="82" xfId="0" applyNumberFormat="1" applyFont="1" applyFill="1" applyBorder="1" applyAlignment="1">
      <alignment horizontal="center"/>
    </xf>
    <xf numFmtId="0" fontId="26" fillId="3" borderId="79" xfId="0" applyFont="1" applyFill="1" applyBorder="1" applyAlignment="1">
      <alignment horizontal="center"/>
    </xf>
    <xf numFmtId="164" fontId="26" fillId="3" borderId="79" xfId="0" applyNumberFormat="1" applyFont="1" applyFill="1" applyBorder="1" applyAlignment="1">
      <alignment horizontal="center"/>
    </xf>
    <xf numFmtId="0" fontId="26" fillId="5" borderId="79" xfId="0" applyFont="1" applyFill="1" applyBorder="1" applyAlignment="1">
      <alignment horizontal="center"/>
    </xf>
    <xf numFmtId="164" fontId="26" fillId="5" borderId="79" xfId="0" applyNumberFormat="1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164" fontId="26" fillId="3" borderId="23" xfId="0" applyNumberFormat="1" applyFont="1" applyFill="1" applyBorder="1" applyAlignment="1">
      <alignment horizontal="center"/>
    </xf>
    <xf numFmtId="1" fontId="26" fillId="0" borderId="23" xfId="0" applyNumberFormat="1" applyFont="1" applyBorder="1" applyAlignment="1">
      <alignment horizontal="center"/>
    </xf>
    <xf numFmtId="0" fontId="26" fillId="0" borderId="23" xfId="0" applyFont="1" applyBorder="1" applyAlignment="1">
      <alignment horizontal="center"/>
    </xf>
    <xf numFmtId="1" fontId="26" fillId="10" borderId="82" xfId="0" applyNumberFormat="1" applyFont="1" applyFill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" fontId="26" fillId="12" borderId="42" xfId="0" applyNumberFormat="1" applyFont="1" applyFill="1" applyBorder="1" applyAlignment="1">
      <alignment horizontal="center"/>
    </xf>
    <xf numFmtId="164" fontId="26" fillId="12" borderId="41" xfId="0" applyNumberFormat="1" applyFont="1" applyFill="1" applyBorder="1" applyAlignment="1">
      <alignment horizontal="center"/>
    </xf>
    <xf numFmtId="1" fontId="26" fillId="11" borderId="0" xfId="0" applyNumberFormat="1" applyFont="1" applyFill="1" applyBorder="1" applyAlignment="1">
      <alignment horizontal="center"/>
    </xf>
    <xf numFmtId="1" fontId="26" fillId="12" borderId="0" xfId="0" applyNumberFormat="1" applyFont="1" applyFill="1" applyBorder="1" applyAlignment="1">
      <alignment horizontal="center"/>
    </xf>
    <xf numFmtId="164" fontId="26" fillId="11" borderId="4" xfId="0" applyNumberFormat="1" applyFont="1" applyFill="1" applyBorder="1" applyAlignment="1">
      <alignment horizontal="center"/>
    </xf>
    <xf numFmtId="0" fontId="26" fillId="11" borderId="4" xfId="0" applyFont="1" applyFill="1" applyBorder="1" applyAlignment="1">
      <alignment horizontal="center"/>
    </xf>
    <xf numFmtId="164" fontId="26" fillId="11" borderId="32" xfId="0" applyNumberFormat="1" applyFont="1" applyFill="1" applyBorder="1" applyAlignment="1">
      <alignment horizontal="center"/>
    </xf>
    <xf numFmtId="1" fontId="26" fillId="10" borderId="11" xfId="0" applyNumberFormat="1" applyFont="1" applyFill="1" applyBorder="1" applyAlignment="1">
      <alignment horizontal="center"/>
    </xf>
    <xf numFmtId="2" fontId="26" fillId="10" borderId="42" xfId="0" applyNumberFormat="1" applyFont="1" applyFill="1" applyBorder="1" applyAlignment="1">
      <alignment horizontal="center"/>
    </xf>
    <xf numFmtId="2" fontId="26" fillId="10" borderId="41" xfId="0" applyNumberFormat="1" applyFont="1" applyFill="1" applyBorder="1" applyAlignment="1">
      <alignment horizontal="center"/>
    </xf>
    <xf numFmtId="0" fontId="26" fillId="11" borderId="14" xfId="0" applyFont="1" applyFill="1" applyBorder="1" applyAlignment="1">
      <alignment horizontal="center"/>
    </xf>
    <xf numFmtId="2" fontId="26" fillId="12" borderId="3" xfId="0" applyNumberFormat="1" applyFont="1" applyFill="1" applyBorder="1" applyAlignment="1">
      <alignment horizontal="center"/>
    </xf>
    <xf numFmtId="164" fontId="26" fillId="12" borderId="13" xfId="0" applyNumberFormat="1" applyFont="1" applyFill="1" applyBorder="1" applyAlignment="1">
      <alignment horizontal="center"/>
    </xf>
    <xf numFmtId="164" fontId="26" fillId="11" borderId="14" xfId="0" applyNumberFormat="1" applyFont="1" applyFill="1" applyBorder="1" applyAlignment="1">
      <alignment horizontal="center"/>
    </xf>
    <xf numFmtId="164" fontId="26" fillId="10" borderId="11" xfId="0" applyNumberFormat="1" applyFont="1" applyFill="1" applyBorder="1" applyAlignment="1">
      <alignment horizontal="center"/>
    </xf>
    <xf numFmtId="1" fontId="26" fillId="12" borderId="82" xfId="0" applyNumberFormat="1" applyFont="1" applyFill="1" applyBorder="1" applyAlignment="1">
      <alignment horizontal="center"/>
    </xf>
    <xf numFmtId="1" fontId="26" fillId="11" borderId="79" xfId="0" applyNumberFormat="1" applyFont="1" applyFill="1" applyBorder="1" applyAlignment="1">
      <alignment horizontal="center"/>
    </xf>
    <xf numFmtId="1" fontId="26" fillId="12" borderId="79" xfId="0" applyNumberFormat="1" applyFont="1" applyFill="1" applyBorder="1" applyAlignment="1">
      <alignment horizontal="center"/>
    </xf>
    <xf numFmtId="164" fontId="26" fillId="11" borderId="23" xfId="0" applyNumberFormat="1" applyFont="1" applyFill="1" applyBorder="1" applyAlignment="1">
      <alignment horizontal="center"/>
    </xf>
    <xf numFmtId="1" fontId="26" fillId="5" borderId="42" xfId="0" applyNumberFormat="1" applyFont="1" applyFill="1" applyBorder="1" applyAlignment="1">
      <alignment horizontal="center"/>
    </xf>
    <xf numFmtId="164" fontId="26" fillId="5" borderId="41" xfId="0" applyNumberFormat="1" applyFont="1" applyFill="1" applyBorder="1" applyAlignment="1">
      <alignment horizontal="center"/>
    </xf>
    <xf numFmtId="1" fontId="26" fillId="3" borderId="0" xfId="0" applyNumberFormat="1" applyFont="1" applyFill="1" applyBorder="1" applyAlignment="1">
      <alignment horizontal="center"/>
    </xf>
    <xf numFmtId="1" fontId="26" fillId="5" borderId="0" xfId="0" applyNumberFormat="1" applyFont="1" applyFill="1" applyBorder="1" applyAlignment="1">
      <alignment horizontal="center"/>
    </xf>
    <xf numFmtId="1" fontId="26" fillId="10" borderId="5" xfId="0" applyNumberFormat="1" applyFont="1" applyFill="1" applyBorder="1" applyAlignment="1">
      <alignment horizontal="right"/>
    </xf>
    <xf numFmtId="2" fontId="26" fillId="10" borderId="0" xfId="0" applyNumberFormat="1" applyFont="1" applyFill="1" applyBorder="1" applyAlignment="1">
      <alignment horizontal="right"/>
    </xf>
    <xf numFmtId="2" fontId="26" fillId="10" borderId="31" xfId="0" applyNumberFormat="1" applyFont="1" applyFill="1" applyBorder="1" applyAlignment="1">
      <alignment horizontal="right"/>
    </xf>
    <xf numFmtId="0" fontId="26" fillId="0" borderId="5" xfId="0" applyFont="1" applyBorder="1" applyAlignment="1">
      <alignment horizontal="right"/>
    </xf>
    <xf numFmtId="2" fontId="26" fillId="0" borderId="0" xfId="0" applyNumberFormat="1" applyFont="1" applyBorder="1" applyAlignment="1">
      <alignment horizontal="right"/>
    </xf>
    <xf numFmtId="0" fontId="26" fillId="0" borderId="31" xfId="0" applyFont="1" applyBorder="1" applyAlignment="1">
      <alignment horizontal="right"/>
    </xf>
    <xf numFmtId="0" fontId="26" fillId="10" borderId="5" xfId="0" applyFont="1" applyFill="1" applyBorder="1" applyAlignment="1">
      <alignment horizontal="right"/>
    </xf>
    <xf numFmtId="0" fontId="26" fillId="10" borderId="31" xfId="0" applyFont="1" applyFill="1" applyBorder="1" applyAlignment="1">
      <alignment horizontal="right"/>
    </xf>
    <xf numFmtId="2" fontId="26" fillId="0" borderId="31" xfId="0" applyNumberFormat="1" applyFont="1" applyBorder="1" applyAlignment="1">
      <alignment horizontal="right"/>
    </xf>
    <xf numFmtId="0" fontId="26" fillId="0" borderId="6" xfId="0" applyFont="1" applyBorder="1" applyAlignment="1">
      <alignment horizontal="right"/>
    </xf>
    <xf numFmtId="2" fontId="26" fillId="0" borderId="4" xfId="0" applyNumberFormat="1" applyFont="1" applyBorder="1" applyAlignment="1">
      <alignment horizontal="right"/>
    </xf>
    <xf numFmtId="2" fontId="26" fillId="0" borderId="32" xfId="0" applyNumberFormat="1" applyFont="1" applyBorder="1" applyAlignment="1">
      <alignment horizontal="right"/>
    </xf>
    <xf numFmtId="0" fontId="26" fillId="5" borderId="3" xfId="0" applyFont="1" applyFill="1" applyBorder="1" applyAlignment="1">
      <alignment horizontal="left"/>
    </xf>
    <xf numFmtId="0" fontId="26" fillId="3" borderId="13" xfId="0" applyFont="1" applyFill="1" applyBorder="1" applyAlignment="1">
      <alignment horizontal="left"/>
    </xf>
    <xf numFmtId="0" fontId="26" fillId="5" borderId="13" xfId="0" applyFont="1" applyFill="1" applyBorder="1" applyAlignment="1">
      <alignment horizontal="left"/>
    </xf>
    <xf numFmtId="0" fontId="26" fillId="3" borderId="14" xfId="0" applyFont="1" applyFill="1" applyBorder="1" applyAlignment="1">
      <alignment horizontal="left"/>
    </xf>
    <xf numFmtId="164" fontId="26" fillId="5" borderId="3" xfId="0" applyNumberFormat="1" applyFont="1" applyFill="1" applyBorder="1" applyAlignment="1">
      <alignment horizontal="center"/>
    </xf>
    <xf numFmtId="164" fontId="26" fillId="3" borderId="13" xfId="0" applyNumberFormat="1" applyFont="1" applyFill="1" applyBorder="1" applyAlignment="1">
      <alignment horizontal="center"/>
    </xf>
    <xf numFmtId="164" fontId="26" fillId="5" borderId="13" xfId="0" applyNumberFormat="1" applyFont="1" applyFill="1" applyBorder="1" applyAlignment="1">
      <alignment horizontal="center"/>
    </xf>
    <xf numFmtId="164" fontId="26" fillId="3" borderId="14" xfId="0" applyNumberFormat="1" applyFont="1" applyFill="1" applyBorder="1" applyAlignment="1">
      <alignment horizontal="center"/>
    </xf>
    <xf numFmtId="164" fontId="26" fillId="10" borderId="11" xfId="0" applyNumberFormat="1" applyFont="1" applyFill="1" applyBorder="1" applyAlignment="1">
      <alignment horizontal="right"/>
    </xf>
    <xf numFmtId="2" fontId="26" fillId="10" borderId="41" xfId="0" applyNumberFormat="1" applyFont="1" applyFill="1" applyBorder="1" applyAlignment="1">
      <alignment horizontal="right"/>
    </xf>
    <xf numFmtId="1" fontId="26" fillId="0" borderId="5" xfId="0" applyNumberFormat="1" applyFont="1" applyBorder="1" applyAlignment="1">
      <alignment horizontal="right"/>
    </xf>
    <xf numFmtId="1" fontId="26" fillId="10" borderId="11" xfId="0" applyNumberFormat="1" applyFont="1" applyFill="1" applyBorder="1" applyAlignment="1">
      <alignment horizontal="right"/>
    </xf>
    <xf numFmtId="2" fontId="26" fillId="10" borderId="42" xfId="0" applyNumberFormat="1" applyFont="1" applyFill="1" applyBorder="1" applyAlignment="1">
      <alignment horizontal="right"/>
    </xf>
    <xf numFmtId="1" fontId="26" fillId="5" borderId="82" xfId="0" applyNumberFormat="1" applyFont="1" applyFill="1" applyBorder="1" applyAlignment="1">
      <alignment horizontal="center"/>
    </xf>
    <xf numFmtId="1" fontId="26" fillId="3" borderId="79" xfId="0" applyNumberFormat="1" applyFont="1" applyFill="1" applyBorder="1" applyAlignment="1">
      <alignment horizontal="center"/>
    </xf>
    <xf numFmtId="1" fontId="26" fillId="5" borderId="79" xfId="0" applyNumberFormat="1" applyFont="1" applyFill="1" applyBorder="1" applyAlignment="1">
      <alignment horizontal="center"/>
    </xf>
    <xf numFmtId="1" fontId="26" fillId="10" borderId="82" xfId="0" applyNumberFormat="1" applyFont="1" applyFill="1" applyBorder="1" applyAlignment="1">
      <alignment horizontal="right"/>
    </xf>
    <xf numFmtId="164" fontId="26" fillId="10" borderId="82" xfId="0" applyNumberFormat="1" applyFont="1" applyFill="1" applyBorder="1" applyAlignment="1">
      <alignment horizontal="right"/>
    </xf>
    <xf numFmtId="1" fontId="26" fillId="0" borderId="79" xfId="0" applyNumberFormat="1" applyFont="1" applyBorder="1" applyAlignment="1">
      <alignment horizontal="right"/>
    </xf>
    <xf numFmtId="164" fontId="26" fillId="0" borderId="79" xfId="0" applyNumberFormat="1" applyFont="1" applyBorder="1" applyAlignment="1">
      <alignment horizontal="right"/>
    </xf>
    <xf numFmtId="1" fontId="26" fillId="10" borderId="79" xfId="0" applyNumberFormat="1" applyFont="1" applyFill="1" applyBorder="1" applyAlignment="1">
      <alignment horizontal="right"/>
    </xf>
    <xf numFmtId="164" fontId="26" fillId="10" borderId="79" xfId="0" applyNumberFormat="1" applyFont="1" applyFill="1" applyBorder="1" applyAlignment="1">
      <alignment horizontal="right"/>
    </xf>
    <xf numFmtId="0" fontId="26" fillId="0" borderId="79" xfId="0" applyFont="1" applyBorder="1" applyAlignment="1">
      <alignment horizontal="right"/>
    </xf>
    <xf numFmtId="0" fontId="26" fillId="10" borderId="79" xfId="0" applyFont="1" applyFill="1" applyBorder="1" applyAlignment="1">
      <alignment horizontal="right"/>
    </xf>
    <xf numFmtId="1" fontId="26" fillId="0" borderId="23" xfId="0" applyNumberFormat="1" applyFont="1" applyBorder="1" applyAlignment="1">
      <alignment horizontal="right"/>
    </xf>
    <xf numFmtId="0" fontId="26" fillId="0" borderId="23" xfId="0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0" fontId="0" fillId="0" borderId="5" xfId="0" applyFill="1" applyBorder="1" applyAlignment="1">
      <alignment horizontal="center"/>
    </xf>
    <xf numFmtId="0" fontId="0" fillId="11" borderId="31" xfId="0" applyFill="1" applyBorder="1"/>
    <xf numFmtId="0" fontId="94" fillId="0" borderId="5" xfId="0" applyFont="1" applyFill="1" applyBorder="1" applyAlignment="1">
      <alignment horizontal="center"/>
    </xf>
    <xf numFmtId="0" fontId="95" fillId="0" borderId="0" xfId="0" applyFont="1" applyBorder="1"/>
    <xf numFmtId="0" fontId="94" fillId="0" borderId="6" xfId="0" applyFont="1" applyFill="1" applyBorder="1" applyAlignment="1">
      <alignment horizontal="center"/>
    </xf>
    <xf numFmtId="0" fontId="94" fillId="0" borderId="4" xfId="0" applyFont="1" applyBorder="1"/>
    <xf numFmtId="164" fontId="5" fillId="5" borderId="4" xfId="0" applyNumberFormat="1" applyFont="1" applyFill="1" applyBorder="1" applyAlignment="1">
      <alignment horizontal="center"/>
    </xf>
    <xf numFmtId="0" fontId="23" fillId="0" borderId="0" xfId="0" applyFont="1" applyBorder="1"/>
    <xf numFmtId="0" fontId="96" fillId="0" borderId="0" xfId="0" applyFont="1"/>
    <xf numFmtId="49" fontId="26" fillId="0" borderId="83" xfId="0" applyNumberFormat="1" applyFont="1" applyFill="1" applyBorder="1" applyAlignment="1" applyProtection="1">
      <alignment horizontal="center"/>
      <protection locked="0" hidden="1"/>
    </xf>
    <xf numFmtId="0" fontId="26" fillId="0" borderId="84" xfId="0" applyFont="1" applyFill="1" applyBorder="1" applyAlignment="1" applyProtection="1">
      <alignment horizontal="center"/>
      <protection locked="0" hidden="1"/>
    </xf>
    <xf numFmtId="49" fontId="26" fillId="0" borderId="85" xfId="0" applyNumberFormat="1" applyFont="1" applyFill="1" applyBorder="1" applyAlignment="1" applyProtection="1">
      <alignment horizontal="center"/>
      <protection locked="0" hidden="1"/>
    </xf>
    <xf numFmtId="0" fontId="5" fillId="0" borderId="0" xfId="0" applyFont="1" applyFill="1" applyBorder="1" applyAlignment="1" applyProtection="1">
      <alignment horizontal="center"/>
      <protection locked="0" hidden="1"/>
    </xf>
    <xf numFmtId="0" fontId="9" fillId="17" borderId="86" xfId="0" applyFont="1" applyFill="1" applyBorder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164" fontId="26" fillId="10" borderId="87" xfId="0" applyNumberFormat="1" applyFont="1" applyFill="1" applyBorder="1" applyAlignment="1" applyProtection="1">
      <alignment horizontal="center"/>
      <protection locked="0"/>
    </xf>
    <xf numFmtId="0" fontId="0" fillId="0" borderId="84" xfId="0" applyFill="1" applyBorder="1" applyAlignment="1" applyProtection="1">
      <alignment horizontal="center"/>
      <protection locked="0" hidden="1"/>
    </xf>
    <xf numFmtId="49" fontId="0" fillId="0" borderId="83" xfId="0" applyNumberFormat="1" applyBorder="1" applyAlignment="1" applyProtection="1">
      <alignment horizontal="center"/>
      <protection locked="0" hidden="1"/>
    </xf>
    <xf numFmtId="49" fontId="0" fillId="0" borderId="85" xfId="0" applyNumberFormat="1" applyBorder="1" applyAlignment="1" applyProtection="1">
      <alignment horizontal="center"/>
      <protection locked="0" hidden="1"/>
    </xf>
    <xf numFmtId="0" fontId="73" fillId="0" borderId="81" xfId="0" applyFont="1" applyBorder="1" applyAlignment="1" applyProtection="1">
      <alignment horizontal="center"/>
      <protection locked="0" hidden="1"/>
    </xf>
    <xf numFmtId="0" fontId="0" fillId="0" borderId="88" xfId="0" applyBorder="1" applyProtection="1">
      <protection locked="0" hidden="1"/>
    </xf>
    <xf numFmtId="0" fontId="0" fillId="0" borderId="89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0" fillId="0" borderId="90" xfId="0" applyBorder="1" applyProtection="1">
      <protection locked="0" hidden="1"/>
    </xf>
    <xf numFmtId="0" fontId="0" fillId="0" borderId="14" xfId="0" applyBorder="1" applyProtection="1">
      <protection locked="0" hidden="1"/>
    </xf>
    <xf numFmtId="0" fontId="0" fillId="0" borderId="0" xfId="0" applyProtection="1">
      <protection locked="0"/>
    </xf>
    <xf numFmtId="2" fontId="0" fillId="10" borderId="6" xfId="0" applyNumberFormat="1" applyFill="1" applyBorder="1" applyAlignment="1" applyProtection="1">
      <alignment horizontal="center"/>
      <protection locked="0"/>
    </xf>
    <xf numFmtId="0" fontId="1" fillId="18" borderId="62" xfId="0" applyFont="1" applyFill="1" applyBorder="1" applyAlignment="1">
      <alignment horizontal="right"/>
    </xf>
    <xf numFmtId="0" fontId="1" fillId="18" borderId="59" xfId="0" applyFont="1" applyFill="1" applyBorder="1" applyAlignment="1">
      <alignment horizontal="right"/>
    </xf>
    <xf numFmtId="0" fontId="0" fillId="18" borderId="11" xfId="0" applyFill="1" applyBorder="1"/>
    <xf numFmtId="0" fontId="0" fillId="18" borderId="42" xfId="0" applyFill="1" applyBorder="1"/>
    <xf numFmtId="0" fontId="39" fillId="18" borderId="42" xfId="0" applyFont="1" applyFill="1" applyBorder="1" applyAlignment="1">
      <alignment horizontal="center"/>
    </xf>
    <xf numFmtId="0" fontId="0" fillId="18" borderId="41" xfId="0" applyFill="1" applyBorder="1"/>
    <xf numFmtId="0" fontId="0" fillId="18" borderId="5" xfId="0" applyFill="1" applyBorder="1"/>
    <xf numFmtId="0" fontId="0" fillId="18" borderId="0" xfId="0" applyFill="1" applyBorder="1"/>
    <xf numFmtId="0" fontId="81" fillId="18" borderId="91" xfId="0" applyFont="1" applyFill="1" applyBorder="1" applyAlignment="1">
      <alignment horizontal="left"/>
    </xf>
    <xf numFmtId="0" fontId="0" fillId="18" borderId="0" xfId="0" applyFill="1" applyBorder="1" applyAlignment="1">
      <alignment horizontal="center"/>
    </xf>
    <xf numFmtId="0" fontId="81" fillId="18" borderId="92" xfId="0" applyFont="1" applyFill="1" applyBorder="1" applyAlignment="1">
      <alignment horizontal="left"/>
    </xf>
    <xf numFmtId="0" fontId="0" fillId="18" borderId="5" xfId="0" applyFill="1" applyBorder="1" applyAlignment="1">
      <alignment horizontal="center"/>
    </xf>
    <xf numFmtId="0" fontId="5" fillId="18" borderId="0" xfId="0" applyFont="1" applyFill="1" applyBorder="1" applyAlignment="1">
      <alignment horizontal="right"/>
    </xf>
    <xf numFmtId="0" fontId="81" fillId="18" borderId="31" xfId="0" applyFont="1" applyFill="1" applyBorder="1" applyAlignment="1">
      <alignment horizontal="left"/>
    </xf>
    <xf numFmtId="0" fontId="0" fillId="18" borderId="93" xfId="0" applyFill="1" applyBorder="1" applyAlignment="1">
      <alignment horizontal="center"/>
    </xf>
    <xf numFmtId="0" fontId="0" fillId="18" borderId="86" xfId="0" applyFill="1" applyBorder="1" applyAlignment="1">
      <alignment horizontal="center"/>
    </xf>
    <xf numFmtId="0" fontId="5" fillId="18" borderId="86" xfId="0" applyFont="1" applyFill="1" applyBorder="1" applyAlignment="1">
      <alignment horizontal="right"/>
    </xf>
    <xf numFmtId="0" fontId="0" fillId="18" borderId="86" xfId="0" applyFill="1" applyBorder="1"/>
    <xf numFmtId="0" fontId="0" fillId="10" borderId="5" xfId="0" applyFill="1" applyBorder="1" applyAlignment="1">
      <alignment horizontal="center"/>
    </xf>
    <xf numFmtId="0" fontId="0" fillId="17" borderId="31" xfId="0" applyFill="1" applyBorder="1" applyAlignment="1">
      <alignment horizontal="center"/>
    </xf>
    <xf numFmtId="0" fontId="0" fillId="17" borderId="6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7" borderId="32" xfId="0" applyFill="1" applyBorder="1" applyAlignment="1">
      <alignment horizontal="center"/>
    </xf>
    <xf numFmtId="0" fontId="26" fillId="0" borderId="94" xfId="0" applyFont="1" applyFill="1" applyBorder="1" applyProtection="1">
      <protection locked="0" hidden="1"/>
    </xf>
    <xf numFmtId="0" fontId="0" fillId="0" borderId="0" xfId="0" applyFill="1" applyBorder="1" applyAlignment="1" applyProtection="1">
      <alignment horizontal="center"/>
      <protection locked="0" hidden="1"/>
    </xf>
    <xf numFmtId="0" fontId="73" fillId="18" borderId="95" xfId="0" applyFont="1" applyFill="1" applyBorder="1" applyAlignment="1" applyProtection="1">
      <alignment horizontal="left"/>
      <protection locked="0" hidden="1"/>
    </xf>
    <xf numFmtId="0" fontId="82" fillId="18" borderId="86" xfId="0" applyFont="1" applyFill="1" applyBorder="1" applyAlignment="1" applyProtection="1">
      <alignment horizontal="center"/>
      <protection locked="0"/>
    </xf>
    <xf numFmtId="0" fontId="0" fillId="0" borderId="96" xfId="0" applyBorder="1" applyProtection="1">
      <protection locked="0"/>
    </xf>
    <xf numFmtId="0" fontId="0" fillId="0" borderId="97" xfId="0" applyBorder="1" applyProtection="1"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0" fillId="11" borderId="11" xfId="0" applyFill="1" applyBorder="1"/>
    <xf numFmtId="0" fontId="0" fillId="11" borderId="42" xfId="0" applyFill="1" applyBorder="1"/>
    <xf numFmtId="0" fontId="39" fillId="11" borderId="42" xfId="0" applyFont="1" applyFill="1" applyBorder="1" applyAlignment="1">
      <alignment horizontal="center"/>
    </xf>
    <xf numFmtId="0" fontId="0" fillId="11" borderId="41" xfId="0" applyFill="1" applyBorder="1"/>
    <xf numFmtId="0" fontId="1" fillId="11" borderId="62" xfId="0" applyFont="1" applyFill="1" applyBorder="1" applyAlignment="1">
      <alignment horizontal="right"/>
    </xf>
    <xf numFmtId="0" fontId="81" fillId="11" borderId="91" xfId="0" applyFont="1" applyFill="1" applyBorder="1" applyAlignment="1">
      <alignment horizontal="left"/>
    </xf>
    <xf numFmtId="0" fontId="1" fillId="11" borderId="59" xfId="0" applyFont="1" applyFill="1" applyBorder="1" applyAlignment="1">
      <alignment horizontal="right"/>
    </xf>
    <xf numFmtId="0" fontId="81" fillId="11" borderId="92" xfId="0" applyFont="1" applyFill="1" applyBorder="1" applyAlignment="1">
      <alignment horizontal="left"/>
    </xf>
    <xf numFmtId="0" fontId="81" fillId="11" borderId="31" xfId="0" applyFont="1" applyFill="1" applyBorder="1" applyAlignment="1">
      <alignment horizontal="left"/>
    </xf>
    <xf numFmtId="0" fontId="0" fillId="11" borderId="80" xfId="0" applyFill="1" applyBorder="1" applyAlignment="1">
      <alignment horizontal="center"/>
    </xf>
    <xf numFmtId="0" fontId="8" fillId="11" borderId="81" xfId="0" applyFont="1" applyFill="1" applyBorder="1" applyAlignment="1">
      <alignment horizontal="center"/>
    </xf>
    <xf numFmtId="0" fontId="0" fillId="11" borderId="81" xfId="0" applyFill="1" applyBorder="1" applyAlignment="1">
      <alignment horizontal="center"/>
    </xf>
    <xf numFmtId="0" fontId="5" fillId="11" borderId="81" xfId="0" applyFont="1" applyFill="1" applyBorder="1" applyAlignment="1">
      <alignment horizontal="right"/>
    </xf>
    <xf numFmtId="0" fontId="0" fillId="11" borderId="81" xfId="0" applyFill="1" applyBorder="1"/>
    <xf numFmtId="0" fontId="0" fillId="11" borderId="4" xfId="0" applyFill="1" applyBorder="1" applyAlignment="1">
      <alignment horizontal="center"/>
    </xf>
    <xf numFmtId="0" fontId="0" fillId="11" borderId="32" xfId="0" applyFill="1" applyBorder="1" applyAlignment="1">
      <alignment horizontal="center"/>
    </xf>
    <xf numFmtId="0" fontId="0" fillId="4" borderId="11" xfId="0" applyFill="1" applyBorder="1"/>
    <xf numFmtId="0" fontId="0" fillId="4" borderId="42" xfId="0" applyFill="1" applyBorder="1"/>
    <xf numFmtId="0" fontId="39" fillId="4" borderId="42" xfId="0" applyFont="1" applyFill="1" applyBorder="1" applyAlignment="1">
      <alignment horizontal="center"/>
    </xf>
    <xf numFmtId="0" fontId="0" fillId="4" borderId="41" xfId="0" applyFill="1" applyBorder="1"/>
    <xf numFmtId="0" fontId="1" fillId="4" borderId="62" xfId="0" applyFont="1" applyFill="1" applyBorder="1" applyAlignment="1">
      <alignment horizontal="right"/>
    </xf>
    <xf numFmtId="0" fontId="81" fillId="4" borderId="91" xfId="0" applyFont="1" applyFill="1" applyBorder="1" applyAlignment="1">
      <alignment horizontal="left"/>
    </xf>
    <xf numFmtId="0" fontId="1" fillId="4" borderId="59" xfId="0" applyFont="1" applyFill="1" applyBorder="1" applyAlignment="1">
      <alignment horizontal="right"/>
    </xf>
    <xf numFmtId="0" fontId="81" fillId="4" borderId="92" xfId="0" applyFont="1" applyFill="1" applyBorder="1" applyAlignment="1">
      <alignment horizontal="left"/>
    </xf>
    <xf numFmtId="0" fontId="81" fillId="4" borderId="31" xfId="0" applyFont="1" applyFill="1" applyBorder="1" applyAlignment="1">
      <alignment horizontal="left"/>
    </xf>
    <xf numFmtId="0" fontId="0" fillId="4" borderId="80" xfId="0" applyFill="1" applyBorder="1" applyAlignment="1">
      <alignment horizontal="center"/>
    </xf>
    <xf numFmtId="0" fontId="8" fillId="4" borderId="81" xfId="0" applyFont="1" applyFill="1" applyBorder="1" applyAlignment="1">
      <alignment horizontal="center"/>
    </xf>
    <xf numFmtId="0" fontId="0" fillId="4" borderId="81" xfId="0" applyFill="1" applyBorder="1" applyAlignment="1">
      <alignment horizontal="center"/>
    </xf>
    <xf numFmtId="0" fontId="5" fillId="4" borderId="81" xfId="0" applyFont="1" applyFill="1" applyBorder="1" applyAlignment="1">
      <alignment horizontal="right"/>
    </xf>
    <xf numFmtId="0" fontId="0" fillId="4" borderId="81" xfId="0" applyFill="1" applyBorder="1"/>
    <xf numFmtId="0" fontId="0" fillId="2" borderId="0" xfId="0" applyFill="1" applyAlignment="1">
      <alignment horizontal="center"/>
    </xf>
    <xf numFmtId="0" fontId="26" fillId="0" borderId="94" xfId="0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4" borderId="81" xfId="0" applyFont="1" applyFill="1" applyBorder="1" applyAlignment="1" applyProtection="1">
      <alignment horizontal="center"/>
      <protection locked="0"/>
    </xf>
    <xf numFmtId="0" fontId="73" fillId="4" borderId="98" xfId="0" applyFont="1" applyFill="1" applyBorder="1" applyAlignment="1" applyProtection="1">
      <alignment horizontal="left"/>
      <protection locked="0" hidden="1"/>
    </xf>
    <xf numFmtId="0" fontId="0" fillId="11" borderId="11" xfId="0" applyFill="1" applyBorder="1" applyAlignment="1">
      <alignment horizontal="center"/>
    </xf>
    <xf numFmtId="0" fontId="0" fillId="11" borderId="42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5" fillId="11" borderId="4" xfId="0" applyFont="1" applyFill="1" applyBorder="1" applyAlignment="1">
      <alignment horizontal="right"/>
    </xf>
    <xf numFmtId="0" fontId="82" fillId="11" borderId="4" xfId="0" applyFont="1" applyFill="1" applyBorder="1" applyAlignment="1">
      <alignment horizontal="center"/>
    </xf>
    <xf numFmtId="0" fontId="0" fillId="11" borderId="4" xfId="0" applyFill="1" applyBorder="1"/>
    <xf numFmtId="0" fontId="73" fillId="11" borderId="32" xfId="0" applyFont="1" applyFill="1" applyBorder="1" applyAlignment="1">
      <alignment horizontal="left"/>
    </xf>
    <xf numFmtId="0" fontId="82" fillId="11" borderId="81" xfId="0" applyFont="1" applyFill="1" applyBorder="1" applyAlignment="1" applyProtection="1">
      <alignment horizontal="center"/>
      <protection locked="0"/>
    </xf>
    <xf numFmtId="0" fontId="73" fillId="11" borderId="98" xfId="0" applyFont="1" applyFill="1" applyBorder="1" applyAlignment="1" applyProtection="1">
      <alignment horizontal="left"/>
      <protection locked="0" hidden="1"/>
    </xf>
    <xf numFmtId="0" fontId="0" fillId="2" borderId="11" xfId="0" applyFill="1" applyBorder="1"/>
    <xf numFmtId="0" fontId="0" fillId="2" borderId="42" xfId="0" applyFill="1" applyBorder="1"/>
    <xf numFmtId="0" fontId="0" fillId="2" borderId="41" xfId="0" applyFill="1" applyBorder="1"/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26" fillId="0" borderId="94" xfId="0" applyFont="1" applyFill="1" applyBorder="1" applyAlignment="1" applyProtection="1">
      <alignment horizontal="center"/>
      <protection locked="0"/>
    </xf>
    <xf numFmtId="0" fontId="0" fillId="4" borderId="99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5" fillId="4" borderId="86" xfId="0" applyFont="1" applyFill="1" applyBorder="1" applyAlignment="1">
      <alignment horizontal="right"/>
    </xf>
    <xf numFmtId="0" fontId="0" fillId="4" borderId="86" xfId="0" applyFill="1" applyBorder="1"/>
    <xf numFmtId="0" fontId="0" fillId="11" borderId="0" xfId="0" applyFill="1" applyAlignment="1">
      <alignment horizontal="center"/>
    </xf>
    <xf numFmtId="0" fontId="82" fillId="4" borderId="86" xfId="0" applyFont="1" applyFill="1" applyBorder="1" applyAlignment="1" applyProtection="1">
      <alignment horizontal="center"/>
      <protection locked="0"/>
    </xf>
    <xf numFmtId="0" fontId="73" fillId="4" borderId="95" xfId="0" applyFont="1" applyFill="1" applyBorder="1" applyAlignment="1" applyProtection="1">
      <alignment horizontal="left"/>
      <protection locked="0" hidden="1"/>
    </xf>
    <xf numFmtId="0" fontId="0" fillId="11" borderId="93" xfId="0" applyFill="1" applyBorder="1" applyAlignment="1">
      <alignment horizontal="center"/>
    </xf>
    <xf numFmtId="0" fontId="0" fillId="11" borderId="86" xfId="0" applyFill="1" applyBorder="1" applyAlignment="1">
      <alignment horizontal="center"/>
    </xf>
    <xf numFmtId="0" fontId="5" fillId="11" borderId="86" xfId="0" applyFont="1" applyFill="1" applyBorder="1" applyAlignment="1">
      <alignment horizontal="right"/>
    </xf>
    <xf numFmtId="0" fontId="0" fillId="11" borderId="86" xfId="0" applyFill="1" applyBorder="1"/>
    <xf numFmtId="0" fontId="0" fillId="2" borderId="32" xfId="0" applyFill="1" applyBorder="1"/>
    <xf numFmtId="0" fontId="82" fillId="11" borderId="86" xfId="0" applyFont="1" applyFill="1" applyBorder="1" applyAlignment="1" applyProtection="1">
      <alignment horizontal="center"/>
      <protection locked="0"/>
    </xf>
    <xf numFmtId="0" fontId="73" fillId="11" borderId="95" xfId="0" applyFont="1" applyFill="1" applyBorder="1" applyAlignment="1" applyProtection="1">
      <alignment horizontal="left"/>
      <protection locked="0" hidden="1"/>
    </xf>
    <xf numFmtId="0" fontId="1" fillId="10" borderId="100" xfId="0" applyFont="1" applyFill="1" applyBorder="1" applyAlignment="1">
      <alignment horizontal="right"/>
    </xf>
    <xf numFmtId="0" fontId="81" fillId="10" borderId="101" xfId="0" applyFont="1" applyFill="1" applyBorder="1" applyAlignment="1">
      <alignment horizontal="left"/>
    </xf>
    <xf numFmtId="0" fontId="1" fillId="10" borderId="59" xfId="0" applyFont="1" applyFill="1" applyBorder="1" applyAlignment="1">
      <alignment horizontal="right"/>
    </xf>
    <xf numFmtId="0" fontId="81" fillId="10" borderId="92" xfId="0" applyFont="1" applyFill="1" applyBorder="1" applyAlignment="1">
      <alignment horizontal="left"/>
    </xf>
    <xf numFmtId="0" fontId="5" fillId="10" borderId="0" xfId="0" applyFont="1" applyFill="1" applyBorder="1" applyAlignment="1">
      <alignment horizontal="right"/>
    </xf>
    <xf numFmtId="0" fontId="81" fillId="10" borderId="31" xfId="0" applyFont="1" applyFill="1" applyBorder="1" applyAlignment="1">
      <alignment horizontal="left"/>
    </xf>
    <xf numFmtId="0" fontId="0" fillId="10" borderId="93" xfId="0" applyFill="1" applyBorder="1" applyAlignment="1">
      <alignment horizontal="center"/>
    </xf>
    <xf numFmtId="0" fontId="0" fillId="10" borderId="86" xfId="0" applyFill="1" applyBorder="1" applyAlignment="1">
      <alignment horizontal="center"/>
    </xf>
    <xf numFmtId="0" fontId="5" fillId="10" borderId="86" xfId="0" applyFont="1" applyFill="1" applyBorder="1" applyAlignment="1">
      <alignment horizontal="right"/>
    </xf>
    <xf numFmtId="0" fontId="0" fillId="10" borderId="86" xfId="0" applyFill="1" applyBorder="1"/>
    <xf numFmtId="0" fontId="0" fillId="20" borderId="11" xfId="0" applyFill="1" applyBorder="1"/>
    <xf numFmtId="0" fontId="0" fillId="20" borderId="42" xfId="0" applyFill="1" applyBorder="1"/>
    <xf numFmtId="0" fontId="0" fillId="20" borderId="41" xfId="0" applyFill="1" applyBorder="1"/>
    <xf numFmtId="0" fontId="0" fillId="20" borderId="5" xfId="0" applyFill="1" applyBorder="1"/>
    <xf numFmtId="0" fontId="0" fillId="20" borderId="0" xfId="0" applyFill="1" applyBorder="1"/>
    <xf numFmtId="0" fontId="0" fillId="20" borderId="31" xfId="0" applyFill="1" applyBorder="1"/>
    <xf numFmtId="0" fontId="0" fillId="20" borderId="5" xfId="0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0" fontId="0" fillId="20" borderId="6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32" xfId="0" applyFill="1" applyBorder="1"/>
    <xf numFmtId="0" fontId="26" fillId="0" borderId="102" xfId="0" applyFont="1" applyFill="1" applyBorder="1" applyProtection="1">
      <protection locked="0"/>
    </xf>
    <xf numFmtId="0" fontId="0" fillId="0" borderId="42" xfId="0" applyFill="1" applyBorder="1" applyAlignment="1" applyProtection="1">
      <alignment horizontal="center"/>
      <protection locked="0"/>
    </xf>
    <xf numFmtId="0" fontId="82" fillId="10" borderId="86" xfId="0" applyFont="1" applyFill="1" applyBorder="1" applyAlignment="1" applyProtection="1">
      <alignment horizontal="center"/>
      <protection locked="0"/>
    </xf>
    <xf numFmtId="0" fontId="73" fillId="10" borderId="95" xfId="0" applyFont="1" applyFill="1" applyBorder="1" applyAlignment="1" applyProtection="1">
      <alignment horizontal="left"/>
      <protection locked="0" hidden="1"/>
    </xf>
    <xf numFmtId="0" fontId="0" fillId="14" borderId="11" xfId="0" applyFill="1" applyBorder="1"/>
    <xf numFmtId="0" fontId="0" fillId="14" borderId="42" xfId="0" applyFill="1" applyBorder="1"/>
    <xf numFmtId="0" fontId="1" fillId="14" borderId="100" xfId="0" applyFont="1" applyFill="1" applyBorder="1" applyAlignment="1">
      <alignment horizontal="right"/>
    </xf>
    <xf numFmtId="0" fontId="81" fillId="14" borderId="101" xfId="0" applyFont="1" applyFill="1" applyBorder="1" applyAlignment="1">
      <alignment horizontal="left"/>
    </xf>
    <xf numFmtId="0" fontId="0" fillId="14" borderId="0" xfId="0" applyFill="1" applyBorder="1"/>
    <xf numFmtId="0" fontId="0" fillId="14" borderId="0" xfId="0" applyFill="1" applyBorder="1" applyAlignment="1">
      <alignment horizontal="center"/>
    </xf>
    <xf numFmtId="0" fontId="1" fillId="14" borderId="59" xfId="0" applyFont="1" applyFill="1" applyBorder="1" applyAlignment="1">
      <alignment horizontal="right"/>
    </xf>
    <xf numFmtId="0" fontId="81" fillId="14" borderId="92" xfId="0" applyFont="1" applyFill="1" applyBorder="1" applyAlignment="1">
      <alignment horizontal="left"/>
    </xf>
    <xf numFmtId="0" fontId="0" fillId="14" borderId="5" xfId="0" applyFill="1" applyBorder="1" applyAlignment="1">
      <alignment horizontal="center"/>
    </xf>
    <xf numFmtId="0" fontId="5" fillId="14" borderId="0" xfId="0" applyFont="1" applyFill="1" applyBorder="1" applyAlignment="1">
      <alignment horizontal="right"/>
    </xf>
    <xf numFmtId="0" fontId="81" fillId="14" borderId="31" xfId="0" applyFont="1" applyFill="1" applyBorder="1" applyAlignment="1">
      <alignment horizontal="left"/>
    </xf>
    <xf numFmtId="0" fontId="0" fillId="14" borderId="93" xfId="0" applyFill="1" applyBorder="1" applyAlignment="1">
      <alignment horizontal="center"/>
    </xf>
    <xf numFmtId="0" fontId="0" fillId="14" borderId="86" xfId="0" applyFill="1" applyBorder="1" applyAlignment="1">
      <alignment horizontal="center"/>
    </xf>
    <xf numFmtId="0" fontId="5" fillId="14" borderId="86" xfId="0" applyFont="1" applyFill="1" applyBorder="1" applyAlignment="1">
      <alignment horizontal="right"/>
    </xf>
    <xf numFmtId="0" fontId="0" fillId="14" borderId="86" xfId="0" applyFill="1" applyBorder="1"/>
    <xf numFmtId="0" fontId="0" fillId="11" borderId="32" xfId="0" applyFill="1" applyBorder="1"/>
    <xf numFmtId="0" fontId="82" fillId="14" borderId="86" xfId="0" applyFont="1" applyFill="1" applyBorder="1" applyAlignment="1" applyProtection="1">
      <alignment horizontal="center"/>
      <protection locked="0"/>
    </xf>
    <xf numFmtId="0" fontId="73" fillId="14" borderId="95" xfId="0" applyFont="1" applyFill="1" applyBorder="1" applyAlignment="1" applyProtection="1">
      <alignment horizontal="left"/>
      <protection locked="0" hidden="1"/>
    </xf>
    <xf numFmtId="0" fontId="1" fillId="11" borderId="100" xfId="0" applyFont="1" applyFill="1" applyBorder="1" applyAlignment="1">
      <alignment horizontal="right"/>
    </xf>
    <xf numFmtId="0" fontId="81" fillId="11" borderId="101" xfId="0" applyFont="1" applyFill="1" applyBorder="1" applyAlignment="1">
      <alignment horizontal="left"/>
    </xf>
    <xf numFmtId="0" fontId="5" fillId="11" borderId="0" xfId="0" applyFont="1" applyFill="1" applyBorder="1" applyAlignment="1">
      <alignment horizontal="center"/>
    </xf>
    <xf numFmtId="0" fontId="0" fillId="11" borderId="103" xfId="0" applyFill="1" applyBorder="1" applyAlignment="1">
      <alignment horizontal="center"/>
    </xf>
    <xf numFmtId="0" fontId="5" fillId="11" borderId="81" xfId="0" applyFont="1" applyFill="1" applyBorder="1" applyAlignment="1">
      <alignment horizontal="center"/>
    </xf>
    <xf numFmtId="0" fontId="5" fillId="0" borderId="102" xfId="0" applyFont="1" applyFill="1" applyBorder="1" applyProtection="1">
      <protection locked="0"/>
    </xf>
    <xf numFmtId="0" fontId="5" fillId="0" borderId="94" xfId="0" applyFont="1" applyFill="1" applyBorder="1" applyProtection="1">
      <protection locked="0"/>
    </xf>
    <xf numFmtId="0" fontId="0" fillId="3" borderId="26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1" fontId="0" fillId="3" borderId="0" xfId="0" applyNumberFormat="1" applyFill="1" applyProtection="1">
      <protection locked="0"/>
    </xf>
    <xf numFmtId="0" fontId="0" fillId="2" borderId="24" xfId="0" applyFill="1" applyBorder="1" applyProtection="1">
      <protection locked="0"/>
    </xf>
    <xf numFmtId="0" fontId="0" fillId="4" borderId="0" xfId="0" applyFill="1" applyProtection="1">
      <protection locked="0"/>
    </xf>
    <xf numFmtId="4" fontId="56" fillId="0" borderId="58" xfId="0" applyNumberFormat="1" applyFont="1" applyFill="1" applyBorder="1" applyAlignment="1" applyProtection="1">
      <alignment vertical="center"/>
      <protection locked="0" hidden="1"/>
    </xf>
    <xf numFmtId="4" fontId="56" fillId="0" borderId="0" xfId="0" applyNumberFormat="1" applyFont="1" applyFill="1" applyBorder="1" applyAlignment="1" applyProtection="1">
      <alignment vertical="center"/>
      <protection locked="0" hidden="1"/>
    </xf>
    <xf numFmtId="4" fontId="56" fillId="0" borderId="42" xfId="0" applyNumberFormat="1" applyFont="1" applyFill="1" applyBorder="1" applyAlignment="1" applyProtection="1">
      <alignment vertical="center"/>
      <protection locked="0" hidden="1"/>
    </xf>
    <xf numFmtId="2" fontId="9" fillId="0" borderId="42" xfId="0" applyNumberFormat="1" applyFont="1" applyFill="1" applyBorder="1" applyAlignment="1" applyProtection="1">
      <alignment horizontal="center" vertical="center"/>
      <protection locked="0" hidden="1"/>
    </xf>
    <xf numFmtId="2" fontId="9" fillId="0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104" xfId="0" applyFill="1" applyBorder="1" applyProtection="1">
      <protection locked="0" hidden="1"/>
    </xf>
    <xf numFmtId="0" fontId="0" fillId="0" borderId="105" xfId="0" applyFill="1" applyBorder="1" applyProtection="1">
      <protection locked="0" hidden="1"/>
    </xf>
    <xf numFmtId="0" fontId="0" fillId="0" borderId="106" xfId="0" applyFill="1" applyBorder="1" applyProtection="1">
      <protection locked="0" hidden="1"/>
    </xf>
    <xf numFmtId="0" fontId="14" fillId="4" borderId="42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 vertical="center" wrapText="1"/>
    </xf>
    <xf numFmtId="0" fontId="5" fillId="4" borderId="31" xfId="0" applyFont="1" applyFill="1" applyBorder="1" applyAlignment="1">
      <alignment horizontal="center" vertical="center" wrapText="1"/>
    </xf>
    <xf numFmtId="0" fontId="88" fillId="4" borderId="0" xfId="0" applyFont="1" applyFill="1" applyBorder="1" applyAlignment="1">
      <alignment horizontal="center"/>
    </xf>
    <xf numFmtId="0" fontId="0" fillId="19" borderId="11" xfId="0" applyFill="1" applyBorder="1"/>
    <xf numFmtId="0" fontId="0" fillId="19" borderId="42" xfId="0" applyFill="1" applyBorder="1"/>
    <xf numFmtId="0" fontId="14" fillId="19" borderId="42" xfId="0" applyFont="1" applyFill="1" applyBorder="1" applyAlignment="1">
      <alignment horizontal="center"/>
    </xf>
    <xf numFmtId="0" fontId="0" fillId="19" borderId="41" xfId="0" applyFill="1" applyBorder="1"/>
    <xf numFmtId="0" fontId="0" fillId="19" borderId="5" xfId="0" applyFill="1" applyBorder="1"/>
    <xf numFmtId="0" fontId="0" fillId="19" borderId="0" xfId="0" applyFill="1" applyBorder="1"/>
    <xf numFmtId="0" fontId="14" fillId="19" borderId="0" xfId="0" applyFont="1" applyFill="1" applyBorder="1" applyAlignment="1">
      <alignment horizontal="center"/>
    </xf>
    <xf numFmtId="0" fontId="0" fillId="19" borderId="31" xfId="0" applyFill="1" applyBorder="1"/>
    <xf numFmtId="0" fontId="5" fillId="19" borderId="0" xfId="0" applyFont="1" applyFill="1" applyBorder="1" applyAlignment="1">
      <alignment horizontal="center"/>
    </xf>
    <xf numFmtId="0" fontId="5" fillId="19" borderId="5" xfId="0" applyFont="1" applyFill="1" applyBorder="1" applyAlignment="1">
      <alignment horizontal="center" vertical="center" wrapText="1"/>
    </xf>
    <xf numFmtId="0" fontId="5" fillId="19" borderId="31" xfId="0" applyFont="1" applyFill="1" applyBorder="1" applyAlignment="1">
      <alignment horizontal="center" vertical="center" wrapText="1"/>
    </xf>
    <xf numFmtId="0" fontId="88" fillId="19" borderId="0" xfId="0" applyFont="1" applyFill="1" applyBorder="1" applyAlignment="1">
      <alignment horizontal="center"/>
    </xf>
    <xf numFmtId="0" fontId="0" fillId="19" borderId="6" xfId="0" applyFill="1" applyBorder="1"/>
    <xf numFmtId="0" fontId="0" fillId="19" borderId="4" xfId="0" applyFill="1" applyBorder="1"/>
    <xf numFmtId="0" fontId="0" fillId="19" borderId="32" xfId="0" applyFill="1" applyBorder="1"/>
    <xf numFmtId="0" fontId="26" fillId="0" borderId="77" xfId="0" applyFont="1" applyFill="1" applyBorder="1" applyAlignment="1" applyProtection="1">
      <alignment horizontal="center"/>
      <protection locked="0" hidden="1"/>
    </xf>
    <xf numFmtId="0" fontId="26" fillId="0" borderId="79" xfId="0" applyFont="1" applyFill="1" applyBorder="1" applyAlignment="1" applyProtection="1">
      <alignment horizontal="center"/>
      <protection locked="0" hidden="1"/>
    </xf>
    <xf numFmtId="0" fontId="0" fillId="4" borderId="24" xfId="0" applyFill="1" applyBorder="1" applyProtection="1">
      <protection locked="0"/>
    </xf>
    <xf numFmtId="0" fontId="0" fillId="11" borderId="29" xfId="0" applyFill="1" applyBorder="1" applyAlignment="1" applyProtection="1">
      <alignment horizontal="center"/>
      <protection locked="0"/>
    </xf>
    <xf numFmtId="0" fontId="0" fillId="0" borderId="107" xfId="0" applyBorder="1" applyProtection="1">
      <protection locked="0"/>
    </xf>
    <xf numFmtId="49" fontId="39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43" fillId="3" borderId="108" xfId="0" applyFont="1" applyFill="1" applyBorder="1" applyAlignment="1" applyProtection="1">
      <alignment horizontal="center"/>
      <protection locked="0"/>
    </xf>
    <xf numFmtId="0" fontId="43" fillId="3" borderId="109" xfId="0" applyFont="1" applyFill="1" applyBorder="1" applyAlignment="1" applyProtection="1">
      <alignment horizontal="center"/>
      <protection locked="0"/>
    </xf>
    <xf numFmtId="0" fontId="43" fillId="3" borderId="110" xfId="0" applyFont="1" applyFill="1" applyBorder="1" applyAlignment="1" applyProtection="1">
      <alignment horizontal="center"/>
      <protection locked="0"/>
    </xf>
    <xf numFmtId="49" fontId="43" fillId="11" borderId="43" xfId="0" applyNumberFormat="1" applyFont="1" applyFill="1" applyBorder="1" applyAlignment="1" applyProtection="1">
      <alignment horizontal="center"/>
      <protection locked="0"/>
    </xf>
    <xf numFmtId="49" fontId="43" fillId="11" borderId="19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6" fillId="0" borderId="0" xfId="0" applyFont="1" applyAlignment="1" applyProtection="1">
      <alignment horizontal="right"/>
    </xf>
    <xf numFmtId="0" fontId="26" fillId="0" borderId="0" xfId="0" applyFont="1" applyProtection="1"/>
    <xf numFmtId="0" fontId="0" fillId="0" borderId="0" xfId="0" applyFill="1" applyProtection="1"/>
    <xf numFmtId="0" fontId="0" fillId="17" borderId="11" xfId="0" applyFill="1" applyBorder="1" applyAlignment="1" applyProtection="1">
      <alignment horizontal="center"/>
    </xf>
    <xf numFmtId="49" fontId="0" fillId="17" borderId="42" xfId="0" applyNumberFormat="1" applyFill="1" applyBorder="1" applyAlignment="1" applyProtection="1">
      <alignment horizontal="center"/>
    </xf>
    <xf numFmtId="0" fontId="14" fillId="17" borderId="42" xfId="0" applyFont="1" applyFill="1" applyBorder="1" applyAlignment="1" applyProtection="1">
      <alignment horizontal="center"/>
    </xf>
    <xf numFmtId="0" fontId="0" fillId="17" borderId="42" xfId="0" applyFill="1" applyBorder="1" applyAlignment="1" applyProtection="1">
      <alignment horizontal="center"/>
    </xf>
    <xf numFmtId="0" fontId="0" fillId="17" borderId="41" xfId="0" applyFill="1" applyBorder="1" applyAlignment="1" applyProtection="1">
      <alignment horizontal="center"/>
    </xf>
    <xf numFmtId="0" fontId="0" fillId="4" borderId="11" xfId="0" applyFill="1" applyBorder="1" applyAlignment="1" applyProtection="1">
      <alignment horizontal="center"/>
    </xf>
    <xf numFmtId="0" fontId="0" fillId="4" borderId="42" xfId="0" applyFill="1" applyBorder="1" applyAlignment="1" applyProtection="1">
      <alignment horizontal="center"/>
    </xf>
    <xf numFmtId="0" fontId="0" fillId="4" borderId="41" xfId="0" applyFill="1" applyBorder="1" applyAlignment="1" applyProtection="1">
      <alignment horizontal="center"/>
    </xf>
    <xf numFmtId="0" fontId="0" fillId="17" borderId="5" xfId="0" applyFill="1" applyBorder="1" applyAlignment="1" applyProtection="1">
      <alignment horizontal="center"/>
    </xf>
    <xf numFmtId="0" fontId="20" fillId="17" borderId="91" xfId="0" applyFont="1" applyFill="1" applyBorder="1" applyAlignment="1" applyProtection="1">
      <alignment horizontal="left"/>
    </xf>
    <xf numFmtId="0" fontId="0" fillId="4" borderId="5" xfId="0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31" xfId="0" applyFill="1" applyBorder="1" applyAlignment="1" applyProtection="1">
      <alignment horizontal="center"/>
    </xf>
    <xf numFmtId="0" fontId="0" fillId="17" borderId="5" xfId="0" applyFill="1" applyBorder="1" applyProtection="1"/>
    <xf numFmtId="0" fontId="20" fillId="17" borderId="111" xfId="0" applyFont="1" applyFill="1" applyBorder="1" applyAlignment="1" applyProtection="1">
      <alignment horizontal="left"/>
    </xf>
    <xf numFmtId="0" fontId="25" fillId="0" borderId="0" xfId="0" applyFont="1" applyFill="1" applyBorder="1" applyProtection="1"/>
    <xf numFmtId="0" fontId="25" fillId="0" borderId="0" xfId="0" applyFont="1" applyFill="1" applyBorder="1" applyAlignment="1" applyProtection="1">
      <alignment horizontal="right"/>
    </xf>
    <xf numFmtId="0" fontId="69" fillId="0" borderId="0" xfId="0" applyFont="1" applyFill="1" applyBorder="1" applyProtection="1"/>
    <xf numFmtId="0" fontId="11" fillId="17" borderId="5" xfId="0" applyFont="1" applyFill="1" applyBorder="1" applyAlignment="1" applyProtection="1">
      <alignment horizontal="left"/>
    </xf>
    <xf numFmtId="49" fontId="8" fillId="17" borderId="0" xfId="0" applyNumberFormat="1" applyFont="1" applyFill="1" applyBorder="1" applyAlignment="1" applyProtection="1">
      <alignment horizontal="center"/>
    </xf>
    <xf numFmtId="0" fontId="0" fillId="17" borderId="0" xfId="0" applyFill="1" applyBorder="1" applyAlignment="1" applyProtection="1">
      <alignment horizontal="center"/>
    </xf>
    <xf numFmtId="0" fontId="72" fillId="4" borderId="0" xfId="0" applyNumberFormat="1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0" fontId="0" fillId="17" borderId="93" xfId="0" applyFill="1" applyBorder="1" applyProtection="1"/>
    <xf numFmtId="0" fontId="11" fillId="17" borderId="86" xfId="0" applyFont="1" applyFill="1" applyBorder="1" applyAlignment="1" applyProtection="1">
      <alignment horizontal="right"/>
    </xf>
    <xf numFmtId="0" fontId="0" fillId="17" borderId="86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32" xfId="0" applyFill="1" applyBorder="1" applyAlignment="1" applyProtection="1">
      <alignment horizontal="center"/>
    </xf>
    <xf numFmtId="0" fontId="69" fillId="0" borderId="0" xfId="0" applyFont="1" applyFill="1" applyBorder="1" applyAlignment="1" applyProtection="1">
      <alignment horizontal="right"/>
    </xf>
    <xf numFmtId="49" fontId="0" fillId="0" borderId="0" xfId="0" applyNumberFormat="1" applyFill="1" applyBorder="1" applyAlignment="1" applyProtection="1">
      <alignment horizontal="left"/>
    </xf>
    <xf numFmtId="0" fontId="8" fillId="0" borderId="0" xfId="0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center"/>
    </xf>
    <xf numFmtId="0" fontId="8" fillId="0" borderId="0" xfId="0" quotePrefix="1" applyFont="1" applyFill="1" applyBorder="1" applyAlignment="1" applyProtection="1">
      <alignment horizontal="center"/>
    </xf>
    <xf numFmtId="0" fontId="64" fillId="0" borderId="0" xfId="0" applyFont="1" applyFill="1" applyBorder="1" applyAlignment="1" applyProtection="1">
      <alignment horizontal="center"/>
    </xf>
    <xf numFmtId="0" fontId="30" fillId="0" borderId="0" xfId="0" applyFont="1" applyProtection="1"/>
    <xf numFmtId="0" fontId="0" fillId="0" borderId="0" xfId="0" applyAlignment="1" applyProtection="1">
      <alignment horizontal="right"/>
    </xf>
    <xf numFmtId="0" fontId="28" fillId="3" borderId="112" xfId="0" applyFont="1" applyFill="1" applyBorder="1" applyAlignment="1" applyProtection="1">
      <alignment horizontal="center" wrapText="1"/>
    </xf>
    <xf numFmtId="49" fontId="11" fillId="3" borderId="113" xfId="0" applyNumberFormat="1" applyFont="1" applyFill="1" applyBorder="1" applyAlignment="1" applyProtection="1">
      <alignment horizontal="center" wrapText="1"/>
    </xf>
    <xf numFmtId="0" fontId="11" fillId="3" borderId="114" xfId="0" applyFont="1" applyFill="1" applyBorder="1" applyAlignment="1" applyProtection="1">
      <alignment horizontal="center" vertical="center" wrapText="1"/>
    </xf>
    <xf numFmtId="0" fontId="11" fillId="3" borderId="115" xfId="0" applyFont="1" applyFill="1" applyBorder="1" applyAlignment="1" applyProtection="1">
      <alignment horizontal="center" wrapText="1"/>
    </xf>
    <xf numFmtId="0" fontId="31" fillId="0" borderId="116" xfId="0" applyFont="1" applyBorder="1" applyAlignment="1" applyProtection="1">
      <alignment horizontal="center" wrapText="1"/>
    </xf>
    <xf numFmtId="0" fontId="31" fillId="0" borderId="117" xfId="0" applyFont="1" applyBorder="1" applyAlignment="1" applyProtection="1">
      <alignment horizontal="center" wrapText="1"/>
    </xf>
    <xf numFmtId="0" fontId="5" fillId="0" borderId="118" xfId="0" applyFont="1" applyBorder="1" applyAlignment="1" applyProtection="1">
      <alignment horizontal="center" wrapText="1"/>
    </xf>
    <xf numFmtId="0" fontId="5" fillId="0" borderId="119" xfId="0" applyFont="1" applyBorder="1" applyAlignment="1" applyProtection="1">
      <alignment horizontal="center" wrapText="1"/>
    </xf>
    <xf numFmtId="0" fontId="5" fillId="0" borderId="120" xfId="0" applyFont="1" applyBorder="1" applyAlignment="1" applyProtection="1">
      <alignment horizontal="center" wrapText="1"/>
    </xf>
    <xf numFmtId="0" fontId="5" fillId="0" borderId="24" xfId="0" applyFont="1" applyBorder="1" applyAlignment="1" applyProtection="1">
      <alignment horizontal="center" wrapText="1"/>
    </xf>
    <xf numFmtId="0" fontId="11" fillId="0" borderId="24" xfId="0" applyFont="1" applyBorder="1" applyAlignment="1" applyProtection="1">
      <alignment horizontal="center" wrapText="1"/>
    </xf>
    <xf numFmtId="0" fontId="31" fillId="0" borderId="0" xfId="0" applyFont="1" applyFill="1" applyBorder="1" applyProtection="1"/>
    <xf numFmtId="0" fontId="31" fillId="0" borderId="0" xfId="0" applyFont="1" applyProtection="1"/>
    <xf numFmtId="0" fontId="32" fillId="0" borderId="0" xfId="0" applyFont="1" applyProtection="1"/>
    <xf numFmtId="0" fontId="70" fillId="0" borderId="0" xfId="0" applyFont="1" applyAlignment="1" applyProtection="1">
      <alignment horizontal="center" vertical="center"/>
    </xf>
    <xf numFmtId="0" fontId="32" fillId="3" borderId="121" xfId="0" applyFont="1" applyFill="1" applyBorder="1" applyAlignment="1" applyProtection="1">
      <alignment horizontal="center" wrapText="1"/>
    </xf>
    <xf numFmtId="49" fontId="32" fillId="3" borderId="15" xfId="0" applyNumberFormat="1" applyFont="1" applyFill="1" applyBorder="1" applyAlignment="1" applyProtection="1">
      <alignment horizontal="center" wrapText="1"/>
    </xf>
    <xf numFmtId="0" fontId="32" fillId="3" borderId="5" xfId="0" applyFont="1" applyFill="1" applyBorder="1" applyAlignment="1" applyProtection="1">
      <alignment horizontal="center" wrapText="1"/>
    </xf>
    <xf numFmtId="0" fontId="32" fillId="3" borderId="122" xfId="0" applyFont="1" applyFill="1" applyBorder="1" applyAlignment="1" applyProtection="1">
      <alignment horizontal="center" wrapText="1"/>
    </xf>
    <xf numFmtId="0" fontId="32" fillId="0" borderId="5" xfId="0" applyFont="1" applyBorder="1" applyAlignment="1" applyProtection="1">
      <alignment horizontal="center" wrapText="1"/>
    </xf>
    <xf numFmtId="0" fontId="32" fillId="0" borderId="15" xfId="0" applyFont="1" applyBorder="1" applyAlignment="1" applyProtection="1">
      <alignment horizontal="center" wrapText="1"/>
    </xf>
    <xf numFmtId="0" fontId="32" fillId="0" borderId="7" xfId="0" applyFont="1" applyBorder="1" applyAlignment="1" applyProtection="1">
      <alignment horizontal="center" wrapText="1"/>
    </xf>
    <xf numFmtId="0" fontId="32" fillId="0" borderId="9" xfId="0" applyFont="1" applyBorder="1" applyAlignment="1" applyProtection="1">
      <alignment horizontal="center" wrapText="1"/>
    </xf>
    <xf numFmtId="0" fontId="32" fillId="0" borderId="19" xfId="0" applyFont="1" applyBorder="1" applyAlignment="1" applyProtection="1">
      <alignment horizontal="center" wrapText="1"/>
    </xf>
    <xf numFmtId="0" fontId="32" fillId="0" borderId="13" xfId="0" applyFont="1" applyBorder="1" applyAlignment="1" applyProtection="1">
      <alignment horizontal="center" wrapText="1"/>
    </xf>
    <xf numFmtId="0" fontId="32" fillId="0" borderId="0" xfId="0" applyFont="1" applyFill="1" applyBorder="1" applyProtection="1"/>
    <xf numFmtId="0" fontId="32" fillId="0" borderId="0" xfId="0" applyFont="1" applyFill="1" applyBorder="1" applyAlignment="1" applyProtection="1">
      <alignment horizontal="center" wrapText="1"/>
    </xf>
    <xf numFmtId="0" fontId="32" fillId="0" borderId="0" xfId="0" applyFont="1" applyFill="1" applyBorder="1" applyAlignment="1" applyProtection="1">
      <alignment horizontal="center"/>
    </xf>
    <xf numFmtId="0" fontId="34" fillId="0" borderId="0" xfId="0" applyFont="1" applyProtection="1"/>
    <xf numFmtId="0" fontId="69" fillId="0" borderId="0" xfId="0" applyFont="1" applyAlignment="1" applyProtection="1">
      <alignment horizontal="right"/>
    </xf>
    <xf numFmtId="49" fontId="34" fillId="3" borderId="123" xfId="0" applyNumberFormat="1" applyFont="1" applyFill="1" applyBorder="1" applyAlignment="1" applyProtection="1">
      <alignment horizontal="center" wrapText="1"/>
    </xf>
    <xf numFmtId="49" fontId="34" fillId="3" borderId="124" xfId="0" applyNumberFormat="1" applyFont="1" applyFill="1" applyBorder="1" applyAlignment="1" applyProtection="1">
      <alignment horizontal="center" wrapText="1"/>
    </xf>
    <xf numFmtId="49" fontId="35" fillId="3" borderId="125" xfId="0" applyNumberFormat="1" applyFont="1" applyFill="1" applyBorder="1" applyAlignment="1" applyProtection="1">
      <alignment horizontal="center" wrapText="1"/>
    </xf>
    <xf numFmtId="49" fontId="34" fillId="3" borderId="126" xfId="0" applyNumberFormat="1" applyFont="1" applyFill="1" applyBorder="1" applyAlignment="1" applyProtection="1">
      <alignment horizontal="center" wrapText="1"/>
    </xf>
    <xf numFmtId="49" fontId="34" fillId="0" borderId="6" xfId="0" applyNumberFormat="1" applyFont="1" applyBorder="1" applyAlignment="1" applyProtection="1">
      <alignment horizontal="center" wrapText="1"/>
    </xf>
    <xf numFmtId="49" fontId="34" fillId="0" borderId="16" xfId="0" applyNumberFormat="1" applyFont="1" applyBorder="1" applyAlignment="1" applyProtection="1">
      <alignment horizontal="center" wrapText="1"/>
    </xf>
    <xf numFmtId="49" fontId="34" fillId="0" borderId="8" xfId="0" applyNumberFormat="1" applyFont="1" applyBorder="1" applyAlignment="1" applyProtection="1">
      <alignment horizontal="center" wrapText="1"/>
    </xf>
    <xf numFmtId="49" fontId="34" fillId="0" borderId="23" xfId="0" applyNumberFormat="1" applyFont="1" applyBorder="1" applyAlignment="1" applyProtection="1">
      <alignment horizontal="center" wrapText="1"/>
    </xf>
    <xf numFmtId="49" fontId="34" fillId="0" borderId="17" xfId="0" applyNumberFormat="1" applyFont="1" applyBorder="1" applyAlignment="1" applyProtection="1">
      <alignment horizontal="center" wrapText="1"/>
    </xf>
    <xf numFmtId="49" fontId="34" fillId="0" borderId="32" xfId="0" applyNumberFormat="1" applyFont="1" applyBorder="1" applyAlignment="1" applyProtection="1">
      <alignment horizontal="center" wrapText="1"/>
    </xf>
    <xf numFmtId="49" fontId="34" fillId="0" borderId="14" xfId="0" applyNumberFormat="1" applyFont="1" applyBorder="1" applyAlignment="1" applyProtection="1">
      <alignment horizontal="center" wrapText="1"/>
    </xf>
    <xf numFmtId="0" fontId="34" fillId="0" borderId="0" xfId="0" applyFont="1" applyFill="1" applyBorder="1" applyProtection="1"/>
    <xf numFmtId="0" fontId="34" fillId="0" borderId="0" xfId="0" applyFont="1" applyFill="1" applyBorder="1" applyAlignment="1" applyProtection="1">
      <alignment horizontal="center" wrapText="1"/>
    </xf>
    <xf numFmtId="0" fontId="38" fillId="0" borderId="0" xfId="0" applyFont="1" applyFill="1" applyBorder="1" applyAlignment="1" applyProtection="1">
      <alignment horizontal="center"/>
    </xf>
    <xf numFmtId="0" fontId="26" fillId="0" borderId="0" xfId="0" applyFont="1" applyBorder="1" applyProtection="1"/>
    <xf numFmtId="0" fontId="43" fillId="11" borderId="108" xfId="0" applyFont="1" applyFill="1" applyBorder="1" applyAlignment="1" applyProtection="1">
      <alignment horizontal="center"/>
    </xf>
    <xf numFmtId="49" fontId="43" fillId="11" borderId="127" xfId="0" applyNumberFormat="1" applyFont="1" applyFill="1" applyBorder="1" applyAlignment="1" applyProtection="1">
      <alignment horizontal="center"/>
    </xf>
    <xf numFmtId="2" fontId="43" fillId="11" borderId="27" xfId="0" applyNumberFormat="1" applyFont="1" applyFill="1" applyBorder="1" applyAlignment="1" applyProtection="1">
      <alignment horizontal="center"/>
    </xf>
    <xf numFmtId="2" fontId="43" fillId="11" borderId="128" xfId="0" applyNumberFormat="1" applyFont="1" applyFill="1" applyBorder="1" applyAlignment="1" applyProtection="1">
      <alignment horizontal="center"/>
    </xf>
    <xf numFmtId="0" fontId="26" fillId="10" borderId="27" xfId="0" applyFont="1" applyFill="1" applyBorder="1" applyAlignment="1" applyProtection="1">
      <alignment horizontal="center"/>
    </xf>
    <xf numFmtId="164" fontId="26" fillId="10" borderId="129" xfId="0" applyNumberFormat="1" applyFont="1" applyFill="1" applyBorder="1" applyAlignment="1" applyProtection="1">
      <alignment horizontal="center"/>
    </xf>
    <xf numFmtId="2" fontId="26" fillId="10" borderId="130" xfId="0" applyNumberFormat="1" applyFont="1" applyFill="1" applyBorder="1" applyAlignment="1" applyProtection="1">
      <alignment horizontal="center"/>
    </xf>
    <xf numFmtId="2" fontId="26" fillId="10" borderId="131" xfId="0" applyNumberFormat="1" applyFont="1" applyFill="1" applyBorder="1" applyAlignment="1" applyProtection="1">
      <alignment horizontal="center"/>
    </xf>
    <xf numFmtId="2" fontId="26" fillId="10" borderId="129" xfId="0" applyNumberFormat="1" applyFont="1" applyFill="1" applyBorder="1" applyAlignment="1" applyProtection="1">
      <alignment horizontal="center"/>
    </xf>
    <xf numFmtId="2" fontId="26" fillId="10" borderId="27" xfId="0" applyNumberFormat="1" applyFont="1" applyFill="1" applyBorder="1" applyAlignment="1" applyProtection="1">
      <alignment horizontal="center"/>
    </xf>
    <xf numFmtId="2" fontId="26" fillId="10" borderId="77" xfId="0" applyNumberFormat="1" applyFont="1" applyFill="1" applyBorder="1" applyAlignment="1" applyProtection="1">
      <alignment horizontal="center"/>
    </xf>
    <xf numFmtId="2" fontId="26" fillId="10" borderId="33" xfId="0" applyNumberFormat="1" applyFont="1" applyFill="1" applyBorder="1" applyAlignment="1" applyProtection="1">
      <alignment horizontal="center"/>
    </xf>
    <xf numFmtId="0" fontId="26" fillId="0" borderId="0" xfId="0" applyFont="1" applyFill="1" applyBorder="1" applyProtection="1"/>
    <xf numFmtId="0" fontId="26" fillId="0" borderId="0" xfId="0" applyFont="1" applyFill="1" applyBorder="1" applyAlignment="1" applyProtection="1">
      <alignment horizontal="center"/>
    </xf>
    <xf numFmtId="0" fontId="43" fillId="11" borderId="110" xfId="0" applyFont="1" applyFill="1" applyBorder="1" applyAlignment="1" applyProtection="1">
      <alignment horizontal="center"/>
    </xf>
    <xf numFmtId="49" fontId="43" fillId="11" borderId="132" xfId="0" applyNumberFormat="1" applyFont="1" applyFill="1" applyBorder="1" applyAlignment="1" applyProtection="1">
      <alignment horizontal="center"/>
    </xf>
    <xf numFmtId="2" fontId="43" fillId="11" borderId="29" xfId="0" applyNumberFormat="1" applyFont="1" applyFill="1" applyBorder="1" applyAlignment="1" applyProtection="1">
      <alignment horizontal="center"/>
    </xf>
    <xf numFmtId="2" fontId="43" fillId="11" borderId="133" xfId="0" applyNumberFormat="1" applyFont="1" applyFill="1" applyBorder="1" applyAlignment="1" applyProtection="1">
      <alignment horizontal="center"/>
    </xf>
    <xf numFmtId="0" fontId="26" fillId="10" borderId="29" xfId="0" applyFont="1" applyFill="1" applyBorder="1" applyAlignment="1" applyProtection="1">
      <alignment horizontal="center"/>
    </xf>
    <xf numFmtId="164" fontId="26" fillId="10" borderId="43" xfId="0" applyNumberFormat="1" applyFont="1" applyFill="1" applyBorder="1" applyAlignment="1" applyProtection="1">
      <alignment horizontal="center"/>
    </xf>
    <xf numFmtId="2" fontId="26" fillId="10" borderId="87" xfId="0" applyNumberFormat="1" applyFont="1" applyFill="1" applyBorder="1" applyAlignment="1" applyProtection="1">
      <alignment horizontal="center"/>
    </xf>
    <xf numFmtId="2" fontId="26" fillId="10" borderId="134" xfId="0" applyNumberFormat="1" applyFont="1" applyFill="1" applyBorder="1" applyAlignment="1" applyProtection="1">
      <alignment horizontal="center"/>
    </xf>
    <xf numFmtId="2" fontId="26" fillId="10" borderId="43" xfId="0" applyNumberFormat="1" applyFont="1" applyFill="1" applyBorder="1" applyAlignment="1" applyProtection="1">
      <alignment horizontal="center"/>
    </xf>
    <xf numFmtId="2" fontId="26" fillId="10" borderId="29" xfId="0" applyNumberFormat="1" applyFont="1" applyFill="1" applyBorder="1" applyAlignment="1" applyProtection="1">
      <alignment horizontal="center"/>
    </xf>
    <xf numFmtId="2" fontId="26" fillId="10" borderId="78" xfId="0" applyNumberFormat="1" applyFont="1" applyFill="1" applyBorder="1" applyAlignment="1" applyProtection="1">
      <alignment horizontal="center"/>
    </xf>
    <xf numFmtId="2" fontId="26" fillId="10" borderId="34" xfId="0" applyNumberFormat="1" applyFont="1" applyFill="1" applyBorder="1" applyAlignment="1" applyProtection="1">
      <alignment horizontal="center"/>
    </xf>
    <xf numFmtId="0" fontId="43" fillId="3" borderId="108" xfId="0" applyFont="1" applyFill="1" applyBorder="1" applyAlignment="1" applyProtection="1">
      <alignment horizontal="center"/>
    </xf>
    <xf numFmtId="49" fontId="43" fillId="3" borderId="129" xfId="0" applyNumberFormat="1" applyFont="1" applyFill="1" applyBorder="1" applyAlignment="1" applyProtection="1">
      <alignment horizontal="center"/>
    </xf>
    <xf numFmtId="2" fontId="43" fillId="3" borderId="27" xfId="0" applyNumberFormat="1" applyFont="1" applyFill="1" applyBorder="1" applyAlignment="1" applyProtection="1">
      <alignment horizontal="center"/>
    </xf>
    <xf numFmtId="2" fontId="43" fillId="3" borderId="128" xfId="0" applyNumberFormat="1" applyFont="1" applyFill="1" applyBorder="1" applyAlignment="1" applyProtection="1">
      <alignment horizontal="center"/>
    </xf>
    <xf numFmtId="0" fontId="26" fillId="0" borderId="130" xfId="0" applyFont="1" applyBorder="1" applyAlignment="1" applyProtection="1">
      <alignment horizontal="center"/>
    </xf>
    <xf numFmtId="164" fontId="26" fillId="0" borderId="129" xfId="0" applyNumberFormat="1" applyFont="1" applyBorder="1" applyAlignment="1" applyProtection="1">
      <alignment horizontal="center"/>
    </xf>
    <xf numFmtId="2" fontId="26" fillId="0" borderId="130" xfId="0" applyNumberFormat="1" applyFont="1" applyBorder="1" applyAlignment="1" applyProtection="1">
      <alignment horizontal="center"/>
    </xf>
    <xf numFmtId="2" fontId="26" fillId="0" borderId="131" xfId="0" applyNumberFormat="1" applyFont="1" applyBorder="1" applyAlignment="1" applyProtection="1">
      <alignment horizontal="center"/>
    </xf>
    <xf numFmtId="2" fontId="26" fillId="0" borderId="129" xfId="0" applyNumberFormat="1" applyFont="1" applyBorder="1" applyAlignment="1" applyProtection="1">
      <alignment horizontal="center"/>
    </xf>
    <xf numFmtId="2" fontId="26" fillId="0" borderId="33" xfId="0" applyNumberFormat="1" applyFont="1" applyBorder="1" applyAlignment="1" applyProtection="1">
      <alignment horizontal="center"/>
    </xf>
    <xf numFmtId="0" fontId="43" fillId="3" borderId="109" xfId="0" applyFont="1" applyFill="1" applyBorder="1" applyAlignment="1" applyProtection="1">
      <alignment horizontal="center"/>
    </xf>
    <xf numFmtId="49" fontId="43" fillId="3" borderId="19" xfId="0" applyNumberFormat="1" applyFont="1" applyFill="1" applyBorder="1" applyAlignment="1" applyProtection="1">
      <alignment horizontal="center"/>
    </xf>
    <xf numFmtId="2" fontId="43" fillId="3" borderId="5" xfId="0" applyNumberFormat="1" applyFont="1" applyFill="1" applyBorder="1" applyAlignment="1" applyProtection="1">
      <alignment horizontal="center"/>
    </xf>
    <xf numFmtId="2" fontId="43" fillId="3" borderId="122" xfId="0" applyNumberFormat="1" applyFont="1" applyFill="1" applyBorder="1" applyAlignment="1" applyProtection="1">
      <alignment horizontal="center"/>
    </xf>
    <xf numFmtId="0" fontId="26" fillId="0" borderId="7" xfId="0" applyFont="1" applyBorder="1" applyAlignment="1" applyProtection="1">
      <alignment horizontal="center"/>
    </xf>
    <xf numFmtId="164" fontId="26" fillId="0" borderId="19" xfId="0" applyNumberFormat="1" applyFont="1" applyBorder="1" applyAlignment="1" applyProtection="1">
      <alignment horizontal="center"/>
    </xf>
    <xf numFmtId="2" fontId="26" fillId="0" borderId="7" xfId="0" applyNumberFormat="1" applyFont="1" applyBorder="1" applyAlignment="1" applyProtection="1">
      <alignment horizontal="center"/>
    </xf>
    <xf numFmtId="2" fontId="26" fillId="0" borderId="9" xfId="0" applyNumberFormat="1" applyFont="1" applyBorder="1" applyAlignment="1" applyProtection="1">
      <alignment horizontal="center"/>
    </xf>
    <xf numFmtId="2" fontId="26" fillId="0" borderId="19" xfId="0" applyNumberFormat="1" applyFont="1" applyBorder="1" applyAlignment="1" applyProtection="1">
      <alignment horizontal="center"/>
    </xf>
    <xf numFmtId="2" fontId="26" fillId="0" borderId="13" xfId="0" applyNumberFormat="1" applyFont="1" applyBorder="1" applyAlignment="1" applyProtection="1">
      <alignment horizontal="center"/>
    </xf>
    <xf numFmtId="0" fontId="27" fillId="0" borderId="0" xfId="0" applyFont="1" applyBorder="1" applyAlignment="1" applyProtection="1">
      <alignment horizontal="right"/>
    </xf>
    <xf numFmtId="0" fontId="43" fillId="3" borderId="110" xfId="0" applyFont="1" applyFill="1" applyBorder="1" applyAlignment="1" applyProtection="1">
      <alignment horizontal="center"/>
    </xf>
    <xf numFmtId="49" fontId="43" fillId="3" borderId="43" xfId="0" applyNumberFormat="1" applyFont="1" applyFill="1" applyBorder="1" applyAlignment="1" applyProtection="1">
      <alignment horizontal="center"/>
    </xf>
    <xf numFmtId="2" fontId="43" fillId="3" borderId="29" xfId="0" applyNumberFormat="1" applyFont="1" applyFill="1" applyBorder="1" applyAlignment="1" applyProtection="1">
      <alignment horizontal="center"/>
    </xf>
    <xf numFmtId="2" fontId="43" fillId="3" borderId="133" xfId="0" applyNumberFormat="1" applyFont="1" applyFill="1" applyBorder="1" applyAlignment="1" applyProtection="1">
      <alignment horizontal="center"/>
    </xf>
    <xf numFmtId="0" fontId="26" fillId="0" borderId="87" xfId="0" applyFont="1" applyBorder="1" applyAlignment="1" applyProtection="1">
      <alignment horizontal="center"/>
    </xf>
    <xf numFmtId="164" fontId="26" fillId="0" borderId="43" xfId="0" applyNumberFormat="1" applyFont="1" applyBorder="1" applyAlignment="1" applyProtection="1">
      <alignment horizontal="center"/>
    </xf>
    <xf numFmtId="2" fontId="26" fillId="0" borderId="87" xfId="0" applyNumberFormat="1" applyFont="1" applyBorder="1" applyAlignment="1" applyProtection="1">
      <alignment horizontal="center"/>
    </xf>
    <xf numFmtId="2" fontId="26" fillId="0" borderId="134" xfId="0" applyNumberFormat="1" applyFont="1" applyBorder="1" applyAlignment="1" applyProtection="1">
      <alignment horizontal="center"/>
    </xf>
    <xf numFmtId="2" fontId="26" fillId="0" borderId="43" xfId="0" applyNumberFormat="1" applyFont="1" applyBorder="1" applyAlignment="1" applyProtection="1">
      <alignment horizontal="center"/>
    </xf>
    <xf numFmtId="2" fontId="26" fillId="0" borderId="34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right"/>
    </xf>
    <xf numFmtId="0" fontId="43" fillId="11" borderId="135" xfId="0" applyFont="1" applyFill="1" applyBorder="1" applyAlignment="1" applyProtection="1">
      <alignment horizontal="center"/>
    </xf>
    <xf numFmtId="49" fontId="43" fillId="11" borderId="39" xfId="0" applyNumberFormat="1" applyFont="1" applyFill="1" applyBorder="1" applyAlignment="1" applyProtection="1">
      <alignment horizontal="center"/>
    </xf>
    <xf numFmtId="2" fontId="43" fillId="11" borderId="69" xfId="0" applyNumberFormat="1" applyFont="1" applyFill="1" applyBorder="1" applyAlignment="1" applyProtection="1">
      <alignment horizontal="center"/>
    </xf>
    <xf numFmtId="2" fontId="43" fillId="11" borderId="136" xfId="0" applyNumberFormat="1" applyFont="1" applyFill="1" applyBorder="1" applyAlignment="1" applyProtection="1">
      <alignment horizontal="center"/>
    </xf>
    <xf numFmtId="0" fontId="26" fillId="10" borderId="40" xfId="0" applyFont="1" applyFill="1" applyBorder="1" applyAlignment="1" applyProtection="1">
      <alignment horizontal="center"/>
    </xf>
    <xf numFmtId="164" fontId="26" fillId="10" borderId="39" xfId="0" applyNumberFormat="1" applyFont="1" applyFill="1" applyBorder="1" applyAlignment="1" applyProtection="1">
      <alignment horizontal="center"/>
    </xf>
    <xf numFmtId="2" fontId="26" fillId="10" borderId="40" xfId="0" applyNumberFormat="1" applyFont="1" applyFill="1" applyBorder="1" applyAlignment="1" applyProtection="1">
      <alignment horizontal="center"/>
    </xf>
    <xf numFmtId="2" fontId="26" fillId="10" borderId="137" xfId="0" applyNumberFormat="1" applyFont="1" applyFill="1" applyBorder="1" applyAlignment="1" applyProtection="1">
      <alignment horizontal="center"/>
    </xf>
    <xf numFmtId="2" fontId="26" fillId="10" borderId="39" xfId="0" applyNumberFormat="1" applyFont="1" applyFill="1" applyBorder="1" applyAlignment="1" applyProtection="1">
      <alignment horizontal="center"/>
    </xf>
    <xf numFmtId="2" fontId="26" fillId="10" borderId="45" xfId="0" applyNumberFormat="1" applyFont="1" applyFill="1" applyBorder="1" applyAlignment="1" applyProtection="1">
      <alignment horizontal="center"/>
    </xf>
    <xf numFmtId="49" fontId="43" fillId="11" borderId="129" xfId="0" applyNumberFormat="1" applyFont="1" applyFill="1" applyBorder="1" applyAlignment="1" applyProtection="1">
      <alignment horizontal="center"/>
    </xf>
    <xf numFmtId="2" fontId="43" fillId="11" borderId="33" xfId="0" applyNumberFormat="1" applyFont="1" applyFill="1" applyBorder="1" applyAlignment="1" applyProtection="1">
      <alignment horizontal="center"/>
    </xf>
    <xf numFmtId="0" fontId="26" fillId="10" borderId="130" xfId="0" applyFont="1" applyFill="1" applyBorder="1" applyAlignment="1" applyProtection="1">
      <alignment horizontal="center"/>
    </xf>
    <xf numFmtId="0" fontId="32" fillId="0" borderId="0" xfId="0" applyFont="1" applyBorder="1" applyAlignment="1" applyProtection="1">
      <alignment horizontal="center" wrapText="1"/>
    </xf>
    <xf numFmtId="0" fontId="32" fillId="0" borderId="0" xfId="0" applyFont="1" applyBorder="1" applyAlignment="1" applyProtection="1">
      <alignment horizontal="right" wrapText="1"/>
    </xf>
    <xf numFmtId="49" fontId="43" fillId="11" borderId="43" xfId="0" applyNumberFormat="1" applyFont="1" applyFill="1" applyBorder="1" applyAlignment="1" applyProtection="1">
      <alignment horizontal="center"/>
    </xf>
    <xf numFmtId="2" fontId="43" fillId="11" borderId="34" xfId="0" applyNumberFormat="1" applyFont="1" applyFill="1" applyBorder="1" applyAlignment="1" applyProtection="1">
      <alignment horizontal="center"/>
    </xf>
    <xf numFmtId="0" fontId="26" fillId="10" borderId="87" xfId="0" applyFont="1" applyFill="1" applyBorder="1" applyAlignment="1" applyProtection="1">
      <alignment horizontal="center"/>
    </xf>
    <xf numFmtId="0" fontId="34" fillId="0" borderId="0" xfId="0" applyFont="1" applyBorder="1" applyAlignment="1" applyProtection="1">
      <alignment horizontal="center" wrapText="1"/>
    </xf>
    <xf numFmtId="0" fontId="34" fillId="0" borderId="0" xfId="0" applyFont="1" applyBorder="1" applyAlignment="1" applyProtection="1">
      <alignment horizontal="right" wrapText="1"/>
    </xf>
    <xf numFmtId="0" fontId="26" fillId="0" borderId="0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/>
    </xf>
    <xf numFmtId="0" fontId="43" fillId="11" borderId="109" xfId="0" applyFont="1" applyFill="1" applyBorder="1" applyAlignment="1" applyProtection="1">
      <alignment horizontal="center"/>
    </xf>
    <xf numFmtId="49" fontId="43" fillId="11" borderId="19" xfId="0" applyNumberFormat="1" applyFont="1" applyFill="1" applyBorder="1" applyAlignment="1" applyProtection="1">
      <alignment horizontal="center"/>
    </xf>
    <xf numFmtId="2" fontId="43" fillId="11" borderId="5" xfId="0" applyNumberFormat="1" applyFont="1" applyFill="1" applyBorder="1" applyAlignment="1" applyProtection="1">
      <alignment horizontal="center"/>
    </xf>
    <xf numFmtId="2" fontId="43" fillId="11" borderId="122" xfId="0" applyNumberFormat="1" applyFont="1" applyFill="1" applyBorder="1" applyAlignment="1" applyProtection="1">
      <alignment horizontal="center"/>
    </xf>
    <xf numFmtId="0" fontId="26" fillId="10" borderId="7" xfId="0" applyFont="1" applyFill="1" applyBorder="1" applyAlignment="1" applyProtection="1">
      <alignment horizontal="center"/>
    </xf>
    <xf numFmtId="164" fontId="26" fillId="10" borderId="19" xfId="0" applyNumberFormat="1" applyFont="1" applyFill="1" applyBorder="1" applyAlignment="1" applyProtection="1">
      <alignment horizontal="center"/>
    </xf>
    <xf numFmtId="2" fontId="26" fillId="10" borderId="7" xfId="0" applyNumberFormat="1" applyFont="1" applyFill="1" applyBorder="1" applyAlignment="1" applyProtection="1">
      <alignment horizontal="center"/>
    </xf>
    <xf numFmtId="2" fontId="26" fillId="10" borderId="9" xfId="0" applyNumberFormat="1" applyFont="1" applyFill="1" applyBorder="1" applyAlignment="1" applyProtection="1">
      <alignment horizontal="center"/>
    </xf>
    <xf numFmtId="2" fontId="26" fillId="10" borderId="19" xfId="0" applyNumberFormat="1" applyFont="1" applyFill="1" applyBorder="1" applyAlignment="1" applyProtection="1">
      <alignment horizontal="center"/>
    </xf>
    <xf numFmtId="2" fontId="26" fillId="10" borderId="13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164" fontId="26" fillId="10" borderId="131" xfId="0" applyNumberFormat="1" applyFont="1" applyFill="1" applyBorder="1" applyAlignment="1" applyProtection="1">
      <alignment horizontal="center"/>
    </xf>
    <xf numFmtId="164" fontId="26" fillId="10" borderId="9" xfId="0" applyNumberFormat="1" applyFont="1" applyFill="1" applyBorder="1" applyAlignment="1" applyProtection="1">
      <alignment horizontal="center"/>
    </xf>
    <xf numFmtId="2" fontId="26" fillId="10" borderId="79" xfId="0" applyNumberFormat="1" applyFont="1" applyFill="1" applyBorder="1" applyAlignment="1" applyProtection="1">
      <alignment horizontal="center"/>
    </xf>
    <xf numFmtId="0" fontId="26" fillId="0" borderId="0" xfId="0" applyFont="1" applyFill="1" applyProtection="1"/>
    <xf numFmtId="164" fontId="26" fillId="0" borderId="87" xfId="0" applyNumberFormat="1" applyFont="1" applyBorder="1" applyAlignment="1" applyProtection="1">
      <alignment horizontal="center"/>
    </xf>
    <xf numFmtId="164" fontId="26" fillId="10" borderId="130" xfId="0" applyNumberFormat="1" applyFont="1" applyFill="1" applyBorder="1" applyAlignment="1" applyProtection="1">
      <alignment horizontal="center"/>
    </xf>
    <xf numFmtId="164" fontId="26" fillId="10" borderId="7" xfId="0" applyNumberFormat="1" applyFont="1" applyFill="1" applyBorder="1" applyAlignment="1" applyProtection="1">
      <alignment horizontal="center"/>
    </xf>
    <xf numFmtId="164" fontId="26" fillId="10" borderId="13" xfId="0" applyNumberFormat="1" applyFont="1" applyFill="1" applyBorder="1" applyAlignment="1" applyProtection="1">
      <alignment horizontal="center"/>
    </xf>
    <xf numFmtId="164" fontId="26" fillId="0" borderId="130" xfId="0" applyNumberFormat="1" applyFont="1" applyBorder="1" applyAlignment="1" applyProtection="1">
      <alignment horizontal="center"/>
    </xf>
    <xf numFmtId="164" fontId="26" fillId="0" borderId="33" xfId="0" applyNumberFormat="1" applyFont="1" applyBorder="1" applyAlignment="1" applyProtection="1">
      <alignment horizontal="center"/>
    </xf>
    <xf numFmtId="164" fontId="26" fillId="0" borderId="7" xfId="0" applyNumberFormat="1" applyFont="1" applyBorder="1" applyAlignment="1" applyProtection="1">
      <alignment horizontal="center"/>
    </xf>
    <xf numFmtId="164" fontId="26" fillId="0" borderId="13" xfId="0" applyNumberFormat="1" applyFont="1" applyBorder="1" applyAlignment="1" applyProtection="1">
      <alignment horizontal="center"/>
    </xf>
    <xf numFmtId="164" fontId="43" fillId="3" borderId="5" xfId="0" applyNumberFormat="1" applyFont="1" applyFill="1" applyBorder="1" applyAlignment="1" applyProtection="1">
      <alignment horizontal="center"/>
    </xf>
    <xf numFmtId="164" fontId="43" fillId="11" borderId="27" xfId="0" applyNumberFormat="1" applyFont="1" applyFill="1" applyBorder="1" applyAlignment="1" applyProtection="1">
      <alignment horizontal="center"/>
    </xf>
    <xf numFmtId="164" fontId="26" fillId="10" borderId="33" xfId="0" applyNumberFormat="1" applyFont="1" applyFill="1" applyBorder="1" applyAlignment="1" applyProtection="1">
      <alignment horizontal="center"/>
    </xf>
    <xf numFmtId="164" fontId="43" fillId="11" borderId="5" xfId="0" applyNumberFormat="1" applyFont="1" applyFill="1" applyBorder="1" applyAlignment="1" applyProtection="1">
      <alignment horizontal="center"/>
    </xf>
    <xf numFmtId="164" fontId="43" fillId="11" borderId="29" xfId="0" applyNumberFormat="1" applyFont="1" applyFill="1" applyBorder="1" applyAlignment="1" applyProtection="1">
      <alignment horizontal="center"/>
    </xf>
    <xf numFmtId="164" fontId="26" fillId="10" borderId="87" xfId="0" applyNumberFormat="1" applyFont="1" applyFill="1" applyBorder="1" applyAlignment="1" applyProtection="1">
      <alignment horizontal="center"/>
    </xf>
    <xf numFmtId="164" fontId="26" fillId="10" borderId="34" xfId="0" applyNumberFormat="1" applyFont="1" applyFill="1" applyBorder="1" applyAlignment="1" applyProtection="1">
      <alignment horizontal="center"/>
    </xf>
    <xf numFmtId="164" fontId="43" fillId="3" borderId="27" xfId="0" applyNumberFormat="1" applyFont="1" applyFill="1" applyBorder="1" applyAlignment="1" applyProtection="1">
      <alignment horizontal="center"/>
    </xf>
    <xf numFmtId="164" fontId="26" fillId="0" borderId="131" xfId="0" applyNumberFormat="1" applyFont="1" applyFill="1" applyBorder="1" applyAlignment="1" applyProtection="1">
      <alignment horizontal="center"/>
    </xf>
    <xf numFmtId="2" fontId="26" fillId="0" borderId="131" xfId="0" applyNumberFormat="1" applyFont="1" applyFill="1" applyBorder="1" applyAlignment="1" applyProtection="1">
      <alignment horizontal="center"/>
    </xf>
    <xf numFmtId="164" fontId="43" fillId="3" borderId="29" xfId="0" applyNumberFormat="1" applyFont="1" applyFill="1" applyBorder="1" applyAlignment="1" applyProtection="1">
      <alignment horizontal="center"/>
    </xf>
    <xf numFmtId="164" fontId="26" fillId="0" borderId="134" xfId="0" applyNumberFormat="1" applyFont="1" applyFill="1" applyBorder="1" applyAlignment="1" applyProtection="1">
      <alignment horizontal="center"/>
    </xf>
    <xf numFmtId="2" fontId="26" fillId="0" borderId="134" xfId="0" applyNumberFormat="1" applyFont="1" applyFill="1" applyBorder="1" applyAlignment="1" applyProtection="1">
      <alignment horizontal="center"/>
    </xf>
    <xf numFmtId="164" fontId="26" fillId="0" borderId="34" xfId="0" applyNumberFormat="1" applyFont="1" applyBorder="1" applyAlignment="1" applyProtection="1">
      <alignment horizontal="center"/>
    </xf>
    <xf numFmtId="164" fontId="26" fillId="0" borderId="131" xfId="0" applyNumberFormat="1" applyFont="1" applyBorder="1" applyAlignment="1" applyProtection="1">
      <alignment horizontal="center"/>
    </xf>
    <xf numFmtId="164" fontId="26" fillId="0" borderId="9" xfId="0" applyNumberFormat="1" applyFont="1" applyBorder="1" applyAlignment="1" applyProtection="1">
      <alignment horizontal="center"/>
    </xf>
    <xf numFmtId="0" fontId="26" fillId="10" borderId="9" xfId="0" applyFont="1" applyFill="1" applyBorder="1" applyAlignment="1" applyProtection="1">
      <alignment horizontal="center"/>
    </xf>
    <xf numFmtId="2" fontId="43" fillId="0" borderId="0" xfId="0" applyNumberFormat="1" applyFont="1" applyFill="1" applyBorder="1" applyAlignment="1" applyProtection="1">
      <alignment horizontal="center"/>
    </xf>
    <xf numFmtId="164" fontId="26" fillId="0" borderId="9" xfId="0" applyNumberFormat="1" applyFont="1" applyFill="1" applyBorder="1" applyAlignment="1" applyProtection="1">
      <alignment horizontal="center"/>
    </xf>
    <xf numFmtId="0" fontId="43" fillId="0" borderId="0" xfId="0" applyFont="1" applyFill="1" applyBorder="1" applyAlignment="1" applyProtection="1">
      <alignment horizontal="center"/>
    </xf>
    <xf numFmtId="0" fontId="26" fillId="0" borderId="0" xfId="0" applyFont="1" applyAlignment="1" applyProtection="1">
      <alignment horizontal="right"/>
    </xf>
    <xf numFmtId="164" fontId="26" fillId="10" borderId="134" xfId="0" applyNumberFormat="1" applyFont="1" applyFill="1" applyBorder="1" applyAlignment="1" applyProtection="1">
      <alignment horizontal="center"/>
    </xf>
    <xf numFmtId="0" fontId="27" fillId="0" borderId="0" xfId="0" applyFont="1" applyProtection="1"/>
    <xf numFmtId="0" fontId="26" fillId="0" borderId="25" xfId="0" applyFont="1" applyBorder="1" applyAlignment="1" applyProtection="1">
      <alignment horizontal="center"/>
    </xf>
    <xf numFmtId="49" fontId="26" fillId="0" borderId="25" xfId="0" applyNumberFormat="1" applyFont="1" applyBorder="1" applyAlignment="1" applyProtection="1">
      <alignment horizontal="center"/>
    </xf>
    <xf numFmtId="0" fontId="27" fillId="0" borderId="0" xfId="0" applyFont="1" applyAlignment="1" applyProtection="1">
      <alignment horizontal="right"/>
    </xf>
    <xf numFmtId="0" fontId="26" fillId="0" borderId="0" xfId="0" applyFont="1" applyAlignment="1" applyProtection="1">
      <alignment horizontal="center"/>
    </xf>
    <xf numFmtId="49" fontId="26" fillId="0" borderId="0" xfId="0" applyNumberFormat="1" applyFont="1" applyAlignment="1" applyProtection="1">
      <alignment horizontal="center"/>
    </xf>
    <xf numFmtId="0" fontId="24" fillId="0" borderId="0" xfId="0" applyFont="1" applyAlignment="1" applyProtection="1">
      <alignment horizontal="center"/>
      <protection hidden="1"/>
    </xf>
    <xf numFmtId="0" fontId="9" fillId="0" borderId="0" xfId="0" applyFont="1" applyAlignment="1" applyProtection="1">
      <alignment horizontal="left"/>
    </xf>
    <xf numFmtId="49" fontId="0" fillId="0" borderId="0" xfId="0" applyNumberFormat="1" applyAlignment="1" applyProtection="1">
      <alignment horizontal="center"/>
    </xf>
    <xf numFmtId="0" fontId="1" fillId="0" borderId="0" xfId="0" applyFont="1" applyAlignment="1" applyProtection="1">
      <alignment horizontal="left"/>
    </xf>
    <xf numFmtId="49" fontId="24" fillId="0" borderId="0" xfId="0" applyNumberFormat="1" applyFont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center"/>
      <protection hidden="1"/>
    </xf>
    <xf numFmtId="0" fontId="8" fillId="0" borderId="0" xfId="0" applyFont="1" applyAlignment="1" applyProtection="1">
      <alignment horizontal="left"/>
    </xf>
    <xf numFmtId="0" fontId="11" fillId="3" borderId="138" xfId="0" applyFont="1" applyFill="1" applyBorder="1" applyAlignment="1" applyProtection="1">
      <alignment horizontal="center" wrapText="1"/>
    </xf>
    <xf numFmtId="0" fontId="31" fillId="0" borderId="11" xfId="0" applyFont="1" applyBorder="1" applyAlignment="1" applyProtection="1">
      <alignment horizontal="center" wrapText="1"/>
    </xf>
    <xf numFmtId="0" fontId="31" fillId="0" borderId="12" xfId="0" applyFont="1" applyBorder="1" applyAlignment="1" applyProtection="1">
      <alignment horizontal="center" wrapText="1"/>
    </xf>
    <xf numFmtId="0" fontId="5" fillId="0" borderId="1" xfId="0" applyFont="1" applyBorder="1" applyAlignment="1" applyProtection="1">
      <alignment horizontal="center" wrapText="1"/>
    </xf>
    <xf numFmtId="0" fontId="5" fillId="0" borderId="64" xfId="0" applyFont="1" applyBorder="1" applyAlignment="1" applyProtection="1">
      <alignment horizontal="center" wrapText="1"/>
    </xf>
    <xf numFmtId="0" fontId="5" fillId="0" borderId="2" xfId="0" applyFont="1" applyBorder="1" applyAlignment="1" applyProtection="1">
      <alignment horizontal="center" wrapText="1"/>
    </xf>
    <xf numFmtId="0" fontId="5" fillId="0" borderId="3" xfId="0" applyFont="1" applyBorder="1" applyAlignment="1" applyProtection="1">
      <alignment horizontal="center" wrapText="1"/>
    </xf>
    <xf numFmtId="0" fontId="11" fillId="0" borderId="3" xfId="0" applyFont="1" applyBorder="1" applyAlignment="1" applyProtection="1">
      <alignment horizontal="center" wrapText="1"/>
    </xf>
    <xf numFmtId="0" fontId="34" fillId="3" borderId="123" xfId="0" applyFont="1" applyFill="1" applyBorder="1" applyAlignment="1" applyProtection="1">
      <alignment horizontal="center" wrapText="1"/>
    </xf>
    <xf numFmtId="49" fontId="37" fillId="3" borderId="124" xfId="0" applyNumberFormat="1" applyFont="1" applyFill="1" applyBorder="1" applyAlignment="1" applyProtection="1">
      <alignment horizontal="center" wrapText="1"/>
    </xf>
    <xf numFmtId="0" fontId="35" fillId="3" borderId="125" xfId="0" applyFont="1" applyFill="1" applyBorder="1" applyAlignment="1" applyProtection="1">
      <alignment horizontal="center" wrapText="1"/>
    </xf>
    <xf numFmtId="0" fontId="34" fillId="3" borderId="126" xfId="0" applyFont="1" applyFill="1" applyBorder="1" applyAlignment="1" applyProtection="1">
      <alignment horizontal="center" wrapText="1"/>
    </xf>
    <xf numFmtId="0" fontId="34" fillId="0" borderId="6" xfId="0" applyFont="1" applyBorder="1" applyAlignment="1" applyProtection="1">
      <alignment horizontal="center" wrapText="1"/>
    </xf>
    <xf numFmtId="0" fontId="34" fillId="0" borderId="16" xfId="0" applyFont="1" applyBorder="1" applyAlignment="1" applyProtection="1">
      <alignment horizontal="center" wrapText="1"/>
    </xf>
    <xf numFmtId="0" fontId="34" fillId="0" borderId="8" xfId="0" applyFont="1" applyBorder="1" applyAlignment="1" applyProtection="1">
      <alignment horizontal="center" wrapText="1"/>
    </xf>
    <xf numFmtId="0" fontId="34" fillId="0" borderId="23" xfId="0" applyFont="1" applyBorder="1" applyAlignment="1" applyProtection="1">
      <alignment horizontal="center" wrapText="1"/>
    </xf>
    <xf numFmtId="0" fontId="34" fillId="0" borderId="17" xfId="0" applyFont="1" applyBorder="1" applyAlignment="1" applyProtection="1">
      <alignment horizontal="center" wrapText="1"/>
    </xf>
    <xf numFmtId="0" fontId="34" fillId="0" borderId="32" xfId="0" applyFont="1" applyBorder="1" applyAlignment="1" applyProtection="1">
      <alignment horizontal="center" wrapText="1"/>
    </xf>
    <xf numFmtId="0" fontId="34" fillId="0" borderId="14" xfId="0" applyFont="1" applyBorder="1" applyAlignment="1" applyProtection="1">
      <alignment horizontal="center" wrapText="1"/>
    </xf>
    <xf numFmtId="0" fontId="5" fillId="0" borderId="0" xfId="0" applyFont="1" applyProtection="1"/>
    <xf numFmtId="0" fontId="67" fillId="0" borderId="0" xfId="0" applyFont="1" applyAlignment="1" applyProtection="1">
      <alignment horizontal="right"/>
    </xf>
    <xf numFmtId="0" fontId="68" fillId="3" borderId="108" xfId="0" applyFont="1" applyFill="1" applyBorder="1" applyAlignment="1" applyProtection="1">
      <alignment horizontal="center"/>
    </xf>
    <xf numFmtId="49" fontId="68" fillId="3" borderId="127" xfId="0" applyNumberFormat="1" applyFont="1" applyFill="1" applyBorder="1" applyAlignment="1" applyProtection="1">
      <alignment horizontal="center"/>
    </xf>
    <xf numFmtId="2" fontId="68" fillId="3" borderId="27" xfId="0" applyNumberFormat="1" applyFont="1" applyFill="1" applyBorder="1" applyAlignment="1" applyProtection="1">
      <alignment horizontal="left"/>
    </xf>
    <xf numFmtId="2" fontId="68" fillId="3" borderId="128" xfId="0" applyNumberFormat="1" applyFont="1" applyFill="1" applyBorder="1" applyAlignment="1" applyProtection="1">
      <alignment horizontal="center"/>
    </xf>
    <xf numFmtId="0" fontId="5" fillId="0" borderId="27" xfId="0" applyFont="1" applyBorder="1" applyAlignment="1" applyProtection="1">
      <alignment horizontal="center"/>
    </xf>
    <xf numFmtId="164" fontId="5" fillId="0" borderId="129" xfId="0" applyNumberFormat="1" applyFont="1" applyBorder="1" applyAlignment="1" applyProtection="1">
      <alignment horizontal="center"/>
    </xf>
    <xf numFmtId="2" fontId="5" fillId="0" borderId="130" xfId="0" applyNumberFormat="1" applyFont="1" applyBorder="1" applyAlignment="1" applyProtection="1">
      <alignment horizontal="center"/>
    </xf>
    <xf numFmtId="2" fontId="5" fillId="0" borderId="131" xfId="0" applyNumberFormat="1" applyFont="1" applyBorder="1" applyAlignment="1" applyProtection="1">
      <alignment horizontal="center"/>
    </xf>
    <xf numFmtId="2" fontId="5" fillId="0" borderId="129" xfId="0" applyNumberFormat="1" applyFont="1" applyBorder="1" applyAlignment="1" applyProtection="1">
      <alignment horizontal="center"/>
    </xf>
    <xf numFmtId="2" fontId="5" fillId="0" borderId="27" xfId="0" applyNumberFormat="1" applyFont="1" applyBorder="1" applyAlignment="1" applyProtection="1">
      <alignment horizontal="center"/>
    </xf>
    <xf numFmtId="2" fontId="5" fillId="0" borderId="77" xfId="0" applyNumberFormat="1" applyFont="1" applyBorder="1" applyAlignment="1" applyProtection="1">
      <alignment horizontal="center"/>
    </xf>
    <xf numFmtId="2" fontId="5" fillId="0" borderId="33" xfId="0" applyNumberFormat="1" applyFont="1" applyBorder="1" applyAlignment="1" applyProtection="1">
      <alignment horizontal="center"/>
    </xf>
    <xf numFmtId="0" fontId="5" fillId="0" borderId="0" xfId="0" applyFont="1" applyFill="1" applyProtection="1"/>
    <xf numFmtId="0" fontId="5" fillId="0" borderId="130" xfId="0" applyFont="1" applyBorder="1" applyAlignment="1" applyProtection="1">
      <alignment horizontal="center"/>
    </xf>
    <xf numFmtId="0" fontId="43" fillId="3" borderId="135" xfId="0" applyFont="1" applyFill="1" applyBorder="1" applyAlignment="1" applyProtection="1">
      <alignment horizontal="center"/>
    </xf>
    <xf numFmtId="49" fontId="43" fillId="3" borderId="39" xfId="0" applyNumberFormat="1" applyFont="1" applyFill="1" applyBorder="1" applyAlignment="1" applyProtection="1">
      <alignment horizontal="center"/>
    </xf>
    <xf numFmtId="2" fontId="43" fillId="3" borderId="69" xfId="0" applyNumberFormat="1" applyFont="1" applyFill="1" applyBorder="1" applyAlignment="1" applyProtection="1">
      <alignment horizontal="left"/>
    </xf>
    <xf numFmtId="2" fontId="43" fillId="3" borderId="136" xfId="0" applyNumberFormat="1" applyFont="1" applyFill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</xf>
    <xf numFmtId="164" fontId="26" fillId="0" borderId="39" xfId="0" applyNumberFormat="1" applyFont="1" applyBorder="1" applyAlignment="1" applyProtection="1">
      <alignment horizontal="center"/>
    </xf>
    <xf numFmtId="2" fontId="26" fillId="0" borderId="40" xfId="0" applyNumberFormat="1" applyFont="1" applyBorder="1" applyAlignment="1" applyProtection="1">
      <alignment horizontal="center"/>
    </xf>
    <xf numFmtId="2" fontId="26" fillId="0" borderId="137" xfId="0" applyNumberFormat="1" applyFont="1" applyBorder="1" applyAlignment="1" applyProtection="1">
      <alignment horizontal="center"/>
    </xf>
    <xf numFmtId="2" fontId="26" fillId="0" borderId="39" xfId="0" applyNumberFormat="1" applyFont="1" applyBorder="1" applyAlignment="1" applyProtection="1">
      <alignment horizontal="center"/>
    </xf>
    <xf numFmtId="2" fontId="26" fillId="0" borderId="45" xfId="0" applyNumberFormat="1" applyFont="1" applyBorder="1" applyAlignment="1" applyProtection="1">
      <alignment horizontal="center"/>
    </xf>
    <xf numFmtId="2" fontId="43" fillId="3" borderId="27" xfId="0" applyNumberFormat="1" applyFont="1" applyFill="1" applyBorder="1" applyAlignment="1" applyProtection="1">
      <alignment horizontal="left"/>
    </xf>
    <xf numFmtId="2" fontId="43" fillId="3" borderId="33" xfId="0" applyNumberFormat="1" applyFont="1" applyFill="1" applyBorder="1" applyAlignment="1" applyProtection="1">
      <alignment horizontal="left"/>
    </xf>
    <xf numFmtId="164" fontId="43" fillId="3" borderId="27" xfId="0" applyNumberFormat="1" applyFont="1" applyFill="1" applyBorder="1" applyAlignment="1" applyProtection="1">
      <alignment horizontal="left"/>
    </xf>
    <xf numFmtId="0" fontId="26" fillId="0" borderId="9" xfId="0" applyFont="1" applyFill="1" applyBorder="1" applyAlignment="1" applyProtection="1">
      <alignment horizontal="center"/>
    </xf>
    <xf numFmtId="0" fontId="43" fillId="3" borderId="139" xfId="0" applyFont="1" applyFill="1" applyBorder="1" applyAlignment="1" applyProtection="1">
      <alignment horizontal="center"/>
    </xf>
    <xf numFmtId="49" fontId="43" fillId="3" borderId="140" xfId="0" applyNumberFormat="1" applyFont="1" applyFill="1" applyBorder="1" applyAlignment="1" applyProtection="1">
      <alignment horizontal="center"/>
    </xf>
    <xf numFmtId="164" fontId="43" fillId="3" borderId="141" xfId="0" applyNumberFormat="1" applyFont="1" applyFill="1" applyBorder="1" applyAlignment="1" applyProtection="1">
      <alignment horizontal="left"/>
    </xf>
    <xf numFmtId="2" fontId="43" fillId="3" borderId="142" xfId="0" applyNumberFormat="1" applyFont="1" applyFill="1" applyBorder="1" applyAlignment="1" applyProtection="1">
      <alignment horizontal="center"/>
    </xf>
    <xf numFmtId="0" fontId="26" fillId="0" borderId="143" xfId="0" applyFont="1" applyBorder="1" applyAlignment="1" applyProtection="1">
      <alignment horizontal="center"/>
    </xf>
    <xf numFmtId="164" fontId="26" fillId="0" borderId="144" xfId="0" applyNumberFormat="1" applyFont="1" applyBorder="1" applyAlignment="1" applyProtection="1">
      <alignment horizontal="center"/>
    </xf>
    <xf numFmtId="164" fontId="26" fillId="0" borderId="143" xfId="0" applyNumberFormat="1" applyFont="1" applyBorder="1" applyAlignment="1" applyProtection="1">
      <alignment horizontal="center"/>
    </xf>
    <xf numFmtId="164" fontId="26" fillId="0" borderId="145" xfId="0" applyNumberFormat="1" applyFont="1" applyBorder="1" applyAlignment="1" applyProtection="1">
      <alignment horizontal="center"/>
    </xf>
    <xf numFmtId="2" fontId="26" fillId="0" borderId="144" xfId="0" applyNumberFormat="1" applyFont="1" applyBorder="1" applyAlignment="1" applyProtection="1">
      <alignment horizontal="center"/>
    </xf>
    <xf numFmtId="164" fontId="26" fillId="0" borderId="72" xfId="0" applyNumberFormat="1" applyFont="1" applyBorder="1" applyAlignment="1" applyProtection="1">
      <alignment horizontal="center"/>
    </xf>
    <xf numFmtId="2" fontId="26" fillId="0" borderId="72" xfId="0" applyNumberFormat="1" applyFont="1" applyBorder="1" applyAlignment="1" applyProtection="1">
      <alignment horizontal="center"/>
    </xf>
    <xf numFmtId="0" fontId="0" fillId="17" borderId="63" xfId="0" quotePrefix="1" applyFill="1" applyBorder="1" applyAlignment="1" applyProtection="1">
      <alignment horizontal="center"/>
      <protection hidden="1"/>
    </xf>
    <xf numFmtId="49" fontId="64" fillId="17" borderId="62" xfId="0" applyNumberFormat="1" applyFont="1" applyFill="1" applyBorder="1" applyAlignment="1" applyProtection="1">
      <alignment horizontal="right"/>
      <protection hidden="1"/>
    </xf>
    <xf numFmtId="0" fontId="64" fillId="17" borderId="62" xfId="0" applyNumberFormat="1" applyFont="1" applyFill="1" applyBorder="1" applyAlignment="1" applyProtection="1">
      <alignment horizontal="right"/>
      <protection hidden="1"/>
    </xf>
    <xf numFmtId="0" fontId="9" fillId="17" borderId="95" xfId="0" applyFont="1" applyFill="1" applyBorder="1" applyAlignment="1" applyProtection="1">
      <alignment horizontal="left"/>
      <protection hidden="1"/>
    </xf>
    <xf numFmtId="0" fontId="0" fillId="15" borderId="24" xfId="0" applyFill="1" applyBorder="1" applyProtection="1">
      <protection locked="0"/>
    </xf>
    <xf numFmtId="0" fontId="73" fillId="0" borderId="146" xfId="0" applyFont="1" applyFill="1" applyBorder="1" applyAlignment="1" applyProtection="1">
      <alignment horizontal="left"/>
      <protection hidden="1"/>
    </xf>
    <xf numFmtId="0" fontId="5" fillId="11" borderId="34" xfId="0" applyFont="1" applyFill="1" applyBorder="1" applyAlignment="1" applyProtection="1">
      <alignment horizontal="right"/>
      <protection locked="0"/>
    </xf>
    <xf numFmtId="0" fontId="5" fillId="11" borderId="33" xfId="0" applyFont="1" applyFill="1" applyBorder="1" applyAlignment="1" applyProtection="1">
      <alignment horizontal="right"/>
      <protection locked="0"/>
    </xf>
    <xf numFmtId="0" fontId="0" fillId="11" borderId="7" xfId="0" applyFill="1" applyBorder="1" applyProtection="1">
      <protection locked="0"/>
    </xf>
    <xf numFmtId="0" fontId="0" fillId="4" borderId="11" xfId="0" applyFill="1" applyBorder="1" applyProtection="1"/>
    <xf numFmtId="0" fontId="0" fillId="4" borderId="42" xfId="0" applyFill="1" applyBorder="1" applyProtection="1"/>
    <xf numFmtId="0" fontId="39" fillId="4" borderId="42" xfId="0" applyFont="1" applyFill="1" applyBorder="1" applyAlignment="1" applyProtection="1">
      <alignment horizontal="center"/>
    </xf>
    <xf numFmtId="0" fontId="0" fillId="2" borderId="11" xfId="0" applyFill="1" applyBorder="1" applyProtection="1"/>
    <xf numFmtId="0" fontId="0" fillId="2" borderId="42" xfId="0" applyFill="1" applyBorder="1" applyProtection="1"/>
    <xf numFmtId="0" fontId="0" fillId="2" borderId="41" xfId="0" applyFill="1" applyBorder="1" applyProtection="1"/>
    <xf numFmtId="0" fontId="0" fillId="4" borderId="5" xfId="0" applyFill="1" applyBorder="1" applyProtection="1"/>
    <xf numFmtId="0" fontId="26" fillId="0" borderId="94" xfId="0" applyFont="1" applyFill="1" applyBorder="1" applyAlignment="1" applyProtection="1">
      <alignment horizontal="center"/>
    </xf>
    <xf numFmtId="0" fontId="1" fillId="4" borderId="62" xfId="0" applyFont="1" applyFill="1" applyBorder="1" applyAlignment="1" applyProtection="1">
      <alignment horizontal="right"/>
    </xf>
    <xf numFmtId="0" fontId="81" fillId="4" borderId="91" xfId="0" applyFont="1" applyFill="1" applyBorder="1" applyAlignment="1" applyProtection="1">
      <alignment horizontal="left"/>
    </xf>
    <xf numFmtId="0" fontId="0" fillId="2" borderId="5" xfId="0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right"/>
    </xf>
    <xf numFmtId="0" fontId="0" fillId="2" borderId="0" xfId="0" applyFill="1" applyBorder="1" applyProtection="1"/>
    <xf numFmtId="0" fontId="0" fillId="2" borderId="31" xfId="0" applyFill="1" applyBorder="1" applyProtection="1"/>
    <xf numFmtId="0" fontId="1" fillId="4" borderId="59" xfId="0" applyFont="1" applyFill="1" applyBorder="1" applyAlignment="1" applyProtection="1">
      <alignment horizontal="right"/>
    </xf>
    <xf numFmtId="0" fontId="81" fillId="4" borderId="92" xfId="0" applyFont="1" applyFill="1" applyBorder="1" applyAlignment="1" applyProtection="1">
      <alignment horizontal="left"/>
    </xf>
    <xf numFmtId="0" fontId="16" fillId="0" borderId="0" xfId="0" applyFont="1" applyProtection="1"/>
    <xf numFmtId="0" fontId="5" fillId="4" borderId="0" xfId="0" applyFont="1" applyFill="1" applyBorder="1" applyAlignment="1" applyProtection="1">
      <alignment horizontal="right"/>
    </xf>
    <xf numFmtId="0" fontId="81" fillId="4" borderId="31" xfId="0" applyFont="1" applyFill="1" applyBorder="1" applyAlignment="1" applyProtection="1">
      <alignment horizontal="left"/>
    </xf>
    <xf numFmtId="0" fontId="26" fillId="2" borderId="5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2" borderId="31" xfId="0" applyFill="1" applyBorder="1" applyAlignment="1" applyProtection="1">
      <alignment horizontal="center"/>
    </xf>
    <xf numFmtId="0" fontId="0" fillId="4" borderId="103" xfId="0" applyFill="1" applyBorder="1" applyAlignment="1" applyProtection="1">
      <alignment horizontal="center"/>
    </xf>
    <xf numFmtId="0" fontId="5" fillId="4" borderId="81" xfId="0" applyFont="1" applyFill="1" applyBorder="1" applyAlignment="1" applyProtection="1">
      <alignment horizontal="right"/>
    </xf>
    <xf numFmtId="0" fontId="0" fillId="4" borderId="81" xfId="0" applyFill="1" applyBorder="1" applyAlignment="1" applyProtection="1">
      <alignment horizontal="center"/>
    </xf>
    <xf numFmtId="0" fontId="73" fillId="4" borderId="98" xfId="0" applyFont="1" applyFill="1" applyBorder="1" applyAlignment="1" applyProtection="1">
      <alignment horizontal="left"/>
      <protection hidden="1"/>
    </xf>
    <xf numFmtId="0" fontId="82" fillId="2" borderId="5" xfId="0" applyFont="1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4" xfId="0" applyFill="1" applyBorder="1" applyAlignment="1" applyProtection="1">
      <alignment horizontal="center"/>
    </xf>
    <xf numFmtId="0" fontId="0" fillId="2" borderId="32" xfId="0" applyFill="1" applyBorder="1" applyAlignment="1" applyProtection="1">
      <alignment horizontal="center"/>
    </xf>
    <xf numFmtId="0" fontId="64" fillId="0" borderId="0" xfId="0" applyFont="1" applyAlignment="1" applyProtection="1">
      <alignment horizontal="center"/>
    </xf>
    <xf numFmtId="0" fontId="6" fillId="0" borderId="1" xfId="0" applyFont="1" applyBorder="1" applyAlignment="1" applyProtection="1">
      <alignment horizontal="center" wrapText="1"/>
    </xf>
    <xf numFmtId="0" fontId="6" fillId="0" borderId="12" xfId="0" applyFont="1" applyBorder="1" applyAlignment="1" applyProtection="1">
      <alignment horizontal="center" wrapText="1"/>
    </xf>
    <xf numFmtId="0" fontId="5" fillId="0" borderId="12" xfId="0" applyFont="1" applyBorder="1" applyAlignment="1" applyProtection="1">
      <alignment horizontal="center" wrapText="1"/>
    </xf>
    <xf numFmtId="0" fontId="5" fillId="0" borderId="82" xfId="0" applyFont="1" applyBorder="1" applyAlignment="1" applyProtection="1">
      <alignment horizontal="center" wrapText="1"/>
    </xf>
    <xf numFmtId="0" fontId="12" fillId="0" borderId="0" xfId="0" applyFont="1" applyAlignment="1" applyProtection="1">
      <alignment horizontal="center"/>
    </xf>
    <xf numFmtId="0" fontId="12" fillId="0" borderId="7" xfId="0" applyFont="1" applyBorder="1" applyAlignment="1" applyProtection="1">
      <alignment horizontal="center"/>
    </xf>
    <xf numFmtId="0" fontId="12" fillId="0" borderId="15" xfId="0" applyFont="1" applyBorder="1" applyAlignment="1" applyProtection="1">
      <alignment horizontal="center"/>
    </xf>
    <xf numFmtId="0" fontId="6" fillId="0" borderId="15" xfId="0" applyFont="1" applyBorder="1" applyAlignment="1" applyProtection="1">
      <alignment horizontal="center"/>
    </xf>
    <xf numFmtId="0" fontId="12" fillId="0" borderId="5" xfId="0" applyFont="1" applyBorder="1" applyAlignment="1" applyProtection="1">
      <alignment horizontal="center"/>
    </xf>
    <xf numFmtId="0" fontId="12" fillId="0" borderId="79" xfId="0" applyFont="1" applyBorder="1" applyAlignment="1" applyProtection="1">
      <alignment horizontal="center"/>
    </xf>
    <xf numFmtId="0" fontId="12" fillId="0" borderId="19" xfId="0" applyFont="1" applyBorder="1" applyAlignment="1" applyProtection="1">
      <alignment horizontal="center"/>
    </xf>
    <xf numFmtId="0" fontId="17" fillId="0" borderId="0" xfId="0" applyFont="1" applyAlignment="1" applyProtection="1">
      <alignment horizontal="center"/>
    </xf>
    <xf numFmtId="0" fontId="16" fillId="0" borderId="0" xfId="0" applyFont="1" applyAlignment="1" applyProtection="1">
      <alignment horizontal="center" vertical="center"/>
    </xf>
    <xf numFmtId="0" fontId="17" fillId="0" borderId="8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6" xfId="0" applyFont="1" applyBorder="1" applyAlignment="1" applyProtection="1">
      <alignment horizontal="center"/>
    </xf>
    <xf numFmtId="0" fontId="20" fillId="0" borderId="6" xfId="0" applyFont="1" applyBorder="1" applyAlignment="1" applyProtection="1">
      <alignment horizontal="center"/>
    </xf>
    <xf numFmtId="0" fontId="17" fillId="0" borderId="23" xfId="0" applyFont="1" applyBorder="1" applyAlignment="1" applyProtection="1">
      <alignment horizontal="center"/>
    </xf>
    <xf numFmtId="0" fontId="17" fillId="0" borderId="17" xfId="0" applyFont="1" applyBorder="1" applyAlignment="1" applyProtection="1">
      <alignment horizontal="center"/>
    </xf>
    <xf numFmtId="0" fontId="50" fillId="0" borderId="0" xfId="0" applyFont="1" applyAlignment="1" applyProtection="1">
      <alignment horizontal="right"/>
    </xf>
    <xf numFmtId="0" fontId="0" fillId="12" borderId="1" xfId="0" applyFill="1" applyBorder="1" applyProtection="1"/>
    <xf numFmtId="1" fontId="8" fillId="12" borderId="82" xfId="0" applyNumberFormat="1" applyFont="1" applyFill="1" applyBorder="1" applyAlignment="1" applyProtection="1">
      <alignment horizontal="center"/>
    </xf>
    <xf numFmtId="2" fontId="8" fillId="12" borderId="3" xfId="0" applyNumberFormat="1" applyFont="1" applyFill="1" applyBorder="1" applyAlignment="1" applyProtection="1">
      <alignment horizontal="center" wrapText="1"/>
    </xf>
    <xf numFmtId="2" fontId="0" fillId="12" borderId="41" xfId="0" applyNumberFormat="1" applyFill="1" applyBorder="1" applyAlignment="1" applyProtection="1">
      <alignment horizontal="center"/>
    </xf>
    <xf numFmtId="2" fontId="26" fillId="10" borderId="1" xfId="0" applyNumberFormat="1" applyFont="1" applyFill="1" applyBorder="1" applyAlignment="1" applyProtection="1">
      <alignment horizontal="center"/>
    </xf>
    <xf numFmtId="2" fontId="26" fillId="10" borderId="82" xfId="0" applyNumberFormat="1" applyFont="1" applyFill="1" applyBorder="1" applyAlignment="1" applyProtection="1">
      <alignment horizontal="center"/>
    </xf>
    <xf numFmtId="2" fontId="26" fillId="10" borderId="64" xfId="0" applyNumberFormat="1" applyFont="1" applyFill="1" applyBorder="1" applyAlignment="1" applyProtection="1">
      <alignment horizontal="center"/>
    </xf>
    <xf numFmtId="2" fontId="26" fillId="10" borderId="2" xfId="0" applyNumberFormat="1" applyFont="1" applyFill="1" applyBorder="1" applyAlignment="1" applyProtection="1">
      <alignment horizontal="center"/>
    </xf>
    <xf numFmtId="0" fontId="0" fillId="11" borderId="7" xfId="0" applyFill="1" applyBorder="1" applyProtection="1"/>
    <xf numFmtId="1" fontId="8" fillId="11" borderId="79" xfId="0" applyNumberFormat="1" applyFont="1" applyFill="1" applyBorder="1" applyAlignment="1" applyProtection="1">
      <alignment horizontal="center"/>
    </xf>
    <xf numFmtId="2" fontId="8" fillId="11" borderId="13" xfId="0" applyNumberFormat="1" applyFont="1" applyFill="1" applyBorder="1" applyAlignment="1" applyProtection="1">
      <alignment horizontal="center" wrapText="1"/>
    </xf>
    <xf numFmtId="2" fontId="0" fillId="11" borderId="31" xfId="0" applyNumberFormat="1" applyFill="1" applyBorder="1" applyAlignment="1" applyProtection="1">
      <alignment horizontal="center"/>
    </xf>
    <xf numFmtId="2" fontId="26" fillId="0" borderId="7" xfId="0" applyNumberFormat="1" applyFont="1" applyFill="1" applyBorder="1" applyAlignment="1" applyProtection="1">
      <alignment horizontal="center"/>
    </xf>
    <xf numFmtId="2" fontId="26" fillId="0" borderId="79" xfId="0" applyNumberFormat="1" applyFont="1" applyFill="1" applyBorder="1" applyAlignment="1" applyProtection="1">
      <alignment horizontal="center"/>
    </xf>
    <xf numFmtId="2" fontId="26" fillId="0" borderId="9" xfId="0" applyNumberFormat="1" applyFont="1" applyFill="1" applyBorder="1" applyAlignment="1" applyProtection="1">
      <alignment horizontal="center"/>
    </xf>
    <xf numFmtId="2" fontId="26" fillId="0" borderId="19" xfId="0" applyNumberFormat="1" applyFont="1" applyFill="1" applyBorder="1" applyAlignment="1" applyProtection="1">
      <alignment horizontal="center"/>
    </xf>
    <xf numFmtId="0" fontId="0" fillId="12" borderId="7" xfId="0" applyFill="1" applyBorder="1" applyProtection="1"/>
    <xf numFmtId="1" fontId="8" fillId="12" borderId="79" xfId="0" applyNumberFormat="1" applyFont="1" applyFill="1" applyBorder="1" applyAlignment="1" applyProtection="1">
      <alignment horizontal="center"/>
    </xf>
    <xf numFmtId="2" fontId="8" fillId="12" borderId="13" xfId="0" applyNumberFormat="1" applyFont="1" applyFill="1" applyBorder="1" applyAlignment="1" applyProtection="1">
      <alignment horizontal="center" wrapText="1"/>
    </xf>
    <xf numFmtId="2" fontId="0" fillId="12" borderId="31" xfId="0" applyNumberFormat="1" applyFill="1" applyBorder="1" applyAlignment="1" applyProtection="1">
      <alignment horizontal="center"/>
    </xf>
    <xf numFmtId="0" fontId="99" fillId="0" borderId="0" xfId="0" applyFont="1" applyAlignment="1" applyProtection="1">
      <alignment horizontal="right"/>
    </xf>
    <xf numFmtId="0" fontId="0" fillId="12" borderId="8" xfId="0" applyFill="1" applyBorder="1" applyProtection="1"/>
    <xf numFmtId="1" fontId="8" fillId="12" borderId="23" xfId="0" applyNumberFormat="1" applyFont="1" applyFill="1" applyBorder="1" applyAlignment="1" applyProtection="1">
      <alignment horizontal="center"/>
    </xf>
    <xf numFmtId="2" fontId="8" fillId="12" borderId="14" xfId="0" applyNumberFormat="1" applyFont="1" applyFill="1" applyBorder="1" applyAlignment="1" applyProtection="1">
      <alignment horizontal="center" wrapText="1"/>
    </xf>
    <xf numFmtId="2" fontId="0" fillId="12" borderId="32" xfId="0" applyNumberFormat="1" applyFill="1" applyBorder="1" applyAlignment="1" applyProtection="1">
      <alignment horizontal="center"/>
    </xf>
    <xf numFmtId="2" fontId="26" fillId="10" borderId="8" xfId="0" applyNumberFormat="1" applyFont="1" applyFill="1" applyBorder="1" applyAlignment="1" applyProtection="1">
      <alignment horizontal="center"/>
    </xf>
    <xf numFmtId="2" fontId="26" fillId="10" borderId="23" xfId="0" applyNumberFormat="1" applyFont="1" applyFill="1" applyBorder="1" applyAlignment="1" applyProtection="1">
      <alignment horizontal="center"/>
    </xf>
    <xf numFmtId="2" fontId="26" fillId="10" borderId="10" xfId="0" applyNumberFormat="1" applyFont="1" applyFill="1" applyBorder="1" applyAlignment="1" applyProtection="1">
      <alignment horizontal="center"/>
    </xf>
    <xf numFmtId="2" fontId="26" fillId="10" borderId="17" xfId="0" applyNumberFormat="1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 vertical="center"/>
    </xf>
    <xf numFmtId="1" fontId="8" fillId="0" borderId="0" xfId="0" applyNumberFormat="1" applyFont="1" applyFill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 wrapText="1"/>
    </xf>
    <xf numFmtId="2" fontId="0" fillId="0" borderId="0" xfId="0" applyNumberFormat="1" applyFill="1" applyBorder="1" applyAlignment="1" applyProtection="1">
      <alignment horizontal="center"/>
    </xf>
    <xf numFmtId="2" fontId="26" fillId="0" borderId="0" xfId="0" applyNumberFormat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right"/>
    </xf>
    <xf numFmtId="0" fontId="16" fillId="0" borderId="0" xfId="0" applyFont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79" fillId="0" borderId="0" xfId="0" applyFont="1" applyProtection="1"/>
    <xf numFmtId="0" fontId="80" fillId="0" borderId="0" xfId="0" applyFont="1" applyProtection="1"/>
    <xf numFmtId="0" fontId="0" fillId="4" borderId="41" xfId="0" applyFill="1" applyBorder="1" applyProtection="1"/>
    <xf numFmtId="0" fontId="0" fillId="4" borderId="0" xfId="0" applyFill="1" applyBorder="1" applyProtection="1"/>
    <xf numFmtId="0" fontId="1" fillId="2" borderId="5" xfId="0" applyFont="1" applyFill="1" applyBorder="1" applyAlignment="1" applyProtection="1">
      <alignment horizontal="right"/>
    </xf>
    <xf numFmtId="0" fontId="81" fillId="2" borderId="0" xfId="0" applyFont="1" applyFill="1" applyBorder="1" applyAlignment="1" applyProtection="1">
      <alignment horizontal="left"/>
    </xf>
    <xf numFmtId="0" fontId="0" fillId="4" borderId="81" xfId="0" applyFill="1" applyBorder="1" applyProtection="1"/>
    <xf numFmtId="0" fontId="0" fillId="2" borderId="5" xfId="0" applyFill="1" applyBorder="1" applyProtection="1"/>
    <xf numFmtId="0" fontId="73" fillId="2" borderId="0" xfId="0" applyFont="1" applyFill="1" applyBorder="1" applyAlignment="1" applyProtection="1">
      <alignment horizontal="left"/>
      <protection hidden="1"/>
    </xf>
    <xf numFmtId="0" fontId="6" fillId="0" borderId="11" xfId="0" applyFont="1" applyBorder="1" applyAlignment="1" applyProtection="1">
      <alignment horizontal="center" wrapText="1"/>
    </xf>
    <xf numFmtId="0" fontId="91" fillId="0" borderId="0" xfId="0" applyFont="1" applyAlignment="1" applyProtection="1">
      <alignment horizontal="center" vertical="center"/>
    </xf>
    <xf numFmtId="0" fontId="0" fillId="12" borderId="82" xfId="0" applyFill="1" applyBorder="1" applyProtection="1"/>
    <xf numFmtId="0" fontId="0" fillId="11" borderId="79" xfId="0" applyFill="1" applyBorder="1" applyProtection="1"/>
    <xf numFmtId="0" fontId="0" fillId="12" borderId="79" xfId="0" applyFill="1" applyBorder="1" applyProtection="1"/>
    <xf numFmtId="0" fontId="0" fillId="17" borderId="7" xfId="0" applyFill="1" applyBorder="1" applyProtection="1"/>
    <xf numFmtId="0" fontId="0" fillId="17" borderId="79" xfId="0" applyFill="1" applyBorder="1" applyProtection="1"/>
    <xf numFmtId="1" fontId="8" fillId="17" borderId="79" xfId="0" applyNumberFormat="1" applyFont="1" applyFill="1" applyBorder="1" applyAlignment="1" applyProtection="1">
      <alignment horizontal="center"/>
    </xf>
    <xf numFmtId="2" fontId="8" fillId="17" borderId="13" xfId="0" applyNumberFormat="1" applyFont="1" applyFill="1" applyBorder="1" applyAlignment="1" applyProtection="1">
      <alignment horizontal="center" wrapText="1"/>
    </xf>
    <xf numFmtId="2" fontId="0" fillId="17" borderId="31" xfId="0" applyNumberFormat="1" applyFill="1" applyBorder="1" applyAlignment="1" applyProtection="1">
      <alignment horizontal="center"/>
    </xf>
    <xf numFmtId="2" fontId="26" fillId="17" borderId="7" xfId="0" applyNumberFormat="1" applyFont="1" applyFill="1" applyBorder="1" applyAlignment="1" applyProtection="1">
      <alignment horizontal="center"/>
    </xf>
    <xf numFmtId="2" fontId="26" fillId="17" borderId="79" xfId="0" applyNumberFormat="1" applyFont="1" applyFill="1" applyBorder="1" applyAlignment="1" applyProtection="1">
      <alignment horizontal="center"/>
    </xf>
    <xf numFmtId="2" fontId="26" fillId="17" borderId="9" xfId="0" applyNumberFormat="1" applyFont="1" applyFill="1" applyBorder="1" applyAlignment="1" applyProtection="1">
      <alignment horizontal="center"/>
    </xf>
    <xf numFmtId="2" fontId="26" fillId="17" borderId="19" xfId="0" applyNumberFormat="1" applyFont="1" applyFill="1" applyBorder="1" applyAlignment="1" applyProtection="1">
      <alignment horizontal="center"/>
    </xf>
    <xf numFmtId="0" fontId="0" fillId="12" borderId="23" xfId="0" applyFill="1" applyBorder="1" applyProtection="1"/>
    <xf numFmtId="0" fontId="91" fillId="0" borderId="0" xfId="0" applyFont="1" applyBorder="1" applyProtection="1"/>
    <xf numFmtId="164" fontId="8" fillId="11" borderId="79" xfId="0" applyNumberFormat="1" applyFont="1" applyFill="1" applyBorder="1" applyAlignment="1" applyProtection="1">
      <alignment horizontal="center"/>
      <protection locked="0"/>
    </xf>
    <xf numFmtId="0" fontId="0" fillId="0" borderId="147" xfId="0" applyBorder="1" applyProtection="1">
      <protection locked="0"/>
    </xf>
    <xf numFmtId="0" fontId="101" fillId="0" borderId="0" xfId="0" applyFont="1" applyProtection="1"/>
    <xf numFmtId="0" fontId="0" fillId="2" borderId="11" xfId="0" applyFill="1" applyBorder="1" applyAlignment="1" applyProtection="1">
      <alignment horizontal="center"/>
    </xf>
    <xf numFmtId="0" fontId="102" fillId="0" borderId="0" xfId="0" applyFont="1" applyAlignment="1" applyProtection="1">
      <alignment horizontal="center"/>
    </xf>
    <xf numFmtId="0" fontId="103" fillId="0" borderId="0" xfId="0" applyFont="1" applyAlignment="1" applyProtection="1">
      <alignment horizontal="center"/>
    </xf>
    <xf numFmtId="0" fontId="108" fillId="0" borderId="0" xfId="0" applyFont="1" applyAlignment="1" applyProtection="1">
      <alignment horizontal="center" vertical="center"/>
    </xf>
    <xf numFmtId="0" fontId="101" fillId="0" borderId="0" xfId="0" applyFont="1" applyAlignment="1" applyProtection="1">
      <alignment horizontal="right"/>
    </xf>
    <xf numFmtId="164" fontId="8" fillId="12" borderId="82" xfId="0" applyNumberFormat="1" applyFont="1" applyFill="1" applyBorder="1" applyAlignment="1" applyProtection="1">
      <alignment horizontal="center"/>
    </xf>
    <xf numFmtId="165" fontId="8" fillId="12" borderId="3" xfId="0" applyNumberFormat="1" applyFont="1" applyFill="1" applyBorder="1" applyAlignment="1" applyProtection="1">
      <alignment horizontal="center" wrapText="1"/>
    </xf>
    <xf numFmtId="165" fontId="0" fillId="12" borderId="41" xfId="0" applyNumberFormat="1" applyFill="1" applyBorder="1" applyAlignment="1" applyProtection="1">
      <alignment horizontal="center"/>
    </xf>
    <xf numFmtId="167" fontId="26" fillId="10" borderId="1" xfId="0" applyNumberFormat="1" applyFont="1" applyFill="1" applyBorder="1" applyAlignment="1" applyProtection="1">
      <alignment horizontal="center"/>
    </xf>
    <xf numFmtId="167" fontId="26" fillId="10" borderId="82" xfId="0" applyNumberFormat="1" applyFont="1" applyFill="1" applyBorder="1" applyAlignment="1" applyProtection="1">
      <alignment horizontal="center"/>
    </xf>
    <xf numFmtId="164" fontId="8" fillId="11" borderId="79" xfId="0" applyNumberFormat="1" applyFont="1" applyFill="1" applyBorder="1" applyAlignment="1" applyProtection="1">
      <alignment horizontal="center"/>
    </xf>
    <xf numFmtId="165" fontId="8" fillId="11" borderId="13" xfId="0" applyNumberFormat="1" applyFont="1" applyFill="1" applyBorder="1" applyAlignment="1" applyProtection="1">
      <alignment horizontal="center" wrapText="1"/>
    </xf>
    <xf numFmtId="165" fontId="0" fillId="11" borderId="31" xfId="0" applyNumberFormat="1" applyFill="1" applyBorder="1" applyAlignment="1" applyProtection="1">
      <alignment horizontal="center"/>
    </xf>
    <xf numFmtId="167" fontId="26" fillId="0" borderId="7" xfId="0" applyNumberFormat="1" applyFont="1" applyFill="1" applyBorder="1" applyAlignment="1" applyProtection="1">
      <alignment horizontal="center"/>
    </xf>
    <xf numFmtId="167" fontId="26" fillId="0" borderId="9" xfId="0" applyNumberFormat="1" applyFont="1" applyFill="1" applyBorder="1" applyAlignment="1" applyProtection="1">
      <alignment horizontal="center"/>
    </xf>
    <xf numFmtId="167" fontId="26" fillId="0" borderId="79" xfId="0" applyNumberFormat="1" applyFont="1" applyFill="1" applyBorder="1" applyAlignment="1" applyProtection="1">
      <alignment horizontal="center"/>
    </xf>
    <xf numFmtId="164" fontId="8" fillId="12" borderId="79" xfId="0" applyNumberFormat="1" applyFont="1" applyFill="1" applyBorder="1" applyAlignment="1" applyProtection="1">
      <alignment horizontal="center"/>
    </xf>
    <xf numFmtId="165" fontId="8" fillId="12" borderId="13" xfId="0" applyNumberFormat="1" applyFont="1" applyFill="1" applyBorder="1" applyAlignment="1" applyProtection="1">
      <alignment horizontal="center" wrapText="1"/>
    </xf>
    <xf numFmtId="165" fontId="0" fillId="12" borderId="31" xfId="0" applyNumberFormat="1" applyFill="1" applyBorder="1" applyAlignment="1" applyProtection="1">
      <alignment horizontal="center"/>
    </xf>
    <xf numFmtId="167" fontId="26" fillId="10" borderId="7" xfId="0" applyNumberFormat="1" applyFont="1" applyFill="1" applyBorder="1" applyAlignment="1" applyProtection="1">
      <alignment horizontal="center"/>
    </xf>
    <xf numFmtId="167" fontId="26" fillId="10" borderId="9" xfId="0" applyNumberFormat="1" applyFont="1" applyFill="1" applyBorder="1" applyAlignment="1" applyProtection="1">
      <alignment horizontal="center"/>
    </xf>
    <xf numFmtId="167" fontId="26" fillId="10" borderId="79" xfId="0" applyNumberFormat="1" applyFont="1" applyFill="1" applyBorder="1" applyAlignment="1" applyProtection="1">
      <alignment horizontal="center"/>
    </xf>
    <xf numFmtId="165" fontId="26" fillId="0" borderId="9" xfId="0" applyNumberFormat="1" applyFont="1" applyFill="1" applyBorder="1" applyAlignment="1" applyProtection="1">
      <alignment horizontal="center"/>
    </xf>
    <xf numFmtId="165" fontId="26" fillId="0" borderId="79" xfId="0" applyNumberFormat="1" applyFont="1" applyFill="1" applyBorder="1" applyAlignment="1" applyProtection="1">
      <alignment horizontal="center"/>
    </xf>
    <xf numFmtId="165" fontId="26" fillId="10" borderId="9" xfId="0" applyNumberFormat="1" applyFont="1" applyFill="1" applyBorder="1" applyAlignment="1" applyProtection="1">
      <alignment horizontal="center"/>
    </xf>
    <xf numFmtId="165" fontId="26" fillId="10" borderId="79" xfId="0" applyNumberFormat="1" applyFont="1" applyFill="1" applyBorder="1" applyAlignment="1" applyProtection="1">
      <alignment horizontal="center"/>
    </xf>
    <xf numFmtId="164" fontId="8" fillId="17" borderId="79" xfId="0" applyNumberFormat="1" applyFont="1" applyFill="1" applyBorder="1" applyAlignment="1" applyProtection="1">
      <alignment horizontal="center"/>
    </xf>
    <xf numFmtId="165" fontId="26" fillId="17" borderId="9" xfId="0" applyNumberFormat="1" applyFont="1" applyFill="1" applyBorder="1" applyAlignment="1" applyProtection="1">
      <alignment horizontal="center"/>
    </xf>
    <xf numFmtId="165" fontId="26" fillId="17" borderId="79" xfId="0" applyNumberFormat="1" applyFont="1" applyFill="1" applyBorder="1" applyAlignment="1" applyProtection="1">
      <alignment horizontal="center"/>
    </xf>
    <xf numFmtId="0" fontId="0" fillId="11" borderId="8" xfId="0" applyFill="1" applyBorder="1" applyProtection="1"/>
    <xf numFmtId="164" fontId="8" fillId="11" borderId="23" xfId="0" applyNumberFormat="1" applyFont="1" applyFill="1" applyBorder="1" applyAlignment="1" applyProtection="1">
      <alignment horizontal="center"/>
    </xf>
    <xf numFmtId="1" fontId="8" fillId="11" borderId="23" xfId="0" applyNumberFormat="1" applyFont="1" applyFill="1" applyBorder="1" applyAlignment="1" applyProtection="1">
      <alignment horizontal="center"/>
    </xf>
    <xf numFmtId="2" fontId="8" fillId="11" borderId="14" xfId="0" applyNumberFormat="1" applyFont="1" applyFill="1" applyBorder="1" applyAlignment="1" applyProtection="1">
      <alignment horizontal="center" wrapText="1"/>
    </xf>
    <xf numFmtId="2" fontId="0" fillId="11" borderId="32" xfId="0" applyNumberFormat="1" applyFill="1" applyBorder="1" applyAlignment="1" applyProtection="1">
      <alignment horizontal="center"/>
    </xf>
    <xf numFmtId="2" fontId="26" fillId="0" borderId="8" xfId="0" applyNumberFormat="1" applyFont="1" applyFill="1" applyBorder="1" applyAlignment="1" applyProtection="1">
      <alignment horizontal="center"/>
    </xf>
    <xf numFmtId="165" fontId="26" fillId="0" borderId="10" xfId="0" applyNumberFormat="1" applyFont="1" applyFill="1" applyBorder="1" applyAlignment="1" applyProtection="1">
      <alignment horizontal="center"/>
    </xf>
    <xf numFmtId="2" fontId="26" fillId="0" borderId="10" xfId="0" applyNumberFormat="1" applyFont="1" applyFill="1" applyBorder="1" applyAlignment="1" applyProtection="1">
      <alignment horizontal="center"/>
    </xf>
    <xf numFmtId="2" fontId="26" fillId="0" borderId="17" xfId="0" applyNumberFormat="1" applyFont="1" applyFill="1" applyBorder="1" applyAlignment="1" applyProtection="1">
      <alignment horizontal="center"/>
    </xf>
    <xf numFmtId="165" fontId="26" fillId="0" borderId="23" xfId="0" applyNumberFormat="1" applyFont="1" applyFill="1" applyBorder="1" applyAlignment="1" applyProtection="1">
      <alignment horizontal="center"/>
    </xf>
    <xf numFmtId="0" fontId="104" fillId="0" borderId="0" xfId="0" applyFont="1" applyAlignment="1" applyProtection="1">
      <alignment horizontal="right"/>
    </xf>
    <xf numFmtId="164" fontId="8" fillId="0" borderId="0" xfId="0" applyNumberFormat="1" applyFont="1" applyFill="1" applyBorder="1" applyAlignment="1" applyProtection="1">
      <alignment horizontal="center"/>
    </xf>
    <xf numFmtId="0" fontId="105" fillId="0" borderId="0" xfId="0" applyFont="1" applyAlignment="1" applyProtection="1">
      <alignment horizontal="right"/>
    </xf>
    <xf numFmtId="0" fontId="75" fillId="0" borderId="0" xfId="0" applyFont="1" applyBorder="1" applyProtection="1"/>
    <xf numFmtId="0" fontId="75" fillId="0" borderId="0" xfId="0" applyFont="1" applyProtection="1"/>
    <xf numFmtId="0" fontId="0" fillId="0" borderId="11" xfId="0" applyBorder="1" applyProtection="1"/>
    <xf numFmtId="0" fontId="0" fillId="0" borderId="42" xfId="0" applyBorder="1" applyProtection="1"/>
    <xf numFmtId="0" fontId="101" fillId="0" borderId="42" xfId="0" applyFont="1" applyBorder="1" applyProtection="1"/>
    <xf numFmtId="0" fontId="0" fillId="0" borderId="42" xfId="0" applyBorder="1" applyAlignment="1" applyProtection="1">
      <alignment horizontal="center"/>
    </xf>
    <xf numFmtId="0" fontId="0" fillId="0" borderId="41" xfId="0" applyBorder="1" applyProtection="1"/>
    <xf numFmtId="0" fontId="12" fillId="0" borderId="20" xfId="0" applyFont="1" applyBorder="1" applyAlignment="1" applyProtection="1">
      <alignment horizontal="center"/>
    </xf>
    <xf numFmtId="0" fontId="0" fillId="0" borderId="21" xfId="0" applyBorder="1" applyProtection="1"/>
    <xf numFmtId="0" fontId="101" fillId="0" borderId="21" xfId="0" applyFont="1" applyBorder="1" applyProtection="1"/>
    <xf numFmtId="0" fontId="0" fillId="0" borderId="22" xfId="0" applyBorder="1" applyProtection="1"/>
    <xf numFmtId="0" fontId="5" fillId="17" borderId="0" xfId="0" applyFont="1" applyFill="1" applyAlignment="1" applyProtection="1">
      <alignment horizontal="right"/>
    </xf>
    <xf numFmtId="0" fontId="101" fillId="17" borderId="0" xfId="0" applyFont="1" applyFill="1" applyAlignment="1" applyProtection="1">
      <alignment horizontal="right"/>
    </xf>
    <xf numFmtId="0" fontId="108" fillId="17" borderId="0" xfId="0" applyFont="1" applyFill="1" applyAlignment="1" applyProtection="1">
      <alignment horizontal="center" vertical="center"/>
    </xf>
    <xf numFmtId="0" fontId="0" fillId="11" borderId="7" xfId="0" applyFill="1" applyBorder="1" applyAlignment="1" applyProtection="1">
      <alignment horizontal="center"/>
      <protection locked="0"/>
    </xf>
    <xf numFmtId="0" fontId="0" fillId="11" borderId="87" xfId="0" applyFill="1" applyBorder="1" applyAlignment="1" applyProtection="1">
      <alignment horizontal="center"/>
      <protection locked="0"/>
    </xf>
    <xf numFmtId="164" fontId="8" fillId="11" borderId="78" xfId="0" applyNumberFormat="1" applyFont="1" applyFill="1" applyBorder="1" applyAlignment="1" applyProtection="1">
      <alignment horizontal="center"/>
      <protection locked="0"/>
    </xf>
    <xf numFmtId="164" fontId="8" fillId="12" borderId="78" xfId="0" applyNumberFormat="1" applyFont="1" applyFill="1" applyBorder="1" applyAlignment="1" applyProtection="1">
      <alignment horizont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0" fontId="0" fillId="0" borderId="148" xfId="0" applyBorder="1" applyProtection="1">
      <protection locked="0"/>
    </xf>
    <xf numFmtId="0" fontId="0" fillId="0" borderId="31" xfId="0" applyFill="1" applyBorder="1" applyProtection="1"/>
    <xf numFmtId="0" fontId="39" fillId="2" borderId="11" xfId="0" applyFont="1" applyFill="1" applyBorder="1" applyAlignment="1" applyProtection="1">
      <alignment horizontal="center"/>
    </xf>
    <xf numFmtId="0" fontId="105" fillId="0" borderId="0" xfId="0" applyFont="1" applyAlignment="1" applyProtection="1">
      <alignment horizontal="center"/>
    </xf>
    <xf numFmtId="0" fontId="109" fillId="0" borderId="0" xfId="0" applyFont="1" applyAlignment="1" applyProtection="1">
      <alignment horizontal="center"/>
    </xf>
    <xf numFmtId="0" fontId="106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/>
    </xf>
    <xf numFmtId="0" fontId="0" fillId="11" borderId="7" xfId="0" applyFill="1" applyBorder="1" applyAlignment="1" applyProtection="1">
      <alignment horizontal="center"/>
    </xf>
    <xf numFmtId="167" fontId="26" fillId="0" borderId="1" xfId="0" applyNumberFormat="1" applyFont="1" applyFill="1" applyBorder="1" applyAlignment="1" applyProtection="1">
      <alignment horizontal="center"/>
    </xf>
    <xf numFmtId="165" fontId="26" fillId="0" borderId="64" xfId="0" applyNumberFormat="1" applyFont="1" applyFill="1" applyBorder="1" applyAlignment="1" applyProtection="1">
      <alignment horizontal="center"/>
    </xf>
    <xf numFmtId="2" fontId="26" fillId="0" borderId="64" xfId="0" applyNumberFormat="1" applyFont="1" applyFill="1" applyBorder="1" applyAlignment="1" applyProtection="1">
      <alignment horizontal="center"/>
    </xf>
    <xf numFmtId="2" fontId="26" fillId="0" borderId="2" xfId="0" applyNumberFormat="1" applyFont="1" applyFill="1" applyBorder="1" applyAlignment="1" applyProtection="1">
      <alignment horizontal="center"/>
    </xf>
    <xf numFmtId="0" fontId="0" fillId="11" borderId="87" xfId="0" applyFill="1" applyBorder="1" applyAlignment="1" applyProtection="1">
      <alignment horizontal="center"/>
    </xf>
    <xf numFmtId="164" fontId="8" fillId="11" borderId="78" xfId="0" applyNumberFormat="1" applyFont="1" applyFill="1" applyBorder="1" applyAlignment="1" applyProtection="1">
      <alignment horizontal="center"/>
    </xf>
    <xf numFmtId="1" fontId="8" fillId="11" borderId="78" xfId="0" applyNumberFormat="1" applyFont="1" applyFill="1" applyBorder="1" applyAlignment="1" applyProtection="1">
      <alignment horizontal="center"/>
    </xf>
    <xf numFmtId="165" fontId="8" fillId="11" borderId="34" xfId="0" applyNumberFormat="1" applyFont="1" applyFill="1" applyBorder="1" applyAlignment="1" applyProtection="1">
      <alignment horizontal="center" wrapText="1"/>
    </xf>
    <xf numFmtId="165" fontId="0" fillId="11" borderId="30" xfId="0" applyNumberFormat="1" applyFill="1" applyBorder="1" applyAlignment="1" applyProtection="1">
      <alignment horizontal="center"/>
    </xf>
    <xf numFmtId="167" fontId="26" fillId="0" borderId="87" xfId="0" applyNumberFormat="1" applyFont="1" applyFill="1" applyBorder="1" applyAlignment="1" applyProtection="1">
      <alignment horizontal="center"/>
    </xf>
    <xf numFmtId="165" fontId="26" fillId="0" borderId="134" xfId="0" applyNumberFormat="1" applyFont="1" applyFill="1" applyBorder="1" applyAlignment="1" applyProtection="1">
      <alignment horizontal="center"/>
    </xf>
    <xf numFmtId="2" fontId="26" fillId="0" borderId="43" xfId="0" applyNumberFormat="1" applyFont="1" applyFill="1" applyBorder="1" applyAlignment="1" applyProtection="1">
      <alignment horizontal="center"/>
    </xf>
    <xf numFmtId="0" fontId="0" fillId="12" borderId="7" xfId="0" applyFill="1" applyBorder="1" applyAlignment="1" applyProtection="1">
      <alignment horizontal="center"/>
    </xf>
    <xf numFmtId="0" fontId="0" fillId="12" borderId="87" xfId="0" applyFill="1" applyBorder="1" applyAlignment="1" applyProtection="1">
      <alignment horizontal="center"/>
    </xf>
    <xf numFmtId="164" fontId="8" fillId="12" borderId="78" xfId="0" applyNumberFormat="1" applyFont="1" applyFill="1" applyBorder="1" applyAlignment="1" applyProtection="1">
      <alignment horizontal="center"/>
    </xf>
    <xf numFmtId="1" fontId="8" fillId="12" borderId="78" xfId="0" applyNumberFormat="1" applyFont="1" applyFill="1" applyBorder="1" applyAlignment="1" applyProtection="1">
      <alignment horizontal="center"/>
    </xf>
    <xf numFmtId="165" fontId="8" fillId="12" borderId="34" xfId="0" applyNumberFormat="1" applyFont="1" applyFill="1" applyBorder="1" applyAlignment="1" applyProtection="1">
      <alignment horizontal="center" wrapText="1"/>
    </xf>
    <xf numFmtId="165" fontId="0" fillId="12" borderId="30" xfId="0" applyNumberFormat="1" applyFill="1" applyBorder="1" applyAlignment="1" applyProtection="1">
      <alignment horizontal="center"/>
    </xf>
    <xf numFmtId="167" fontId="26" fillId="10" borderId="87" xfId="0" applyNumberFormat="1" applyFont="1" applyFill="1" applyBorder="1" applyAlignment="1" applyProtection="1">
      <alignment horizontal="center"/>
    </xf>
    <xf numFmtId="165" fontId="26" fillId="10" borderId="134" xfId="0" applyNumberFormat="1" applyFont="1" applyFill="1" applyBorder="1" applyAlignment="1" applyProtection="1">
      <alignment horizontal="center"/>
    </xf>
    <xf numFmtId="0" fontId="0" fillId="17" borderId="7" xfId="0" applyFill="1" applyBorder="1" applyAlignment="1" applyProtection="1">
      <alignment horizontal="center"/>
    </xf>
    <xf numFmtId="165" fontId="8" fillId="17" borderId="13" xfId="0" applyNumberFormat="1" applyFont="1" applyFill="1" applyBorder="1" applyAlignment="1" applyProtection="1">
      <alignment horizontal="center" wrapText="1"/>
    </xf>
    <xf numFmtId="165" fontId="8" fillId="17" borderId="31" xfId="0" applyNumberFormat="1" applyFont="1" applyFill="1" applyBorder="1" applyAlignment="1" applyProtection="1">
      <alignment horizontal="center" wrapText="1"/>
    </xf>
    <xf numFmtId="167" fontId="26" fillId="17" borderId="7" xfId="0" applyNumberFormat="1" applyFont="1" applyFill="1" applyBorder="1" applyAlignment="1" applyProtection="1">
      <alignment horizontal="center"/>
    </xf>
    <xf numFmtId="0" fontId="0" fillId="17" borderId="87" xfId="0" applyFill="1" applyBorder="1" applyAlignment="1" applyProtection="1">
      <alignment horizontal="center"/>
    </xf>
    <xf numFmtId="164" fontId="8" fillId="17" borderId="78" xfId="0" applyNumberFormat="1" applyFont="1" applyFill="1" applyBorder="1" applyAlignment="1" applyProtection="1">
      <alignment horizontal="center"/>
    </xf>
    <xf numFmtId="1" fontId="8" fillId="17" borderId="78" xfId="0" applyNumberFormat="1" applyFont="1" applyFill="1" applyBorder="1" applyAlignment="1" applyProtection="1">
      <alignment horizontal="center"/>
    </xf>
    <xf numFmtId="165" fontId="8" fillId="17" borderId="34" xfId="0" applyNumberFormat="1" applyFont="1" applyFill="1" applyBorder="1" applyAlignment="1" applyProtection="1">
      <alignment horizontal="center" wrapText="1"/>
    </xf>
    <xf numFmtId="165" fontId="8" fillId="17" borderId="30" xfId="0" applyNumberFormat="1" applyFont="1" applyFill="1" applyBorder="1" applyAlignment="1" applyProtection="1">
      <alignment horizontal="center" wrapText="1"/>
    </xf>
    <xf numFmtId="167" fontId="26" fillId="17" borderId="87" xfId="0" applyNumberFormat="1" applyFont="1" applyFill="1" applyBorder="1" applyAlignment="1" applyProtection="1">
      <alignment horizontal="center"/>
    </xf>
    <xf numFmtId="165" fontId="26" fillId="17" borderId="134" xfId="0" applyNumberFormat="1" applyFont="1" applyFill="1" applyBorder="1" applyAlignment="1" applyProtection="1">
      <alignment horizontal="center"/>
    </xf>
    <xf numFmtId="2" fontId="26" fillId="17" borderId="134" xfId="0" applyNumberFormat="1" applyFont="1" applyFill="1" applyBorder="1" applyAlignment="1" applyProtection="1">
      <alignment horizontal="center"/>
    </xf>
    <xf numFmtId="2" fontId="26" fillId="17" borderId="43" xfId="0" applyNumberFormat="1" applyFont="1" applyFill="1" applyBorder="1" applyAlignment="1" applyProtection="1">
      <alignment horizontal="center"/>
    </xf>
    <xf numFmtId="165" fontId="26" fillId="10" borderId="7" xfId="0" applyNumberFormat="1" applyFont="1" applyFill="1" applyBorder="1" applyAlignment="1" applyProtection="1">
      <alignment horizontal="center"/>
    </xf>
    <xf numFmtId="2" fontId="8" fillId="12" borderId="34" xfId="0" applyNumberFormat="1" applyFont="1" applyFill="1" applyBorder="1" applyAlignment="1" applyProtection="1">
      <alignment horizontal="center" wrapText="1"/>
    </xf>
    <xf numFmtId="165" fontId="26" fillId="10" borderId="87" xfId="0" applyNumberFormat="1" applyFont="1" applyFill="1" applyBorder="1" applyAlignment="1" applyProtection="1">
      <alignment horizontal="center"/>
    </xf>
    <xf numFmtId="165" fontId="26" fillId="0" borderId="7" xfId="0" applyNumberFormat="1" applyFont="1" applyFill="1" applyBorder="1" applyAlignment="1" applyProtection="1">
      <alignment horizontal="center"/>
    </xf>
    <xf numFmtId="2" fontId="8" fillId="11" borderId="34" xfId="0" applyNumberFormat="1" applyFont="1" applyFill="1" applyBorder="1" applyAlignment="1" applyProtection="1">
      <alignment horizontal="center" wrapText="1"/>
    </xf>
    <xf numFmtId="2" fontId="0" fillId="11" borderId="30" xfId="0" applyNumberFormat="1" applyFill="1" applyBorder="1" applyAlignment="1" applyProtection="1">
      <alignment horizontal="center"/>
    </xf>
    <xf numFmtId="165" fontId="26" fillId="0" borderId="87" xfId="0" applyNumberFormat="1" applyFont="1" applyFill="1" applyBorder="1" applyAlignment="1" applyProtection="1">
      <alignment horizontal="center"/>
    </xf>
    <xf numFmtId="2" fontId="26" fillId="0" borderId="87" xfId="0" applyNumberFormat="1" applyFont="1" applyFill="1" applyBorder="1" applyAlignment="1" applyProtection="1">
      <alignment horizontal="center"/>
    </xf>
    <xf numFmtId="165" fontId="26" fillId="0" borderId="78" xfId="0" applyNumberFormat="1" applyFont="1" applyFill="1" applyBorder="1" applyAlignment="1" applyProtection="1">
      <alignment horizontal="center"/>
    </xf>
    <xf numFmtId="2" fontId="0" fillId="12" borderId="30" xfId="0" applyNumberFormat="1" applyFill="1" applyBorder="1" applyAlignment="1" applyProtection="1">
      <alignment horizontal="center"/>
    </xf>
    <xf numFmtId="165" fontId="26" fillId="10" borderId="78" xfId="0" applyNumberFormat="1" applyFont="1" applyFill="1" applyBorder="1" applyAlignment="1" applyProtection="1">
      <alignment horizontal="center"/>
    </xf>
    <xf numFmtId="2" fontId="8" fillId="17" borderId="34" xfId="0" applyNumberFormat="1" applyFont="1" applyFill="1" applyBorder="1" applyAlignment="1" applyProtection="1">
      <alignment horizontal="center" wrapText="1"/>
    </xf>
    <xf numFmtId="2" fontId="0" fillId="17" borderId="30" xfId="0" applyNumberFormat="1" applyFill="1" applyBorder="1" applyAlignment="1" applyProtection="1">
      <alignment horizontal="center"/>
    </xf>
    <xf numFmtId="2" fontId="26" fillId="17" borderId="87" xfId="0" applyNumberFormat="1" applyFont="1" applyFill="1" applyBorder="1" applyAlignment="1" applyProtection="1">
      <alignment horizontal="center"/>
    </xf>
    <xf numFmtId="165" fontId="26" fillId="17" borderId="78" xfId="0" applyNumberFormat="1" applyFont="1" applyFill="1" applyBorder="1" applyAlignment="1" applyProtection="1">
      <alignment horizontal="center"/>
    </xf>
    <xf numFmtId="0" fontId="107" fillId="0" borderId="0" xfId="0" applyFont="1" applyAlignment="1" applyProtection="1">
      <alignment horizontal="right"/>
    </xf>
    <xf numFmtId="1" fontId="8" fillId="11" borderId="15" xfId="0" applyNumberFormat="1" applyFont="1" applyFill="1" applyBorder="1" applyAlignment="1" applyProtection="1">
      <alignment horizontal="center"/>
    </xf>
    <xf numFmtId="0" fontId="0" fillId="11" borderId="33" xfId="0" applyFill="1" applyBorder="1" applyAlignment="1" applyProtection="1">
      <alignment horizontal="center"/>
    </xf>
    <xf numFmtId="0" fontId="0" fillId="11" borderId="13" xfId="0" applyFill="1" applyBorder="1" applyAlignment="1" applyProtection="1">
      <alignment horizontal="center"/>
    </xf>
    <xf numFmtId="1" fontId="8" fillId="11" borderId="132" xfId="0" applyNumberFormat="1" applyFont="1" applyFill="1" applyBorder="1" applyAlignment="1" applyProtection="1">
      <alignment horizontal="center"/>
    </xf>
    <xf numFmtId="0" fontId="0" fillId="11" borderId="34" xfId="0" applyFill="1" applyBorder="1" applyAlignment="1" applyProtection="1">
      <alignment horizontal="center"/>
    </xf>
    <xf numFmtId="0" fontId="0" fillId="17" borderId="40" xfId="0" applyFill="1" applyBorder="1" applyAlignment="1" applyProtection="1">
      <alignment horizontal="center"/>
    </xf>
    <xf numFmtId="164" fontId="8" fillId="17" borderId="38" xfId="0" applyNumberFormat="1" applyFont="1" applyFill="1" applyBorder="1" applyAlignment="1" applyProtection="1">
      <alignment horizontal="center"/>
    </xf>
    <xf numFmtId="1" fontId="8" fillId="17" borderId="38" xfId="0" applyNumberFormat="1" applyFont="1" applyFill="1" applyBorder="1" applyAlignment="1" applyProtection="1">
      <alignment horizontal="center"/>
    </xf>
    <xf numFmtId="2" fontId="8" fillId="17" borderId="45" xfId="0" applyNumberFormat="1" applyFont="1" applyFill="1" applyBorder="1" applyAlignment="1" applyProtection="1">
      <alignment horizontal="center" wrapText="1"/>
    </xf>
    <xf numFmtId="2" fontId="0" fillId="17" borderId="71" xfId="0" applyNumberFormat="1" applyFill="1" applyBorder="1" applyAlignment="1" applyProtection="1">
      <alignment horizontal="center"/>
    </xf>
    <xf numFmtId="2" fontId="26" fillId="17" borderId="40" xfId="0" applyNumberFormat="1" applyFont="1" applyFill="1" applyBorder="1" applyAlignment="1" applyProtection="1">
      <alignment horizontal="center"/>
    </xf>
    <xf numFmtId="165" fontId="26" fillId="17" borderId="137" xfId="0" applyNumberFormat="1" applyFont="1" applyFill="1" applyBorder="1" applyAlignment="1" applyProtection="1">
      <alignment horizontal="center"/>
    </xf>
    <xf numFmtId="2" fontId="26" fillId="17" borderId="137" xfId="0" applyNumberFormat="1" applyFont="1" applyFill="1" applyBorder="1" applyAlignment="1" applyProtection="1">
      <alignment horizontal="center"/>
    </xf>
    <xf numFmtId="2" fontId="26" fillId="17" borderId="39" xfId="0" applyNumberFormat="1" applyFont="1" applyFill="1" applyBorder="1" applyAlignment="1" applyProtection="1">
      <alignment horizontal="center"/>
    </xf>
    <xf numFmtId="165" fontId="26" fillId="17" borderId="38" xfId="0" applyNumberFormat="1" applyFont="1" applyFill="1" applyBorder="1" applyAlignment="1" applyProtection="1">
      <alignment horizontal="center"/>
    </xf>
    <xf numFmtId="164" fontId="0" fillId="12" borderId="9" xfId="0" applyNumberFormat="1" applyFill="1" applyBorder="1" applyProtection="1"/>
    <xf numFmtId="164" fontId="0" fillId="12" borderId="134" xfId="0" applyNumberFormat="1" applyFill="1" applyBorder="1" applyProtection="1"/>
    <xf numFmtId="0" fontId="0" fillId="17" borderId="8" xfId="0" applyFill="1" applyBorder="1" applyAlignment="1" applyProtection="1">
      <alignment horizontal="center"/>
    </xf>
    <xf numFmtId="164" fontId="8" fillId="17" borderId="23" xfId="0" applyNumberFormat="1" applyFont="1" applyFill="1" applyBorder="1" applyAlignment="1" applyProtection="1">
      <alignment horizontal="center"/>
    </xf>
    <xf numFmtId="1" fontId="8" fillId="17" borderId="17" xfId="0" applyNumberFormat="1" applyFont="1" applyFill="1" applyBorder="1" applyAlignment="1" applyProtection="1">
      <alignment horizontal="center"/>
    </xf>
    <xf numFmtId="2" fontId="8" fillId="17" borderId="14" xfId="0" applyNumberFormat="1" applyFont="1" applyFill="1" applyBorder="1" applyAlignment="1" applyProtection="1">
      <alignment horizontal="center" wrapText="1"/>
    </xf>
    <xf numFmtId="2" fontId="0" fillId="17" borderId="32" xfId="0" applyNumberFormat="1" applyFill="1" applyBorder="1" applyAlignment="1" applyProtection="1">
      <alignment horizontal="center"/>
    </xf>
    <xf numFmtId="2" fontId="26" fillId="17" borderId="8" xfId="0" applyNumberFormat="1" applyFont="1" applyFill="1" applyBorder="1" applyAlignment="1" applyProtection="1">
      <alignment horizontal="center"/>
    </xf>
    <xf numFmtId="165" fontId="26" fillId="17" borderId="23" xfId="0" applyNumberFormat="1" applyFont="1" applyFill="1" applyBorder="1" applyAlignment="1" applyProtection="1">
      <alignment horizontal="center"/>
    </xf>
    <xf numFmtId="2" fontId="26" fillId="17" borderId="10" xfId="0" applyNumberFormat="1" applyFont="1" applyFill="1" applyBorder="1" applyAlignment="1" applyProtection="1">
      <alignment horizontal="center"/>
    </xf>
    <xf numFmtId="2" fontId="26" fillId="17" borderId="17" xfId="0" applyNumberFormat="1" applyFont="1" applyFill="1" applyBorder="1" applyAlignment="1" applyProtection="1">
      <alignment horizontal="center"/>
    </xf>
    <xf numFmtId="0" fontId="106" fillId="0" borderId="0" xfId="0" applyFont="1" applyBorder="1" applyProtection="1"/>
    <xf numFmtId="0" fontId="24" fillId="0" borderId="0" xfId="0" applyFont="1" applyProtection="1"/>
    <xf numFmtId="165" fontId="0" fillId="0" borderId="0" xfId="0" applyNumberFormat="1" applyProtection="1"/>
    <xf numFmtId="0" fontId="0" fillId="21" borderId="0" xfId="0" applyFill="1" applyProtection="1"/>
    <xf numFmtId="0" fontId="8" fillId="21" borderId="0" xfId="0" applyFont="1" applyFill="1" applyProtection="1"/>
    <xf numFmtId="0" fontId="0" fillId="21" borderId="0" xfId="0" applyFill="1" applyAlignment="1" applyProtection="1">
      <alignment horizontal="center"/>
    </xf>
    <xf numFmtId="0" fontId="101" fillId="21" borderId="0" xfId="0" applyFont="1" applyFill="1" applyProtection="1"/>
    <xf numFmtId="0" fontId="0" fillId="22" borderId="0" xfId="0" applyFill="1" applyProtection="1"/>
    <xf numFmtId="0" fontId="101" fillId="22" borderId="0" xfId="0" applyFont="1" applyFill="1" applyProtection="1"/>
    <xf numFmtId="0" fontId="0" fillId="22" borderId="0" xfId="0" applyFill="1" applyAlignment="1" applyProtection="1">
      <alignment horizontal="center"/>
    </xf>
    <xf numFmtId="0" fontId="8" fillId="22" borderId="0" xfId="0" applyFont="1" applyFill="1" applyProtection="1"/>
    <xf numFmtId="0" fontId="11" fillId="0" borderId="0" xfId="0" applyFont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110" fillId="0" borderId="13" xfId="0" applyFont="1" applyBorder="1" applyAlignment="1" applyProtection="1">
      <alignment horizontal="center" vertical="center"/>
    </xf>
    <xf numFmtId="0" fontId="113" fillId="0" borderId="13" xfId="0" applyFont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81" fillId="0" borderId="14" xfId="0" applyFont="1" applyBorder="1" applyAlignment="1" applyProtection="1">
      <alignment horizontal="center"/>
    </xf>
    <xf numFmtId="0" fontId="9" fillId="23" borderId="82" xfId="0" applyFont="1" applyFill="1" applyBorder="1" applyAlignment="1" applyProtection="1">
      <alignment horizontal="center"/>
    </xf>
    <xf numFmtId="0" fontId="32" fillId="23" borderId="82" xfId="0" applyFont="1" applyFill="1" applyBorder="1" applyAlignment="1" applyProtection="1">
      <alignment horizontal="center"/>
    </xf>
    <xf numFmtId="0" fontId="26" fillId="23" borderId="82" xfId="0" applyFont="1" applyFill="1" applyBorder="1" applyAlignment="1" applyProtection="1">
      <alignment horizontal="center"/>
    </xf>
    <xf numFmtId="164" fontId="26" fillId="23" borderId="82" xfId="0" applyNumberFormat="1" applyFont="1" applyFill="1" applyBorder="1" applyAlignment="1" applyProtection="1">
      <alignment horizontal="center"/>
    </xf>
    <xf numFmtId="164" fontId="32" fillId="23" borderId="82" xfId="0" applyNumberFormat="1" applyFont="1" applyFill="1" applyBorder="1" applyAlignment="1" applyProtection="1">
      <alignment horizontal="center"/>
    </xf>
    <xf numFmtId="0" fontId="9" fillId="23" borderId="79" xfId="0" applyFont="1" applyFill="1" applyBorder="1" applyAlignment="1" applyProtection="1">
      <alignment horizontal="center"/>
    </xf>
    <xf numFmtId="0" fontId="32" fillId="23" borderId="79" xfId="0" applyFont="1" applyFill="1" applyBorder="1" applyAlignment="1" applyProtection="1">
      <alignment horizontal="center"/>
    </xf>
    <xf numFmtId="0" fontId="26" fillId="23" borderId="79" xfId="0" applyFont="1" applyFill="1" applyBorder="1" applyAlignment="1" applyProtection="1">
      <alignment horizontal="center"/>
    </xf>
    <xf numFmtId="164" fontId="26" fillId="23" borderId="79" xfId="0" applyNumberFormat="1" applyFont="1" applyFill="1" applyBorder="1" applyAlignment="1" applyProtection="1">
      <alignment horizontal="center"/>
    </xf>
    <xf numFmtId="164" fontId="32" fillId="23" borderId="79" xfId="0" applyNumberFormat="1" applyFont="1" applyFill="1" applyBorder="1" applyAlignment="1" applyProtection="1">
      <alignment horizontal="center"/>
    </xf>
    <xf numFmtId="0" fontId="9" fillId="23" borderId="78" xfId="0" applyFont="1" applyFill="1" applyBorder="1" applyAlignment="1" applyProtection="1">
      <alignment horizontal="center"/>
    </xf>
    <xf numFmtId="0" fontId="32" fillId="23" borderId="78" xfId="0" applyFont="1" applyFill="1" applyBorder="1" applyAlignment="1" applyProtection="1">
      <alignment horizontal="center"/>
    </xf>
    <xf numFmtId="0" fontId="26" fillId="23" borderId="78" xfId="0" applyFont="1" applyFill="1" applyBorder="1" applyAlignment="1" applyProtection="1">
      <alignment horizontal="center"/>
    </xf>
    <xf numFmtId="164" fontId="26" fillId="23" borderId="78" xfId="0" applyNumberFormat="1" applyFont="1" applyFill="1" applyBorder="1" applyAlignment="1" applyProtection="1">
      <alignment horizontal="center"/>
    </xf>
    <xf numFmtId="164" fontId="32" fillId="23" borderId="78" xfId="0" applyNumberFormat="1" applyFont="1" applyFill="1" applyBorder="1" applyAlignment="1" applyProtection="1">
      <alignment horizontal="center"/>
    </xf>
    <xf numFmtId="0" fontId="9" fillId="21" borderId="77" xfId="0" applyFont="1" applyFill="1" applyBorder="1" applyAlignment="1" applyProtection="1">
      <alignment horizontal="center"/>
    </xf>
    <xf numFmtId="0" fontId="32" fillId="21" borderId="77" xfId="0" applyFont="1" applyFill="1" applyBorder="1" applyAlignment="1" applyProtection="1">
      <alignment horizontal="center"/>
    </xf>
    <xf numFmtId="0" fontId="26" fillId="21" borderId="77" xfId="0" applyFont="1" applyFill="1" applyBorder="1" applyAlignment="1" applyProtection="1">
      <alignment horizontal="center"/>
    </xf>
    <xf numFmtId="164" fontId="26" fillId="21" borderId="77" xfId="0" applyNumberFormat="1" applyFont="1" applyFill="1" applyBorder="1" applyAlignment="1" applyProtection="1">
      <alignment horizontal="center"/>
    </xf>
    <xf numFmtId="164" fontId="32" fillId="21" borderId="77" xfId="0" applyNumberFormat="1" applyFont="1" applyFill="1" applyBorder="1" applyAlignment="1" applyProtection="1">
      <alignment horizontal="center"/>
    </xf>
    <xf numFmtId="0" fontId="9" fillId="21" borderId="79" xfId="0" applyFont="1" applyFill="1" applyBorder="1" applyAlignment="1" applyProtection="1">
      <alignment horizontal="center"/>
    </xf>
    <xf numFmtId="0" fontId="32" fillId="21" borderId="79" xfId="0" applyFont="1" applyFill="1" applyBorder="1" applyAlignment="1" applyProtection="1">
      <alignment horizontal="center"/>
    </xf>
    <xf numFmtId="0" fontId="26" fillId="21" borderId="79" xfId="0" applyFont="1" applyFill="1" applyBorder="1" applyAlignment="1" applyProtection="1">
      <alignment horizontal="center"/>
    </xf>
    <xf numFmtId="164" fontId="26" fillId="21" borderId="79" xfId="0" applyNumberFormat="1" applyFont="1" applyFill="1" applyBorder="1" applyAlignment="1" applyProtection="1">
      <alignment horizontal="center"/>
    </xf>
    <xf numFmtId="164" fontId="32" fillId="21" borderId="79" xfId="0" applyNumberFormat="1" applyFont="1" applyFill="1" applyBorder="1" applyAlignment="1" applyProtection="1">
      <alignment horizontal="center"/>
    </xf>
    <xf numFmtId="0" fontId="9" fillId="21" borderId="78" xfId="0" applyFont="1" applyFill="1" applyBorder="1" applyAlignment="1" applyProtection="1">
      <alignment horizontal="center"/>
    </xf>
    <xf numFmtId="0" fontId="32" fillId="21" borderId="78" xfId="0" applyFont="1" applyFill="1" applyBorder="1" applyAlignment="1" applyProtection="1">
      <alignment horizontal="center"/>
    </xf>
    <xf numFmtId="0" fontId="26" fillId="21" borderId="78" xfId="0" applyFont="1" applyFill="1" applyBorder="1" applyAlignment="1" applyProtection="1">
      <alignment horizontal="center"/>
    </xf>
    <xf numFmtId="164" fontId="26" fillId="21" borderId="78" xfId="0" applyNumberFormat="1" applyFont="1" applyFill="1" applyBorder="1" applyAlignment="1" applyProtection="1">
      <alignment horizontal="center"/>
    </xf>
    <xf numFmtId="164" fontId="32" fillId="21" borderId="78" xfId="0" applyNumberFormat="1" applyFont="1" applyFill="1" applyBorder="1" applyAlignment="1" applyProtection="1">
      <alignment horizontal="center"/>
    </xf>
    <xf numFmtId="0" fontId="9" fillId="24" borderId="77" xfId="0" applyFont="1" applyFill="1" applyBorder="1" applyAlignment="1" applyProtection="1">
      <alignment horizontal="center"/>
    </xf>
    <xf numFmtId="0" fontId="32" fillId="24" borderId="77" xfId="0" applyFont="1" applyFill="1" applyBorder="1" applyAlignment="1" applyProtection="1">
      <alignment horizontal="center"/>
    </xf>
    <xf numFmtId="0" fontId="26" fillId="24" borderId="77" xfId="0" applyFont="1" applyFill="1" applyBorder="1" applyAlignment="1" applyProtection="1">
      <alignment horizontal="center"/>
    </xf>
    <xf numFmtId="164" fontId="26" fillId="24" borderId="77" xfId="0" applyNumberFormat="1" applyFont="1" applyFill="1" applyBorder="1" applyAlignment="1" applyProtection="1">
      <alignment horizontal="center"/>
    </xf>
    <xf numFmtId="164" fontId="32" fillId="24" borderId="77" xfId="0" applyNumberFormat="1" applyFont="1" applyFill="1" applyBorder="1" applyAlignment="1" applyProtection="1">
      <alignment horizontal="center"/>
    </xf>
    <xf numFmtId="0" fontId="9" fillId="24" borderId="79" xfId="0" applyFont="1" applyFill="1" applyBorder="1" applyAlignment="1" applyProtection="1">
      <alignment horizontal="center"/>
    </xf>
    <xf numFmtId="0" fontId="32" fillId="24" borderId="79" xfId="0" applyFont="1" applyFill="1" applyBorder="1" applyAlignment="1" applyProtection="1">
      <alignment horizontal="center"/>
    </xf>
    <xf numFmtId="0" fontId="26" fillId="24" borderId="79" xfId="0" applyFont="1" applyFill="1" applyBorder="1" applyAlignment="1" applyProtection="1">
      <alignment horizontal="center"/>
    </xf>
    <xf numFmtId="164" fontId="26" fillId="24" borderId="79" xfId="0" applyNumberFormat="1" applyFont="1" applyFill="1" applyBorder="1" applyAlignment="1" applyProtection="1">
      <alignment horizontal="center"/>
    </xf>
    <xf numFmtId="164" fontId="32" fillId="24" borderId="79" xfId="0" applyNumberFormat="1" applyFont="1" applyFill="1" applyBorder="1" applyAlignment="1" applyProtection="1">
      <alignment horizontal="center"/>
    </xf>
    <xf numFmtId="0" fontId="9" fillId="24" borderId="78" xfId="0" applyFont="1" applyFill="1" applyBorder="1" applyAlignment="1" applyProtection="1">
      <alignment horizontal="center"/>
    </xf>
    <xf numFmtId="0" fontId="32" fillId="24" borderId="78" xfId="0" applyFont="1" applyFill="1" applyBorder="1" applyAlignment="1" applyProtection="1">
      <alignment horizontal="center"/>
    </xf>
    <xf numFmtId="0" fontId="26" fillId="24" borderId="78" xfId="0" applyFont="1" applyFill="1" applyBorder="1" applyAlignment="1" applyProtection="1">
      <alignment horizontal="center"/>
    </xf>
    <xf numFmtId="164" fontId="26" fillId="24" borderId="78" xfId="0" applyNumberFormat="1" applyFont="1" applyFill="1" applyBorder="1" applyAlignment="1" applyProtection="1">
      <alignment horizontal="center"/>
    </xf>
    <xf numFmtId="164" fontId="32" fillId="24" borderId="78" xfId="0" applyNumberFormat="1" applyFont="1" applyFill="1" applyBorder="1" applyAlignment="1" applyProtection="1">
      <alignment horizontal="center"/>
    </xf>
    <xf numFmtId="0" fontId="0" fillId="23" borderId="0" xfId="0" applyFill="1" applyAlignment="1" applyProtection="1">
      <alignment horizontal="center"/>
    </xf>
    <xf numFmtId="0" fontId="112" fillId="12" borderId="77" xfId="0" applyFont="1" applyFill="1" applyBorder="1" applyAlignment="1" applyProtection="1">
      <alignment horizontal="center"/>
    </xf>
    <xf numFmtId="0" fontId="0" fillId="25" borderId="0" xfId="0" applyFill="1" applyAlignment="1" applyProtection="1">
      <alignment horizontal="center"/>
    </xf>
    <xf numFmtId="0" fontId="0" fillId="24" borderId="0" xfId="0" applyFill="1" applyAlignment="1" applyProtection="1">
      <alignment horizontal="center"/>
    </xf>
    <xf numFmtId="0" fontId="112" fillId="12" borderId="38" xfId="0" applyFont="1" applyFill="1" applyBorder="1" applyAlignment="1" applyProtection="1">
      <alignment horizontal="center"/>
    </xf>
    <xf numFmtId="0" fontId="0" fillId="11" borderId="0" xfId="0" applyFill="1" applyProtection="1"/>
    <xf numFmtId="0" fontId="26" fillId="11" borderId="0" xfId="0" applyFont="1" applyFill="1" applyProtection="1"/>
    <xf numFmtId="0" fontId="0" fillId="7" borderId="0" xfId="0" applyFill="1" applyProtection="1"/>
    <xf numFmtId="0" fontId="26" fillId="7" borderId="0" xfId="0" applyFont="1" applyFill="1" applyProtection="1"/>
    <xf numFmtId="1" fontId="9" fillId="7" borderId="0" xfId="0" applyNumberFormat="1" applyFont="1" applyFill="1" applyProtection="1">
      <protection hidden="1"/>
    </xf>
    <xf numFmtId="0" fontId="26" fillId="7" borderId="0" xfId="0" applyFont="1" applyFill="1" applyProtection="1">
      <protection hidden="1"/>
    </xf>
    <xf numFmtId="0" fontId="9" fillId="7" borderId="0" xfId="0" applyFont="1" applyFill="1" applyProtection="1">
      <protection hidden="1"/>
    </xf>
    <xf numFmtId="0" fontId="0" fillId="11" borderId="0" xfId="0" applyFill="1" applyProtection="1">
      <protection hidden="1"/>
    </xf>
    <xf numFmtId="0" fontId="0" fillId="11" borderId="65" xfId="0" applyFill="1" applyBorder="1" applyAlignment="1" applyProtection="1">
      <alignment horizontal="center"/>
      <protection hidden="1"/>
    </xf>
    <xf numFmtId="0" fontId="0" fillId="11" borderId="45" xfId="0" applyFill="1" applyBorder="1" applyAlignment="1" applyProtection="1">
      <alignment horizontal="center"/>
      <protection hidden="1"/>
    </xf>
    <xf numFmtId="2" fontId="26" fillId="11" borderId="45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right"/>
      <protection hidden="1"/>
    </xf>
    <xf numFmtId="49" fontId="26" fillId="24" borderId="72" xfId="0" applyNumberFormat="1" applyFont="1" applyFill="1" applyBorder="1" applyAlignment="1" applyProtection="1">
      <alignment horizontal="center"/>
      <protection hidden="1"/>
    </xf>
    <xf numFmtId="49" fontId="26" fillId="24" borderId="45" xfId="0" applyNumberFormat="1" applyFont="1" applyFill="1" applyBorder="1" applyAlignment="1" applyProtection="1">
      <alignment horizontal="center"/>
      <protection hidden="1"/>
    </xf>
    <xf numFmtId="0" fontId="0" fillId="24" borderId="65" xfId="0" applyFill="1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right"/>
      <protection hidden="1"/>
    </xf>
    <xf numFmtId="0" fontId="26" fillId="0" borderId="0" xfId="0" applyFont="1" applyAlignment="1" applyProtection="1">
      <alignment horizontal="right"/>
      <protection hidden="1"/>
    </xf>
    <xf numFmtId="0" fontId="17" fillId="23" borderId="0" xfId="0" applyFont="1" applyFill="1" applyAlignment="1" applyProtection="1">
      <alignment horizontal="right"/>
      <protection hidden="1"/>
    </xf>
    <xf numFmtId="0" fontId="26" fillId="0" borderId="45" xfId="0" applyFont="1" applyBorder="1" applyAlignment="1" applyProtection="1">
      <alignment horizontal="center"/>
      <protection hidden="1"/>
    </xf>
    <xf numFmtId="0" fontId="0" fillId="24" borderId="45" xfId="0" applyFill="1" applyBorder="1" applyAlignment="1" applyProtection="1">
      <alignment horizontal="center"/>
      <protection hidden="1"/>
    </xf>
    <xf numFmtId="0" fontId="64" fillId="0" borderId="0" xfId="0" applyFont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6" fillId="11" borderId="35" xfId="0" applyFont="1" applyFill="1" applyBorder="1" applyAlignment="1" applyProtection="1">
      <alignment horizontal="center" wrapText="1"/>
      <protection hidden="1"/>
    </xf>
    <xf numFmtId="0" fontId="26" fillId="11" borderId="36" xfId="0" applyFont="1" applyFill="1" applyBorder="1" applyAlignment="1" applyProtection="1">
      <alignment horizontal="center" wrapText="1"/>
      <protection hidden="1"/>
    </xf>
    <xf numFmtId="0" fontId="114" fillId="11" borderId="36" xfId="0" applyFont="1" applyFill="1" applyBorder="1" applyAlignment="1" applyProtection="1">
      <alignment horizontal="center"/>
      <protection hidden="1"/>
    </xf>
    <xf numFmtId="0" fontId="114" fillId="11" borderId="37" xfId="0" applyFont="1" applyFill="1" applyBorder="1" applyAlignment="1" applyProtection="1">
      <alignment horizontal="center"/>
      <protection hidden="1"/>
    </xf>
    <xf numFmtId="0" fontId="0" fillId="11" borderId="8" xfId="0" applyFill="1" applyBorder="1" applyAlignment="1" applyProtection="1">
      <alignment horizontal="center"/>
      <protection hidden="1"/>
    </xf>
    <xf numFmtId="0" fontId="0" fillId="11" borderId="23" xfId="0" applyFill="1" applyBorder="1" applyAlignment="1" applyProtection="1">
      <alignment horizontal="center"/>
      <protection hidden="1"/>
    </xf>
    <xf numFmtId="0" fontId="0" fillId="11" borderId="17" xfId="0" applyFill="1" applyBorder="1" applyAlignment="1" applyProtection="1">
      <alignment horizontal="center"/>
      <protection hidden="1"/>
    </xf>
    <xf numFmtId="0" fontId="0" fillId="11" borderId="149" xfId="0" applyFill="1" applyBorder="1" applyAlignment="1" applyProtection="1">
      <alignment horizontal="center"/>
      <protection hidden="1"/>
    </xf>
    <xf numFmtId="165" fontId="0" fillId="11" borderId="149" xfId="0" applyNumberFormat="1" applyFill="1" applyBorder="1" applyAlignment="1" applyProtection="1">
      <alignment horizontal="center"/>
      <protection hidden="1"/>
    </xf>
    <xf numFmtId="2" fontId="0" fillId="11" borderId="149" xfId="0" applyNumberFormat="1" applyFill="1" applyBorder="1" applyAlignment="1" applyProtection="1">
      <alignment horizontal="center"/>
      <protection hidden="1"/>
    </xf>
    <xf numFmtId="0" fontId="26" fillId="12" borderId="1" xfId="0" applyFont="1" applyFill="1" applyBorder="1" applyAlignment="1" applyProtection="1">
      <alignment horizontal="center" wrapText="1"/>
      <protection hidden="1"/>
    </xf>
    <xf numFmtId="0" fontId="26" fillId="12" borderId="82" xfId="0" applyFont="1" applyFill="1" applyBorder="1" applyAlignment="1" applyProtection="1">
      <alignment horizontal="center" wrapText="1"/>
      <protection hidden="1"/>
    </xf>
    <xf numFmtId="0" fontId="0" fillId="12" borderId="12" xfId="0" applyFill="1" applyBorder="1" applyAlignment="1" applyProtection="1">
      <alignment horizontal="center"/>
      <protection hidden="1"/>
    </xf>
    <xf numFmtId="0" fontId="5" fillId="12" borderId="42" xfId="0" applyFont="1" applyFill="1" applyBorder="1" applyAlignment="1" applyProtection="1">
      <alignment horizontal="center"/>
      <protection hidden="1"/>
    </xf>
    <xf numFmtId="0" fontId="0" fillId="12" borderId="64" xfId="0" applyFill="1" applyBorder="1" applyAlignment="1" applyProtection="1">
      <alignment horizontal="center"/>
      <protection hidden="1"/>
    </xf>
    <xf numFmtId="0" fontId="0" fillId="12" borderId="42" xfId="0" applyFill="1" applyBorder="1" applyAlignment="1" applyProtection="1">
      <alignment horizontal="center"/>
      <protection hidden="1"/>
    </xf>
    <xf numFmtId="0" fontId="0" fillId="12" borderId="42" xfId="0" applyFill="1" applyBorder="1" applyAlignment="1" applyProtection="1">
      <alignment horizontal="center" wrapText="1"/>
      <protection hidden="1"/>
    </xf>
    <xf numFmtId="0" fontId="0" fillId="12" borderId="42" xfId="0" applyFill="1" applyBorder="1" applyAlignment="1" applyProtection="1">
      <alignment wrapText="1"/>
      <protection hidden="1"/>
    </xf>
    <xf numFmtId="0" fontId="0" fillId="12" borderId="41" xfId="0" applyFill="1" applyBorder="1" applyAlignment="1" applyProtection="1">
      <alignment wrapText="1"/>
      <protection hidden="1"/>
    </xf>
    <xf numFmtId="0" fontId="26" fillId="12" borderId="7" xfId="0" applyFont="1" applyFill="1" applyBorder="1" applyAlignment="1" applyProtection="1">
      <alignment horizontal="center" wrapText="1"/>
      <protection hidden="1"/>
    </xf>
    <xf numFmtId="0" fontId="26" fillId="12" borderId="78" xfId="0" applyFont="1" applyFill="1" applyBorder="1" applyAlignment="1" applyProtection="1">
      <alignment horizontal="center" wrapText="1"/>
      <protection hidden="1"/>
    </xf>
    <xf numFmtId="0" fontId="0" fillId="12" borderId="15" xfId="0" applyFill="1" applyBorder="1" applyAlignment="1" applyProtection="1">
      <alignment horizontal="center" wrapText="1"/>
      <protection hidden="1"/>
    </xf>
    <xf numFmtId="0" fontId="0" fillId="12" borderId="132" xfId="0" applyFill="1" applyBorder="1" applyAlignment="1" applyProtection="1">
      <alignment horizontal="center"/>
      <protection hidden="1"/>
    </xf>
    <xf numFmtId="0" fontId="5" fillId="12" borderId="26" xfId="0" applyFont="1" applyFill="1" applyBorder="1" applyAlignment="1" applyProtection="1">
      <alignment horizontal="center"/>
      <protection hidden="1"/>
    </xf>
    <xf numFmtId="0" fontId="0" fillId="12" borderId="134" xfId="0" applyFill="1" applyBorder="1" applyAlignment="1" applyProtection="1">
      <alignment horizontal="center"/>
      <protection hidden="1"/>
    </xf>
    <xf numFmtId="0" fontId="0" fillId="12" borderId="26" xfId="0" applyFill="1" applyBorder="1" applyAlignment="1" applyProtection="1">
      <alignment horizontal="center"/>
      <protection hidden="1"/>
    </xf>
    <xf numFmtId="0" fontId="0" fillId="12" borderId="26" xfId="0" applyFill="1" applyBorder="1" applyProtection="1">
      <protection hidden="1"/>
    </xf>
    <xf numFmtId="0" fontId="0" fillId="12" borderId="30" xfId="0" applyFill="1" applyBorder="1" applyProtection="1">
      <protection hidden="1"/>
    </xf>
    <xf numFmtId="0" fontId="26" fillId="12" borderId="8" xfId="0" applyFont="1" applyFill="1" applyBorder="1" applyAlignment="1" applyProtection="1">
      <alignment horizontal="center" vertical="top"/>
      <protection hidden="1"/>
    </xf>
    <xf numFmtId="0" fontId="26" fillId="12" borderId="23" xfId="0" applyFont="1" applyFill="1" applyBorder="1" applyAlignment="1" applyProtection="1">
      <alignment horizontal="center"/>
      <protection hidden="1"/>
    </xf>
    <xf numFmtId="0" fontId="26" fillId="12" borderId="16" xfId="0" applyFont="1" applyFill="1" applyBorder="1" applyAlignment="1" applyProtection="1">
      <alignment horizontal="center"/>
      <protection hidden="1"/>
    </xf>
    <xf numFmtId="0" fontId="26" fillId="12" borderId="4" xfId="0" applyFont="1" applyFill="1" applyBorder="1" applyAlignment="1" applyProtection="1">
      <alignment horizontal="center"/>
      <protection hidden="1"/>
    </xf>
    <xf numFmtId="0" fontId="26" fillId="12" borderId="10" xfId="0" applyFont="1" applyFill="1" applyBorder="1" applyAlignment="1" applyProtection="1">
      <alignment horizontal="right"/>
      <protection hidden="1"/>
    </xf>
    <xf numFmtId="0" fontId="26" fillId="12" borderId="32" xfId="0" applyFont="1" applyFill="1" applyBorder="1" applyProtection="1">
      <protection hidden="1"/>
    </xf>
    <xf numFmtId="0" fontId="26" fillId="0" borderId="0" xfId="0" applyFont="1" applyProtection="1">
      <protection hidden="1"/>
    </xf>
    <xf numFmtId="0" fontId="0" fillId="12" borderId="36" xfId="0" applyFill="1" applyBorder="1" applyAlignment="1" applyProtection="1">
      <alignment horizontal="center"/>
      <protection hidden="1"/>
    </xf>
    <xf numFmtId="0" fontId="5" fillId="12" borderId="36" xfId="0" applyFont="1" applyFill="1" applyBorder="1" applyAlignment="1" applyProtection="1">
      <alignment horizontal="center" wrapText="1"/>
      <protection hidden="1"/>
    </xf>
    <xf numFmtId="0" fontId="26" fillId="12" borderId="36" xfId="0" applyFont="1" applyFill="1" applyBorder="1" applyAlignment="1" applyProtection="1">
      <alignment horizontal="center" wrapText="1"/>
      <protection hidden="1"/>
    </xf>
    <xf numFmtId="0" fontId="0" fillId="12" borderId="67" xfId="0" applyFill="1" applyBorder="1" applyAlignment="1" applyProtection="1">
      <alignment horizontal="center"/>
      <protection hidden="1"/>
    </xf>
    <xf numFmtId="0" fontId="0" fillId="12" borderId="150" xfId="0" applyFill="1" applyBorder="1" applyAlignment="1" applyProtection="1">
      <alignment horizontal="center"/>
      <protection hidden="1"/>
    </xf>
    <xf numFmtId="0" fontId="0" fillId="12" borderId="78" xfId="0" applyFill="1" applyBorder="1" applyAlignment="1" applyProtection="1">
      <alignment horizontal="center"/>
      <protection hidden="1"/>
    </xf>
    <xf numFmtId="0" fontId="5" fillId="12" borderId="78" xfId="0" applyFont="1" applyFill="1" applyBorder="1" applyAlignment="1" applyProtection="1">
      <alignment horizontal="center" wrapText="1"/>
      <protection hidden="1"/>
    </xf>
    <xf numFmtId="0" fontId="26" fillId="12" borderId="78" xfId="0" applyFont="1" applyFill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49" fontId="0" fillId="0" borderId="0" xfId="0" applyNumberFormat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wrapText="1"/>
      <protection hidden="1"/>
    </xf>
    <xf numFmtId="0" fontId="26" fillId="0" borderId="0" xfId="0" applyFont="1" applyAlignment="1" applyProtection="1">
      <alignment horizontal="center"/>
      <protection hidden="1"/>
    </xf>
    <xf numFmtId="49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center" wrapText="1"/>
      <protection hidden="1"/>
    </xf>
    <xf numFmtId="49" fontId="17" fillId="23" borderId="45" xfId="0" applyNumberFormat="1" applyFont="1" applyFill="1" applyBorder="1" applyAlignment="1" applyProtection="1">
      <alignment horizontal="center"/>
      <protection locked="0" hidden="1"/>
    </xf>
    <xf numFmtId="0" fontId="17" fillId="23" borderId="45" xfId="0" applyFont="1" applyFill="1" applyBorder="1" applyAlignment="1" applyProtection="1">
      <alignment horizontal="center"/>
      <protection locked="0" hidden="1"/>
    </xf>
    <xf numFmtId="0" fontId="17" fillId="23" borderId="72" xfId="0" applyFont="1" applyFill="1" applyBorder="1" applyAlignment="1" applyProtection="1">
      <alignment horizontal="center"/>
      <protection locked="0" hidden="1"/>
    </xf>
    <xf numFmtId="0" fontId="34" fillId="23" borderId="72" xfId="0" applyFont="1" applyFill="1" applyBorder="1" applyAlignment="1" applyProtection="1">
      <alignment horizontal="center"/>
      <protection locked="0" hidden="1"/>
    </xf>
    <xf numFmtId="0" fontId="17" fillId="23" borderId="65" xfId="0" applyFont="1" applyFill="1" applyBorder="1" applyAlignment="1" applyProtection="1">
      <alignment horizontal="center"/>
      <protection locked="0" hidden="1"/>
    </xf>
    <xf numFmtId="0" fontId="5" fillId="0" borderId="0" xfId="0" applyFont="1" applyProtection="1">
      <protection hidden="1"/>
    </xf>
    <xf numFmtId="0" fontId="34" fillId="23" borderId="0" xfId="0" applyFont="1" applyFill="1" applyAlignment="1" applyProtection="1">
      <alignment horizontal="right"/>
      <protection hidden="1"/>
    </xf>
    <xf numFmtId="0" fontId="17" fillId="0" borderId="0" xfId="0" applyFont="1" applyFill="1" applyBorder="1" applyAlignment="1" applyProtection="1">
      <alignment horizontal="center"/>
      <protection hidden="1"/>
    </xf>
    <xf numFmtId="2" fontId="26" fillId="24" borderId="45" xfId="0" applyNumberFormat="1" applyFont="1" applyFill="1" applyBorder="1" applyAlignment="1" applyProtection="1">
      <alignment horizontal="center"/>
      <protection hidden="1"/>
    </xf>
    <xf numFmtId="0" fontId="26" fillId="0" borderId="0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34" fillId="0" borderId="0" xfId="0" applyFont="1" applyFill="1" applyBorder="1" applyAlignment="1" applyProtection="1">
      <alignment horizontal="center"/>
      <protection hidden="1"/>
    </xf>
    <xf numFmtId="0" fontId="114" fillId="11" borderId="151" xfId="0" applyFont="1" applyFill="1" applyBorder="1" applyAlignment="1" applyProtection="1">
      <alignment horizontal="center"/>
      <protection hidden="1"/>
    </xf>
    <xf numFmtId="0" fontId="119" fillId="11" borderId="37" xfId="0" applyFont="1" applyFill="1" applyBorder="1" applyAlignment="1" applyProtection="1">
      <alignment horizontal="center"/>
      <protection hidden="1"/>
    </xf>
    <xf numFmtId="0" fontId="0" fillId="11" borderId="16" xfId="0" applyFill="1" applyBorder="1" applyAlignment="1" applyProtection="1">
      <alignment horizontal="center"/>
      <protection hidden="1"/>
    </xf>
    <xf numFmtId="0" fontId="5" fillId="11" borderId="144" xfId="0" applyFont="1" applyFill="1" applyBorder="1" applyAlignment="1" applyProtection="1">
      <alignment horizontal="center"/>
      <protection hidden="1"/>
    </xf>
    <xf numFmtId="164" fontId="0" fillId="11" borderId="149" xfId="0" applyNumberFormat="1" applyFill="1" applyBorder="1" applyAlignment="1" applyProtection="1">
      <alignment horizontal="center"/>
      <protection hidden="1"/>
    </xf>
    <xf numFmtId="1" fontId="0" fillId="11" borderId="149" xfId="0" applyNumberFormat="1" applyFill="1" applyBorder="1" applyAlignment="1" applyProtection="1">
      <alignment horizontal="center"/>
      <protection hidden="1"/>
    </xf>
    <xf numFmtId="0" fontId="0" fillId="11" borderId="120" xfId="0" applyFill="1" applyBorder="1" applyAlignment="1" applyProtection="1">
      <alignment horizontal="center"/>
      <protection hidden="1"/>
    </xf>
    <xf numFmtId="0" fontId="26" fillId="12" borderId="67" xfId="0" applyFont="1" applyFill="1" applyBorder="1" applyAlignment="1" applyProtection="1">
      <alignment horizontal="center"/>
      <protection hidden="1"/>
    </xf>
    <xf numFmtId="0" fontId="26" fillId="12" borderId="67" xfId="0" applyNumberFormat="1" applyFont="1" applyFill="1" applyBorder="1" applyAlignment="1" applyProtection="1">
      <alignment horizontal="center"/>
      <protection hidden="1"/>
    </xf>
    <xf numFmtId="0" fontId="26" fillId="12" borderId="26" xfId="0" applyFont="1" applyFill="1" applyBorder="1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47" fillId="0" borderId="65" xfId="0" applyFont="1" applyBorder="1" applyAlignment="1">
      <alignment horizontal="right"/>
    </xf>
    <xf numFmtId="0" fontId="47" fillId="0" borderId="45" xfId="0" applyFont="1" applyBorder="1" applyAlignment="1">
      <alignment horizontal="right" vertical="top"/>
    </xf>
    <xf numFmtId="0" fontId="46" fillId="0" borderId="0" xfId="0" applyFont="1" applyBorder="1"/>
    <xf numFmtId="0" fontId="46" fillId="0" borderId="0" xfId="0" applyFont="1" applyBorder="1" applyAlignment="1">
      <alignment vertical="top"/>
    </xf>
    <xf numFmtId="0" fontId="84" fillId="0" borderId="0" xfId="0" applyFont="1" applyBorder="1"/>
    <xf numFmtId="0" fontId="40" fillId="0" borderId="0" xfId="0" applyFont="1" applyBorder="1"/>
    <xf numFmtId="0" fontId="14" fillId="0" borderId="24" xfId="0" applyFont="1" applyBorder="1" applyAlignment="1">
      <alignment horizontal="right"/>
    </xf>
    <xf numFmtId="0" fontId="96" fillId="0" borderId="0" xfId="0" applyFont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hidden="1"/>
    </xf>
    <xf numFmtId="164" fontId="0" fillId="0" borderId="24" xfId="0" applyNumberFormat="1" applyBorder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164" fontId="96" fillId="0" borderId="0" xfId="0" applyNumberFormat="1" applyFont="1" applyAlignment="1" applyProtection="1">
      <alignment horizontal="center"/>
      <protection hidden="1"/>
    </xf>
    <xf numFmtId="164" fontId="8" fillId="12" borderId="79" xfId="0" applyNumberFormat="1" applyFont="1" applyFill="1" applyBorder="1" applyAlignment="1" applyProtection="1">
      <alignment horizontal="center"/>
      <protection locked="0"/>
    </xf>
    <xf numFmtId="0" fontId="112" fillId="12" borderId="77" xfId="0" applyFont="1" applyFill="1" applyBorder="1" applyAlignment="1" applyProtection="1">
      <alignment horizontal="center"/>
      <protection hidden="1"/>
    </xf>
    <xf numFmtId="0" fontId="0" fillId="0" borderId="0" xfId="0" quotePrefix="1" applyProtection="1">
      <protection hidden="1"/>
    </xf>
    <xf numFmtId="0" fontId="0" fillId="7" borderId="38" xfId="0" applyFill="1" applyBorder="1" applyAlignment="1" applyProtection="1">
      <alignment horizontal="center"/>
      <protection hidden="1"/>
    </xf>
    <xf numFmtId="0" fontId="0" fillId="17" borderId="38" xfId="0" applyFill="1" applyBorder="1" applyProtection="1">
      <protection hidden="1"/>
    </xf>
    <xf numFmtId="0" fontId="0" fillId="0" borderId="0" xfId="0" applyAlignment="1" applyProtection="1">
      <alignment horizontal="right"/>
      <protection locked="0"/>
    </xf>
    <xf numFmtId="164" fontId="8" fillId="17" borderId="38" xfId="0" applyNumberFormat="1" applyFont="1" applyFill="1" applyBorder="1" applyAlignment="1" applyProtection="1">
      <alignment horizontal="center"/>
      <protection locked="0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22" dropStyle="combo" dx="16" fmlaLink="$G$60" fmlaRange="$H$61:$H$82" sel="0" val="0"/>
</file>

<file path=xl/ctrlProps/ctrlProp2.xml><?xml version="1.0" encoding="utf-8"?>
<formControlPr xmlns="http://schemas.microsoft.com/office/spreadsheetml/2009/9/main" objectType="List" dx="16" fmlaLink="$B$130" fmlaRange="$E$150:$E$176" sel="2" val="0"/>
</file>

<file path=xl/ctrlProps/ctrlProp3.xml><?xml version="1.0" encoding="utf-8"?>
<formControlPr xmlns="http://schemas.microsoft.com/office/spreadsheetml/2009/9/main" objectType="Drop" dropLines="3" dropStyle="combo" dx="16" fmlaLink="$B$131" fmlaRange="$AB$100:$AB$102" sel="3" val="0"/>
</file>

<file path=xl/ctrlProps/ctrlProp4.xml><?xml version="1.0" encoding="utf-8"?>
<formControlPr xmlns="http://schemas.microsoft.com/office/spreadsheetml/2009/9/main" objectType="Drop" dropLines="16" dropStyle="combo" dx="16" fmlaLink="$E$140" fmlaRange="$C$130:$C$145" sel="1" val="0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Drop" dropLines="2" dropStyle="combo" dx="16" fmlaLink="$M$93" fmlaRange="$AB$100:$AB$101" sel="1" val="0"/>
</file>

<file path=xl/ctrlProps/ctrlProp7.xml><?xml version="1.0" encoding="utf-8"?>
<formControlPr xmlns="http://schemas.microsoft.com/office/spreadsheetml/2009/9/main" objectType="List" dx="16" fmlaLink="$M$91" fmlaRange="$D$103:$D$125" sel="2" val="0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Drop" dropLines="21" dropStyle="combo" dx="16" fmlaLink="$M$90" fmlaRange="$D$75:$D$95" sel="1" val="0"/>
</file>

<file path=xl/ctrlProps/ctrlProp10.xml><?xml version="1.0" encoding="utf-8"?>
<formControlPr xmlns="http://schemas.microsoft.com/office/spreadsheetml/2009/9/main" objectType="Drop" dropLines="17" dropStyle="combo" dx="16" fmlaLink="$M$40" fmlaRange="$E$35:$E$51" sel="2" val="0"/>
</file>

<file path=xl/ctrlProps/ctrlProp11.xml><?xml version="1.0" encoding="utf-8"?>
<formControlPr xmlns="http://schemas.microsoft.com/office/spreadsheetml/2009/9/main" objectType="Drop" dropLines="18" dropStyle="combo" dx="16" fmlaLink="$M$41" fmlaRange="$F$12:$F$29" sel="1" val="0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Drop" dropLines="17" dropStyle="combo" dx="16" fmlaLink="$M$40" fmlaRange="$E$35:$E$51" sel="1" val="0"/>
</file>

<file path=xl/ctrlProps/ctrlProp14.xml><?xml version="1.0" encoding="utf-8"?>
<formControlPr xmlns="http://schemas.microsoft.com/office/spreadsheetml/2009/9/main" objectType="Drop" dropLines="18" dropStyle="combo" dx="16" fmlaLink="$M$41" fmlaRange="$E$12:$E$29" sel="4" val="0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Drop" dropLines="17" dropStyle="combo" dx="16" fmlaLink="$M$40" fmlaRange="$E$35:$E$51" sel="2" val="0"/>
</file>

<file path=xl/ctrlProps/ctrlProp17.xml><?xml version="1.0" encoding="utf-8"?>
<formControlPr xmlns="http://schemas.microsoft.com/office/spreadsheetml/2009/9/main" objectType="Drop" dropLines="4" dropStyle="combo" dx="16" fmlaLink="$M$41" fmlaRange="$F$12:$F$15" sel="2" val="0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Drop" dropLines="16" dropStyle="combo" dx="16" fmlaLink="$M$40" fmlaRange="$E$35:$E$50" sel="1" val="0"/>
</file>

<file path=xl/ctrlProps/ctrlProp20.xml><?xml version="1.0" encoding="utf-8"?>
<formControlPr xmlns="http://schemas.microsoft.com/office/spreadsheetml/2009/9/main" objectType="Drop" dropLines="17" dropStyle="combo" dx="16" fmlaLink="$M$41" fmlaRange="$E$12:$E$28" sel="1" val="0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Drop" dropLines="15" dropStyle="combo" dx="16" fmlaLink="$M$65" fmlaRange="$E$60:$E$74" sel="3" val="0"/>
</file>

<file path=xl/ctrlProps/ctrlProp23.xml><?xml version="1.0" encoding="utf-8"?>
<formControlPr xmlns="http://schemas.microsoft.com/office/spreadsheetml/2009/9/main" objectType="Drop" dropLines="20" dropStyle="combo" dx="16" fmlaLink="$M$66" fmlaRange="$G$12:$G$48" sel="9" val="5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Drop" dropLines="15" dropStyle="combo" dx="16" fmlaLink="$M$65" fmlaRange="$E$60:$E$74" sel="1" val="0"/>
</file>

<file path=xl/ctrlProps/ctrlProp26.xml><?xml version="1.0" encoding="utf-8"?>
<formControlPr xmlns="http://schemas.microsoft.com/office/spreadsheetml/2009/9/main" objectType="Drop" dropLines="20" dropStyle="combo" dx="16" fmlaLink="$M$66" fmlaRange="$E$12:$E$37" sel="9" val="6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Drop" dropLines="15" dropStyle="combo" dx="16" fmlaLink="$M$44" fmlaRange="$E$39:$E$53" sel="1" val="0"/>
</file>

<file path=xl/ctrlProps/ctrlProp29.xml><?xml version="1.0" encoding="utf-8"?>
<formControlPr xmlns="http://schemas.microsoft.com/office/spreadsheetml/2009/9/main" objectType="Drop" dropLines="18" dropStyle="combo" dx="16" fmlaLink="$M$45" fmlaRange="$E$12:$E$29" sel="2" val="0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Drop" dropLines="15" dropStyle="combo" dx="16" fmlaLink="$M$40" fmlaRange="$E$35:$E$49" sel="1" val="0"/>
</file>

<file path=xl/ctrlProps/ctrlProp32.xml><?xml version="1.0" encoding="utf-8"?>
<formControlPr xmlns="http://schemas.microsoft.com/office/spreadsheetml/2009/9/main" objectType="Drop" dropLines="10" dropStyle="combo" dx="16" fmlaLink="$M$41" fmlaRange="$E$12:$E$21" sel="7" val="0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Drop" dropLines="16" dropStyle="combo" dx="16" fmlaLink="$M$40" fmlaRange="$E$35:$E$50" sel="8" val="0"/>
</file>

<file path=xl/ctrlProps/ctrlProp35.xml><?xml version="1.0" encoding="utf-8"?>
<formControlPr xmlns="http://schemas.microsoft.com/office/spreadsheetml/2009/9/main" objectType="Drop" dropLines="12" dropStyle="combo" dx="16" fmlaLink="$M$41" fmlaRange="$L$12:$L$23" sel="2" val="0"/>
</file>

<file path=xl/ctrlProps/ctrlProp36.xml><?xml version="1.0" encoding="utf-8"?>
<formControlPr xmlns="http://schemas.microsoft.com/office/spreadsheetml/2009/9/main" objectType="Button"/>
</file>

<file path=xl/ctrlProps/ctrlProp37.xml><?xml version="1.0" encoding="utf-8"?>
<formControlPr xmlns="http://schemas.microsoft.com/office/spreadsheetml/2009/9/main" objectType="List" dx="16" fmlaLink="$B$10" fmlaRange="$D$5:$D$80" sel="59" val="53"/>
</file>

<file path=xl/ctrlProps/ctrlProp38.xml><?xml version="1.0" encoding="utf-8"?>
<formControlPr xmlns="http://schemas.microsoft.com/office/spreadsheetml/2009/9/main" objectType="List" dx="16" fmlaLink="$AD$8" fmlaRange="$AJ$5:$AJ$27" noThreeD="1" sel="2" val="0"/>
</file>

<file path=xl/ctrlProps/ctrlProp39.xml><?xml version="1.0" encoding="utf-8"?>
<formControlPr xmlns="http://schemas.microsoft.com/office/spreadsheetml/2009/9/main" objectType="List" dx="16" fmlaLink="$AU$2" fmlaRange="$AU$4:$AU$22" noThreeD="1" sel="4" val="0"/>
</file>

<file path=xl/ctrlProps/ctrlProp40.xml><?xml version="1.0" encoding="utf-8"?>
<formControlPr xmlns="http://schemas.microsoft.com/office/spreadsheetml/2009/9/main" objectType="List" dx="16" fmlaLink="Толстолистовая!$B$10" fmlaRange="Толстолистовая!$D$5:$D$80" sel="59" val="52"/>
</file>

<file path=xl/ctrlProps/ctrlProp41.xml><?xml version="1.0" encoding="utf-8"?>
<formControlPr xmlns="http://schemas.microsoft.com/office/spreadsheetml/2009/9/main" objectType="List" dx="16" fmlaLink="Толстолистовая!$AD$8" fmlaRange="Толстолистовая!$AJ$5:$AJ$27" sel="2" val="0"/>
</file>

<file path=xl/ctrlProps/ctrlProp42.xml><?xml version="1.0" encoding="utf-8"?>
<formControlPr xmlns="http://schemas.microsoft.com/office/spreadsheetml/2009/9/main" objectType="List" dx="16" fmlaLink="Толстолистовая!$AU$2" fmlaRange="Толстолистовая!$AU$4:$AU$22" sel="4" val="0"/>
</file>

<file path=xl/ctrlProps/ctrlProp43.xml><?xml version="1.0" encoding="utf-8"?>
<formControlPr xmlns="http://schemas.microsoft.com/office/spreadsheetml/2009/9/main" objectType="List" dx="16" fmlaLink="Тонколистовая!$F$14" fmlaRange="Тонколистовая!$F$16:$F$49" sel="34" val="25"/>
</file>

<file path=xl/ctrlProps/ctrlProp44.xml><?xml version="1.0" encoding="utf-8"?>
<formControlPr xmlns="http://schemas.microsoft.com/office/spreadsheetml/2009/9/main" objectType="List" dx="16" fmlaLink="Тонколистовая!$J$14" fmlaRange="Тонколистовая!$J$16:$J$42" sel="3" val="2"/>
</file>

<file path=xl/ctrlProps/ctrlProp45.xml><?xml version="1.0" encoding="utf-8"?>
<formControlPr xmlns="http://schemas.microsoft.com/office/spreadsheetml/2009/9/main" objectType="List" dx="16" fmlaLink="Тонколистовая!$AH$14" fmlaRange="Тонколистовая!$AH$16:$AH$29" sel="6" val="0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List" dx="16" fmlaLink="$F$14" fmlaRange="$F$16:$F$49" noThreeD="1" sel="34" val="0"/>
</file>

<file path=xl/ctrlProps/ctrlProp48.xml><?xml version="1.0" encoding="utf-8"?>
<formControlPr xmlns="http://schemas.microsoft.com/office/spreadsheetml/2009/9/main" objectType="List" dx="16" fmlaLink="$J$14" fmlaRange="$J$16:$J$41" noThreeD="1" sel="3" val="0"/>
</file>

<file path=xl/ctrlProps/ctrlProp49.xml><?xml version="1.0" encoding="utf-8"?>
<formControlPr xmlns="http://schemas.microsoft.com/office/spreadsheetml/2009/9/main" objectType="List" dx="16" fmlaLink="$AH$14" fmlaRange="$AH$16:$AH$29" sel="6" val="0"/>
</file>

<file path=xl/ctrlProps/ctrlProp50.xml><?xml version="1.0" encoding="utf-8"?>
<formControlPr xmlns="http://schemas.microsoft.com/office/spreadsheetml/2009/9/main" objectType="List" dx="16" fmlaLink="$AB$33" fmlaRange="$AB$35:$AB$56" sel="14" val="4"/>
</file>

<file path=xl/ctrlProps/ctrlProp51.xml><?xml version="1.0" encoding="utf-8"?>
<formControlPr xmlns="http://schemas.microsoft.com/office/spreadsheetml/2009/9/main" objectType="List" dx="16" fmlaLink="$AE$33" fmlaRange="$AE$35:$AE$67" sel="13" val="6"/>
</file>

<file path=xl/ctrlProps/ctrlProp52.xml><?xml version="1.0" encoding="utf-8"?>
<formControlPr xmlns="http://schemas.microsoft.com/office/spreadsheetml/2009/9/main" objectType="List" dx="16" fmlaLink="$AI$33" fmlaRange="$AI$35:$AI$58" sel="21" val="11"/>
</file>

<file path=xl/ctrlProps/ctrlProp53.xml><?xml version="1.0" encoding="utf-8"?>
<formControlPr xmlns="http://schemas.microsoft.com/office/spreadsheetml/2009/9/main" objectType="List" dx="16" fmlaLink="$AL$33" fmlaRange="$AL$35:$AL$72" sel="29" val="18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Label"/>
</file>

<file path=xl/ctrlProps/ctrlProp56.xml><?xml version="1.0" encoding="utf-8"?>
<formControlPr xmlns="http://schemas.microsoft.com/office/spreadsheetml/2009/9/main" objectType="Label"/>
</file>

<file path=xl/ctrlProps/ctrlProp57.xml><?xml version="1.0" encoding="utf-8"?>
<formControlPr xmlns="http://schemas.microsoft.com/office/spreadsheetml/2009/9/main" objectType="List" dx="16" fmlaLink="$AD$33" fmlaRange="$AD$36:$AD$128" sel="87" val="78"/>
</file>

<file path=xl/ctrlProps/ctrlProp58.xml><?xml version="1.0" encoding="utf-8"?>
<formControlPr xmlns="http://schemas.microsoft.com/office/spreadsheetml/2009/9/main" objectType="List" dx="16" fmlaLink="$AH$33" fmlaRange="$AH$36:$AH$100" sel="8" val="2"/>
</file>

<file path=xl/ctrlProps/ctrlProp59.xml><?xml version="1.0" encoding="utf-8"?>
<formControlPr xmlns="http://schemas.microsoft.com/office/spreadsheetml/2009/9/main" objectType="List" dx="16" fmlaLink="$AL$33" fmlaRange="$AL$36:$AL$76" sel="39" val="30"/>
</file>

<file path=xl/ctrlProps/ctrlProp60.xml><?xml version="1.0" encoding="utf-8"?>
<formControlPr xmlns="http://schemas.microsoft.com/office/spreadsheetml/2009/9/main" objectType="Button"/>
</file>

<file path=xl/ctrlProps/ctrlProp61.xml><?xml version="1.0" encoding="utf-8"?>
<formControlPr xmlns="http://schemas.microsoft.com/office/spreadsheetml/2009/9/main" objectType="List" dx="16" fmlaLink="$C$63" fmlaRange="$D$65:$D$134" sel="7" val="0"/>
</file>

<file path=xl/ctrlProps/ctrlProp62.xml><?xml version="1.0" encoding="utf-8"?>
<formControlPr xmlns="http://schemas.microsoft.com/office/spreadsheetml/2009/9/main" objectType="List" dx="16" fmlaLink="$H$63" fmlaRange="$J$65:$J$115" sel="6" val="0"/>
</file>

<file path=xl/ctrlProps/ctrlProp63.xml><?xml version="1.0" encoding="utf-8"?>
<formControlPr xmlns="http://schemas.microsoft.com/office/spreadsheetml/2009/9/main" objectType="List" dx="16" fmlaLink="$C$146" fmlaRange="$D$148:$D$221" sel="8" val="0"/>
</file>

<file path=xl/ctrlProps/ctrlProp64.xml><?xml version="1.0" encoding="utf-8"?>
<formControlPr xmlns="http://schemas.microsoft.com/office/spreadsheetml/2009/9/main" objectType="List" dx="16" fmlaLink="$H$146" fmlaRange="$J$148:$J$192" sel="3" val="0"/>
</file>

<file path=xl/ctrlProps/ctrlProp65.xml><?xml version="1.0" encoding="utf-8"?>
<formControlPr xmlns="http://schemas.microsoft.com/office/spreadsheetml/2009/9/main" objectType="List" dx="16" fmlaLink="$C$236" fmlaRange="$D$238:$D$308" sel="63" val="60"/>
</file>

<file path=xl/ctrlProps/ctrlProp66.xml><?xml version="1.0" encoding="utf-8"?>
<formControlPr xmlns="http://schemas.microsoft.com/office/spreadsheetml/2009/9/main" objectType="List" dx="16" fmlaLink="$H$236" fmlaRange="$J$238:$J$276" sel="14" val="9"/>
</file>

<file path=xl/ctrlProps/ctrlProp67.xml><?xml version="1.0" encoding="utf-8"?>
<formControlPr xmlns="http://schemas.microsoft.com/office/spreadsheetml/2009/9/main" objectType="Button"/>
</file>

<file path=xl/ctrlProps/ctrlProp68.xml><?xml version="1.0" encoding="utf-8"?>
<formControlPr xmlns="http://schemas.microsoft.com/office/spreadsheetml/2009/9/main" objectType="Button"/>
</file>

<file path=xl/ctrlProps/ctrlProp69.xml><?xml version="1.0" encoding="utf-8"?>
<formControlPr xmlns="http://schemas.microsoft.com/office/spreadsheetml/2009/9/main" objectType="Drop" dropLines="13" dropStyle="combo" dx="16" fmlaLink="$M$40" fmlaRange="$E$37:$E$49" noThreeD="1" sel="4" val="0"/>
</file>

<file path=xl/ctrlProps/ctrlProp70.xml><?xml version="1.0" encoding="utf-8"?>
<formControlPr xmlns="http://schemas.microsoft.com/office/spreadsheetml/2009/9/main" objectType="Drop" dropLines="15" dropStyle="combo" dx="16" fmlaLink="$M$41" fmlaRange="$H$12:$H$26" sel="2" val="0"/>
</file>

<file path=xl/ctrlProps/ctrlProp71.xml><?xml version="1.0" encoding="utf-8"?>
<formControlPr xmlns="http://schemas.microsoft.com/office/spreadsheetml/2009/9/main" objectType="Button"/>
</file>

<file path=xl/ctrlProps/ctrlProp72.xml><?xml version="1.0" encoding="utf-8"?>
<formControlPr xmlns="http://schemas.microsoft.com/office/spreadsheetml/2009/9/main" objectType="Drop" dropLines="14" dropStyle="combo" dx="16" fmlaLink="$M$40" fmlaRange="$E$36:$E$49" sel="1" val="0"/>
</file>

<file path=xl/ctrlProps/ctrlProp73.xml><?xml version="1.0" encoding="utf-8"?>
<formControlPr xmlns="http://schemas.microsoft.com/office/spreadsheetml/2009/9/main" objectType="Drop" dropLines="19" dropStyle="combo" dx="16" fmlaLink="$M$41" fmlaRange="$E$12:$E$30" noThreeD="1" sel="2" val="0"/>
</file>

<file path=xl/ctrlProps/ctrlProp74.xml><?xml version="1.0" encoding="utf-8"?>
<formControlPr xmlns="http://schemas.microsoft.com/office/spreadsheetml/2009/9/main" objectType="Button"/>
</file>

<file path=xl/ctrlProps/ctrlProp75.xml><?xml version="1.0" encoding="utf-8"?>
<formControlPr xmlns="http://schemas.microsoft.com/office/spreadsheetml/2009/9/main" objectType="Drop" dropLines="13" dropStyle="combo" dx="16" fmlaLink="$M$130" fmlaRange="$E$127:$E$139" sel="2" val="0"/>
</file>

<file path=xl/ctrlProps/ctrlProp76.xml><?xml version="1.0" encoding="utf-8"?>
<formControlPr xmlns="http://schemas.microsoft.com/office/spreadsheetml/2009/9/main" objectType="Drop" dropLines="10" dropStyle="combo" dx="16" fmlaLink="$M$131" fmlaRange="$F$150:$F$172" sel="9" val="7"/>
</file>

<file path=xl/ctrlProps/ctrlProp77.xml><?xml version="1.0" encoding="utf-8"?>
<formControlPr xmlns="http://schemas.microsoft.com/office/spreadsheetml/2009/9/main" objectType="Drop" dropLines="6" dropStyle="combo" dx="16" fmlaLink="$M$132" fmlaRange="$AB$100:$AB$105" sel="6" val="0"/>
</file>

<file path=xl/ctrlProps/ctrlProp78.xml><?xml version="1.0" encoding="utf-8"?>
<formControlPr xmlns="http://schemas.microsoft.com/office/spreadsheetml/2009/9/main" objectType="Button"/>
</file>

<file path=xl/ctrlProps/ctrlProp79.xml><?xml version="1.0" encoding="utf-8"?>
<formControlPr xmlns="http://schemas.microsoft.com/office/spreadsheetml/2009/9/main" objectType="Drop" dropLines="13" dropStyle="combo" dx="16" fmlaLink="$N$270" fmlaRange="$E$264:$E$276" sel="2" val="0"/>
</file>

<file path=xl/ctrlProps/ctrlProp80.xml><?xml version="1.0" encoding="utf-8"?>
<formControlPr xmlns="http://schemas.microsoft.com/office/spreadsheetml/2009/9/main" objectType="Drop" dropLines="10" dropStyle="combo" dx="16" fmlaLink="$N$271" fmlaRange="$G$280:$G$340" sel="31" val="24"/>
</file>

<file path=xl/ctrlProps/ctrlProp81.xml><?xml version="1.0" encoding="utf-8"?>
<formControlPr xmlns="http://schemas.microsoft.com/office/spreadsheetml/2009/9/main" objectType="Drop" dropLines="6" dropStyle="combo" dx="16" fmlaLink="$N$272" fmlaRange="$AB$100:$AB$105" sel="2" val="0"/>
</file>

<file path=xl/ctrlProps/ctrlProp82.xml><?xml version="1.0" encoding="utf-8"?>
<formControlPr xmlns="http://schemas.microsoft.com/office/spreadsheetml/2009/9/main" objectType="Button"/>
</file>

<file path=xl/ctrlProps/ctrlProp83.xml><?xml version="1.0" encoding="utf-8"?>
<formControlPr xmlns="http://schemas.microsoft.com/office/spreadsheetml/2009/9/main" objectType="List" dx="16" fmlaLink="$F$38" fmlaRange="$F$40:$F$44" sel="3" val="0"/>
</file>

<file path=xl/ctrlProps/ctrlProp84.xml><?xml version="1.0" encoding="utf-8"?>
<formControlPr xmlns="http://schemas.microsoft.com/office/spreadsheetml/2009/9/main" objectType="List" dx="16" fmlaLink="$E$38" fmlaRange="$E$40:$E$42" sel="3" val="0"/>
</file>

<file path=xl/ctrlProps/ctrlProp85.xml><?xml version="1.0" encoding="utf-8"?>
<formControlPr xmlns="http://schemas.microsoft.com/office/spreadsheetml/2009/9/main" objectType="Button"/>
</file>

<file path=xl/ctrlProps/ctrlProp86.xml><?xml version="1.0" encoding="utf-8"?>
<formControlPr xmlns="http://schemas.microsoft.com/office/spreadsheetml/2009/9/main" objectType="List" dx="16" fmlaLink="$D$127" fmlaRange="$B$128:$B$134" sel="2" val="0"/>
</file>

<file path=xl/ctrlProps/ctrlProp87.xml><?xml version="1.0" encoding="utf-8"?>
<formControlPr xmlns="http://schemas.microsoft.com/office/spreadsheetml/2009/9/main" objectType="List" dx="16" fmlaLink="$D$97" fmlaRange="$D$98:$D$117" sel="6" val="0"/>
</file>

<file path=xl/ctrlProps/ctrlProp88.xml><?xml version="1.0" encoding="utf-8"?>
<formControlPr xmlns="http://schemas.microsoft.com/office/spreadsheetml/2009/9/main" objectType="Button"/>
</file>

<file path=xl/ctrlProps/ctrlProp89.xml><?xml version="1.0" encoding="utf-8"?>
<formControlPr xmlns="http://schemas.microsoft.com/office/spreadsheetml/2009/9/main" objectType="List" dx="16" fmlaLink="$D$127" fmlaRange="$B$128:$B$134" sel="3" val="0"/>
</file>

<file path=xl/ctrlProps/ctrlProp90.xml><?xml version="1.0" encoding="utf-8"?>
<formControlPr xmlns="http://schemas.microsoft.com/office/spreadsheetml/2009/9/main" objectType="List" dx="16" fmlaLink="$D$100" fmlaRange="$D$101:$D$112" sel="6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533400</xdr:colOff>
      <xdr:row>90</xdr:row>
      <xdr:rowOff>9525</xdr:rowOff>
    </xdr:to>
    <xdr:sp macro="" textlink="">
      <xdr:nvSpPr>
        <xdr:cNvPr id="33197" name="Rectangle 4525" descr="Орех">
          <a:extLst>
            <a:ext uri="{FF2B5EF4-FFF2-40B4-BE49-F238E27FC236}">
              <a16:creationId xmlns:a16="http://schemas.microsoft.com/office/drawing/2014/main" id="{00000000-0008-0000-0000-0000AD8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554200" cy="9725025"/>
        </a:xfrm>
        <a:prstGeom prst="rect">
          <a:avLst/>
        </a:prstGeom>
        <a:blipFill dpi="0" rotWithShape="0">
          <a:blip xmlns:r="http://schemas.openxmlformats.org/officeDocument/2006/relationships" r:embed="rId1" cstate="print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66675</xdr:colOff>
      <xdr:row>6</xdr:row>
      <xdr:rowOff>66675</xdr:rowOff>
    </xdr:from>
    <xdr:to>
      <xdr:col>2</xdr:col>
      <xdr:colOff>200025</xdr:colOff>
      <xdr:row>10</xdr:row>
      <xdr:rowOff>9525</xdr:rowOff>
    </xdr:to>
    <xdr:grpSp>
      <xdr:nvGrpSpPr>
        <xdr:cNvPr id="4434" name="Group 3410">
          <a:extLst>
            <a:ext uri="{FF2B5EF4-FFF2-40B4-BE49-F238E27FC236}">
              <a16:creationId xmlns:a16="http://schemas.microsoft.com/office/drawing/2014/main" id="{00000000-0008-0000-0000-000052110000}"/>
            </a:ext>
          </a:extLst>
        </xdr:cNvPr>
        <xdr:cNvGrpSpPr>
          <a:grpSpLocks/>
        </xdr:cNvGrpSpPr>
      </xdr:nvGrpSpPr>
      <xdr:grpSpPr bwMode="auto">
        <a:xfrm>
          <a:off x="66675" y="1038225"/>
          <a:ext cx="1352550" cy="590550"/>
          <a:chOff x="-7348" y="-68909"/>
          <a:chExt cx="25428" cy="219"/>
        </a:xfrm>
      </xdr:grpSpPr>
      <xdr:sp macro="[0]!Листы" textlink="">
        <xdr:nvSpPr>
          <xdr:cNvPr id="4278" name="Rectangle 3254">
            <a:extLst>
              <a:ext uri="{FF2B5EF4-FFF2-40B4-BE49-F238E27FC236}">
                <a16:creationId xmlns:a16="http://schemas.microsoft.com/office/drawing/2014/main" id="{00000000-0008-0000-0000-0000B6100000}"/>
              </a:ext>
            </a:extLst>
          </xdr:cNvPr>
          <xdr:cNvSpPr>
            <a:spLocks noChangeArrowheads="1"/>
          </xdr:cNvSpPr>
        </xdr:nvSpPr>
        <xdr:spPr bwMode="auto">
          <a:xfrm>
            <a:off x="-7348" y="-68909"/>
            <a:ext cx="25428" cy="219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280" name="Group 3256">
            <a:extLst>
              <a:ext uri="{FF2B5EF4-FFF2-40B4-BE49-F238E27FC236}">
                <a16:creationId xmlns:a16="http://schemas.microsoft.com/office/drawing/2014/main" id="{00000000-0008-0000-0000-0000B8100000}"/>
              </a:ext>
            </a:extLst>
          </xdr:cNvPr>
          <xdr:cNvGrpSpPr>
            <a:grpSpLocks/>
          </xdr:cNvGrpSpPr>
        </xdr:nvGrpSpPr>
        <xdr:grpSpPr bwMode="auto">
          <a:xfrm>
            <a:off x="-6256" y="-68879"/>
            <a:ext cx="23244" cy="165"/>
            <a:chOff x="480000" y="5120000"/>
            <a:chExt cx="2980000" cy="1100000"/>
          </a:xfrm>
        </xdr:grpSpPr>
        <xdr:sp macro="[0]!Листы" textlink="">
          <xdr:nvSpPr>
            <xdr:cNvPr id="4281" name="Объект 3257">
              <a:extLst>
                <a:ext uri="{FF2B5EF4-FFF2-40B4-BE49-F238E27FC236}">
                  <a16:creationId xmlns:a16="http://schemas.microsoft.com/office/drawing/2014/main" id="{00000000-0008-0000-0000-0000B9100000}"/>
                </a:ext>
              </a:extLst>
            </xdr:cNvPr>
            <xdr:cNvSpPr>
              <a:spLocks/>
            </xdr:cNvSpPr>
          </xdr:nvSpPr>
          <xdr:spPr bwMode="auto">
            <a:xfrm>
              <a:off x="540000" y="5380000"/>
              <a:ext cx="2920000" cy="840000"/>
            </a:xfrm>
            <a:custGeom>
              <a:avLst/>
              <a:gdLst/>
              <a:ahLst/>
              <a:cxnLst>
                <a:cxn ang="0">
                  <a:pos x="8128" y="0"/>
                </a:cxn>
                <a:cxn ang="0">
                  <a:pos x="16384" y="0"/>
                </a:cxn>
                <a:cxn ang="0">
                  <a:pos x="8128" y="16384"/>
                </a:cxn>
                <a:cxn ang="0">
                  <a:pos x="0" y="16384"/>
                </a:cxn>
                <a:cxn ang="0">
                  <a:pos x="8128" y="0"/>
                </a:cxn>
              </a:cxnLst>
              <a:rect l="0" t="0" r="r" b="b"/>
              <a:pathLst>
                <a:path w="16384" h="16384">
                  <a:moveTo>
                    <a:pt x="8128" y="0"/>
                  </a:moveTo>
                  <a:lnTo>
                    <a:pt x="16384" y="0"/>
                  </a:lnTo>
                  <a:lnTo>
                    <a:pt x="8128" y="16384"/>
                  </a:lnTo>
                  <a:lnTo>
                    <a:pt x="0" y="16384"/>
                  </a:lnTo>
                  <a:lnTo>
                    <a:pt x="8128" y="0"/>
                  </a:lnTo>
                  <a:close/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Листы" textlink="">
          <xdr:nvSpPr>
            <xdr:cNvPr id="4282" name="Объект 3258">
              <a:extLst>
                <a:ext uri="{FF2B5EF4-FFF2-40B4-BE49-F238E27FC236}">
                  <a16:creationId xmlns:a16="http://schemas.microsoft.com/office/drawing/2014/main" id="{00000000-0008-0000-0000-0000BA100000}"/>
                </a:ext>
              </a:extLst>
            </xdr:cNvPr>
            <xdr:cNvSpPr>
              <a:spLocks/>
            </xdr:cNvSpPr>
          </xdr:nvSpPr>
          <xdr:spPr bwMode="auto">
            <a:xfrm>
              <a:off x="540000" y="5320000"/>
              <a:ext cx="2900000" cy="780000"/>
            </a:xfrm>
            <a:custGeom>
              <a:avLst/>
              <a:gdLst/>
              <a:ahLst/>
              <a:cxnLst>
                <a:cxn ang="0">
                  <a:pos x="8128" y="0"/>
                </a:cxn>
                <a:cxn ang="0">
                  <a:pos x="16384" y="0"/>
                </a:cxn>
                <a:cxn ang="0">
                  <a:pos x="8128" y="16384"/>
                </a:cxn>
                <a:cxn ang="0">
                  <a:pos x="0" y="16384"/>
                </a:cxn>
                <a:cxn ang="0">
                  <a:pos x="8128" y="0"/>
                </a:cxn>
              </a:cxnLst>
              <a:rect l="0" t="0" r="r" b="b"/>
              <a:pathLst>
                <a:path w="16384" h="16384">
                  <a:moveTo>
                    <a:pt x="8128" y="0"/>
                  </a:moveTo>
                  <a:lnTo>
                    <a:pt x="16384" y="0"/>
                  </a:lnTo>
                  <a:lnTo>
                    <a:pt x="8128" y="16384"/>
                  </a:lnTo>
                  <a:lnTo>
                    <a:pt x="0" y="16384"/>
                  </a:lnTo>
                  <a:lnTo>
                    <a:pt x="8128" y="0"/>
                  </a:lnTo>
                  <a:close/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Листы" textlink="">
          <xdr:nvSpPr>
            <xdr:cNvPr id="4283" name="Объект 3259">
              <a:extLst>
                <a:ext uri="{FF2B5EF4-FFF2-40B4-BE49-F238E27FC236}">
                  <a16:creationId xmlns:a16="http://schemas.microsoft.com/office/drawing/2014/main" id="{00000000-0008-0000-0000-0000BB100000}"/>
                </a:ext>
              </a:extLst>
            </xdr:cNvPr>
            <xdr:cNvSpPr>
              <a:spLocks/>
            </xdr:cNvSpPr>
          </xdr:nvSpPr>
          <xdr:spPr bwMode="auto">
            <a:xfrm>
              <a:off x="520000" y="5240000"/>
              <a:ext cx="2900000" cy="760000"/>
            </a:xfrm>
            <a:custGeom>
              <a:avLst/>
              <a:gdLst/>
              <a:ahLst/>
              <a:cxnLst>
                <a:cxn ang="0">
                  <a:pos x="8128" y="0"/>
                </a:cxn>
                <a:cxn ang="0">
                  <a:pos x="16384" y="0"/>
                </a:cxn>
                <a:cxn ang="0">
                  <a:pos x="8128" y="16384"/>
                </a:cxn>
                <a:cxn ang="0">
                  <a:pos x="0" y="16384"/>
                </a:cxn>
                <a:cxn ang="0">
                  <a:pos x="8128" y="0"/>
                </a:cxn>
              </a:cxnLst>
              <a:rect l="0" t="0" r="r" b="b"/>
              <a:pathLst>
                <a:path w="16384" h="16384">
                  <a:moveTo>
                    <a:pt x="8128" y="0"/>
                  </a:moveTo>
                  <a:lnTo>
                    <a:pt x="16384" y="0"/>
                  </a:lnTo>
                  <a:lnTo>
                    <a:pt x="8128" y="16384"/>
                  </a:lnTo>
                  <a:lnTo>
                    <a:pt x="0" y="16384"/>
                  </a:lnTo>
                  <a:lnTo>
                    <a:pt x="8128" y="0"/>
                  </a:lnTo>
                  <a:close/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Листы" textlink="">
          <xdr:nvSpPr>
            <xdr:cNvPr id="4284" name="Объект 3260">
              <a:extLst>
                <a:ext uri="{FF2B5EF4-FFF2-40B4-BE49-F238E27FC236}">
                  <a16:creationId xmlns:a16="http://schemas.microsoft.com/office/drawing/2014/main" id="{00000000-0008-0000-0000-0000BC100000}"/>
                </a:ext>
              </a:extLst>
            </xdr:cNvPr>
            <xdr:cNvSpPr>
              <a:spLocks/>
            </xdr:cNvSpPr>
          </xdr:nvSpPr>
          <xdr:spPr bwMode="auto">
            <a:xfrm>
              <a:off x="500000" y="5180000"/>
              <a:ext cx="2920000" cy="740000"/>
            </a:xfrm>
            <a:custGeom>
              <a:avLst/>
              <a:gdLst/>
              <a:ahLst/>
              <a:cxnLst>
                <a:cxn ang="0">
                  <a:pos x="8128" y="0"/>
                </a:cxn>
                <a:cxn ang="0">
                  <a:pos x="16384" y="0"/>
                </a:cxn>
                <a:cxn ang="0">
                  <a:pos x="8128" y="16384"/>
                </a:cxn>
                <a:cxn ang="0">
                  <a:pos x="0" y="16384"/>
                </a:cxn>
                <a:cxn ang="0">
                  <a:pos x="8128" y="0"/>
                </a:cxn>
              </a:cxnLst>
              <a:rect l="0" t="0" r="r" b="b"/>
              <a:pathLst>
                <a:path w="16384" h="16384">
                  <a:moveTo>
                    <a:pt x="8128" y="0"/>
                  </a:moveTo>
                  <a:lnTo>
                    <a:pt x="16384" y="0"/>
                  </a:lnTo>
                  <a:lnTo>
                    <a:pt x="8128" y="16384"/>
                  </a:lnTo>
                  <a:lnTo>
                    <a:pt x="0" y="16384"/>
                  </a:lnTo>
                  <a:lnTo>
                    <a:pt x="8128" y="0"/>
                  </a:lnTo>
                  <a:close/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Листы" textlink="">
          <xdr:nvSpPr>
            <xdr:cNvPr id="4285" name="Объект 3261">
              <a:extLst>
                <a:ext uri="{FF2B5EF4-FFF2-40B4-BE49-F238E27FC236}">
                  <a16:creationId xmlns:a16="http://schemas.microsoft.com/office/drawing/2014/main" id="{00000000-0008-0000-0000-0000BD100000}"/>
                </a:ext>
              </a:extLst>
            </xdr:cNvPr>
            <xdr:cNvSpPr>
              <a:spLocks/>
            </xdr:cNvSpPr>
          </xdr:nvSpPr>
          <xdr:spPr bwMode="auto">
            <a:xfrm>
              <a:off x="480000" y="5120000"/>
              <a:ext cx="2920000" cy="700000"/>
            </a:xfrm>
            <a:custGeom>
              <a:avLst/>
              <a:gdLst/>
              <a:ahLst/>
              <a:cxnLst>
                <a:cxn ang="0">
                  <a:pos x="8128" y="0"/>
                </a:cxn>
                <a:cxn ang="0">
                  <a:pos x="16384" y="0"/>
                </a:cxn>
                <a:cxn ang="0">
                  <a:pos x="8128" y="16384"/>
                </a:cxn>
                <a:cxn ang="0">
                  <a:pos x="0" y="16384"/>
                </a:cxn>
                <a:cxn ang="0">
                  <a:pos x="8128" y="0"/>
                </a:cxn>
              </a:cxnLst>
              <a:rect l="0" t="0" r="r" b="b"/>
              <a:pathLst>
                <a:path w="16384" h="16384">
                  <a:moveTo>
                    <a:pt x="8128" y="0"/>
                  </a:moveTo>
                  <a:lnTo>
                    <a:pt x="16384" y="0"/>
                  </a:lnTo>
                  <a:lnTo>
                    <a:pt x="8128" y="16384"/>
                  </a:lnTo>
                  <a:lnTo>
                    <a:pt x="0" y="16384"/>
                  </a:lnTo>
                  <a:lnTo>
                    <a:pt x="8128" y="0"/>
                  </a:lnTo>
                  <a:close/>
                </a:path>
              </a:pathLst>
            </a:custGeom>
            <a:solidFill>
              <a:srgbClr val="FFCC99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</xdr:grpSp>
      <xdr:sp macro="[0]!Листы" textlink="">
        <xdr:nvSpPr>
          <xdr:cNvPr id="4411" name="Текст 3387">
            <a:extLst>
              <a:ext uri="{FF2B5EF4-FFF2-40B4-BE49-F238E27FC236}">
                <a16:creationId xmlns:a16="http://schemas.microsoft.com/office/drawing/2014/main" id="{00000000-0008-0000-0000-00003B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887" y="-68785"/>
            <a:ext cx="5014" cy="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12</a:t>
            </a:r>
          </a:p>
        </xdr:txBody>
      </xdr:sp>
      <xdr:sp macro="[0]!Листы" textlink="">
        <xdr:nvSpPr>
          <xdr:cNvPr id="4433" name="Текст 3409">
            <a:extLst>
              <a:ext uri="{FF2B5EF4-FFF2-40B4-BE49-F238E27FC236}">
                <a16:creationId xmlns:a16="http://schemas.microsoft.com/office/drawing/2014/main" id="{00000000-0008-0000-0000-000051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453" y="-68874"/>
            <a:ext cx="20056" cy="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0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Сталь листовая</a:t>
            </a:r>
          </a:p>
        </xdr:txBody>
      </xdr:sp>
    </xdr:grpSp>
    <xdr:clientData fPrintsWithSheet="0"/>
  </xdr:twoCellAnchor>
  <xdr:twoCellAnchor editAs="oneCell">
    <xdr:from>
      <xdr:col>2</xdr:col>
      <xdr:colOff>247650</xdr:colOff>
      <xdr:row>6</xdr:row>
      <xdr:rowOff>66675</xdr:rowOff>
    </xdr:from>
    <xdr:to>
      <xdr:col>4</xdr:col>
      <xdr:colOff>495300</xdr:colOff>
      <xdr:row>10</xdr:row>
      <xdr:rowOff>9525</xdr:rowOff>
    </xdr:to>
    <xdr:grpSp>
      <xdr:nvGrpSpPr>
        <xdr:cNvPr id="5116" name="Group 4092">
          <a:extLst>
            <a:ext uri="{FF2B5EF4-FFF2-40B4-BE49-F238E27FC236}">
              <a16:creationId xmlns:a16="http://schemas.microsoft.com/office/drawing/2014/main" id="{00000000-0008-0000-0000-0000FC130000}"/>
            </a:ext>
          </a:extLst>
        </xdr:cNvPr>
        <xdr:cNvGrpSpPr>
          <a:grpSpLocks/>
        </xdr:cNvGrpSpPr>
      </xdr:nvGrpSpPr>
      <xdr:grpSpPr bwMode="auto">
        <a:xfrm>
          <a:off x="1466850" y="1038225"/>
          <a:ext cx="1466850" cy="590550"/>
          <a:chOff x="429" y="129"/>
          <a:chExt cx="154" cy="44"/>
        </a:xfrm>
      </xdr:grpSpPr>
      <xdr:sp macro="[0]!Полосы" textlink="">
        <xdr:nvSpPr>
          <xdr:cNvPr id="4268" name="Rectangle 3244">
            <a:extLst>
              <a:ext uri="{FF2B5EF4-FFF2-40B4-BE49-F238E27FC236}">
                <a16:creationId xmlns:a16="http://schemas.microsoft.com/office/drawing/2014/main" id="{00000000-0008-0000-0000-0000AC100000}"/>
              </a:ext>
            </a:extLst>
          </xdr:cNvPr>
          <xdr:cNvSpPr>
            <a:spLocks noChangeArrowheads="1"/>
          </xdr:cNvSpPr>
        </xdr:nvSpPr>
        <xdr:spPr bwMode="auto">
          <a:xfrm>
            <a:off x="429" y="129"/>
            <a:ext cx="153" cy="44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270" name="Group 3246">
            <a:extLst>
              <a:ext uri="{FF2B5EF4-FFF2-40B4-BE49-F238E27FC236}">
                <a16:creationId xmlns:a16="http://schemas.microsoft.com/office/drawing/2014/main" id="{00000000-0008-0000-0000-0000AE100000}"/>
              </a:ext>
            </a:extLst>
          </xdr:cNvPr>
          <xdr:cNvGrpSpPr>
            <a:grpSpLocks/>
          </xdr:cNvGrpSpPr>
        </xdr:nvGrpSpPr>
        <xdr:grpSpPr bwMode="auto">
          <a:xfrm>
            <a:off x="431" y="150"/>
            <a:ext cx="134" cy="20"/>
            <a:chOff x="3840000" y="5720000"/>
            <a:chExt cx="3000000" cy="400000"/>
          </a:xfrm>
        </xdr:grpSpPr>
        <xdr:sp macro="[0]!Полосы" textlink="">
          <xdr:nvSpPr>
            <xdr:cNvPr id="4271" name="Объект 3247">
              <a:extLst>
                <a:ext uri="{FF2B5EF4-FFF2-40B4-BE49-F238E27FC236}">
                  <a16:creationId xmlns:a16="http://schemas.microsoft.com/office/drawing/2014/main" id="{00000000-0008-0000-0000-0000AF100000}"/>
                </a:ext>
              </a:extLst>
            </xdr:cNvPr>
            <xdr:cNvSpPr>
              <a:spLocks/>
            </xdr:cNvSpPr>
          </xdr:nvSpPr>
          <xdr:spPr bwMode="auto">
            <a:xfrm>
              <a:off x="3840000" y="5880000"/>
              <a:ext cx="3000000" cy="240000"/>
            </a:xfrm>
            <a:custGeom>
              <a:avLst/>
              <a:gdLst/>
              <a:ahLst/>
              <a:cxnLst>
                <a:cxn ang="0">
                  <a:pos x="0" y="9557"/>
                </a:cxn>
                <a:cxn ang="0">
                  <a:pos x="15440" y="0"/>
                </a:cxn>
                <a:cxn ang="0">
                  <a:pos x="16384" y="5461"/>
                </a:cxn>
                <a:cxn ang="0">
                  <a:pos x="858" y="16384"/>
                </a:cxn>
                <a:cxn ang="0">
                  <a:pos x="0" y="9557"/>
                </a:cxn>
              </a:cxnLst>
              <a:rect l="0" t="0" r="r" b="b"/>
              <a:pathLst>
                <a:path w="16384" h="16384">
                  <a:moveTo>
                    <a:pt x="0" y="9557"/>
                  </a:moveTo>
                  <a:lnTo>
                    <a:pt x="15440" y="0"/>
                  </a:lnTo>
                  <a:lnTo>
                    <a:pt x="16384" y="5461"/>
                  </a:lnTo>
                  <a:lnTo>
                    <a:pt x="858" y="16384"/>
                  </a:lnTo>
                  <a:lnTo>
                    <a:pt x="0" y="9557"/>
                  </a:lnTo>
                  <a:close/>
                </a:path>
              </a:pathLst>
            </a:custGeom>
            <a:solidFill>
              <a:srgbClr val="969696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Полосы" textlink="">
          <xdr:nvSpPr>
            <xdr:cNvPr id="4272" name="Объект 3248">
              <a:extLst>
                <a:ext uri="{FF2B5EF4-FFF2-40B4-BE49-F238E27FC236}">
                  <a16:creationId xmlns:a16="http://schemas.microsoft.com/office/drawing/2014/main" id="{00000000-0008-0000-0000-0000B0100000}"/>
                </a:ext>
              </a:extLst>
            </xdr:cNvPr>
            <xdr:cNvSpPr>
              <a:spLocks/>
            </xdr:cNvSpPr>
          </xdr:nvSpPr>
          <xdr:spPr bwMode="auto">
            <a:xfrm>
              <a:off x="3920000" y="5840000"/>
              <a:ext cx="2920000" cy="240000"/>
            </a:xfrm>
            <a:custGeom>
              <a:avLst/>
              <a:gdLst/>
              <a:ahLst/>
              <a:cxnLst>
                <a:cxn ang="0">
                  <a:pos x="0" y="9557"/>
                </a:cxn>
                <a:cxn ang="0">
                  <a:pos x="15440" y="0"/>
                </a:cxn>
                <a:cxn ang="0">
                  <a:pos x="16384" y="5461"/>
                </a:cxn>
                <a:cxn ang="0">
                  <a:pos x="858" y="16384"/>
                </a:cxn>
                <a:cxn ang="0">
                  <a:pos x="0" y="9557"/>
                </a:cxn>
              </a:cxnLst>
              <a:rect l="0" t="0" r="r" b="b"/>
              <a:pathLst>
                <a:path w="16384" h="16384">
                  <a:moveTo>
                    <a:pt x="0" y="9557"/>
                  </a:moveTo>
                  <a:lnTo>
                    <a:pt x="15440" y="0"/>
                  </a:lnTo>
                  <a:lnTo>
                    <a:pt x="16384" y="5461"/>
                  </a:lnTo>
                  <a:lnTo>
                    <a:pt x="858" y="16384"/>
                  </a:lnTo>
                  <a:lnTo>
                    <a:pt x="0" y="9557"/>
                  </a:lnTo>
                  <a:close/>
                </a:path>
              </a:pathLst>
            </a:custGeom>
            <a:solidFill>
              <a:srgbClr val="969696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Полосы" textlink="">
          <xdr:nvSpPr>
            <xdr:cNvPr id="4273" name="Объект 3249">
              <a:extLst>
                <a:ext uri="{FF2B5EF4-FFF2-40B4-BE49-F238E27FC236}">
                  <a16:creationId xmlns:a16="http://schemas.microsoft.com/office/drawing/2014/main" id="{00000000-0008-0000-0000-0000B1100000}"/>
                </a:ext>
              </a:extLst>
            </xdr:cNvPr>
            <xdr:cNvSpPr>
              <a:spLocks/>
            </xdr:cNvSpPr>
          </xdr:nvSpPr>
          <xdr:spPr bwMode="auto">
            <a:xfrm>
              <a:off x="3980000" y="5800000"/>
              <a:ext cx="2860000" cy="240000"/>
            </a:xfrm>
            <a:custGeom>
              <a:avLst/>
              <a:gdLst/>
              <a:ahLst/>
              <a:cxnLst>
                <a:cxn ang="0">
                  <a:pos x="0" y="9557"/>
                </a:cxn>
                <a:cxn ang="0">
                  <a:pos x="15440" y="0"/>
                </a:cxn>
                <a:cxn ang="0">
                  <a:pos x="16384" y="5461"/>
                </a:cxn>
                <a:cxn ang="0">
                  <a:pos x="858" y="16384"/>
                </a:cxn>
                <a:cxn ang="0">
                  <a:pos x="0" y="9557"/>
                </a:cxn>
              </a:cxnLst>
              <a:rect l="0" t="0" r="r" b="b"/>
              <a:pathLst>
                <a:path w="16384" h="16384">
                  <a:moveTo>
                    <a:pt x="0" y="9557"/>
                  </a:moveTo>
                  <a:lnTo>
                    <a:pt x="15440" y="0"/>
                  </a:lnTo>
                  <a:lnTo>
                    <a:pt x="16384" y="5461"/>
                  </a:lnTo>
                  <a:lnTo>
                    <a:pt x="858" y="16384"/>
                  </a:lnTo>
                  <a:lnTo>
                    <a:pt x="0" y="9557"/>
                  </a:lnTo>
                  <a:close/>
                </a:path>
              </a:pathLst>
            </a:custGeom>
            <a:solidFill>
              <a:srgbClr val="969696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Полосы" textlink="">
          <xdr:nvSpPr>
            <xdr:cNvPr id="4274" name="Объект 3250">
              <a:extLst>
                <a:ext uri="{FF2B5EF4-FFF2-40B4-BE49-F238E27FC236}">
                  <a16:creationId xmlns:a16="http://schemas.microsoft.com/office/drawing/2014/main" id="{00000000-0008-0000-0000-0000B2100000}"/>
                </a:ext>
              </a:extLst>
            </xdr:cNvPr>
            <xdr:cNvSpPr>
              <a:spLocks/>
            </xdr:cNvSpPr>
          </xdr:nvSpPr>
          <xdr:spPr bwMode="auto">
            <a:xfrm>
              <a:off x="4060000" y="5760000"/>
              <a:ext cx="2780000" cy="240000"/>
            </a:xfrm>
            <a:custGeom>
              <a:avLst/>
              <a:gdLst/>
              <a:ahLst/>
              <a:cxnLst>
                <a:cxn ang="0">
                  <a:pos x="0" y="9557"/>
                </a:cxn>
                <a:cxn ang="0">
                  <a:pos x="15440" y="0"/>
                </a:cxn>
                <a:cxn ang="0">
                  <a:pos x="16384" y="5461"/>
                </a:cxn>
                <a:cxn ang="0">
                  <a:pos x="858" y="16384"/>
                </a:cxn>
                <a:cxn ang="0">
                  <a:pos x="0" y="9557"/>
                </a:cxn>
              </a:cxnLst>
              <a:rect l="0" t="0" r="r" b="b"/>
              <a:pathLst>
                <a:path w="16384" h="16384">
                  <a:moveTo>
                    <a:pt x="0" y="9557"/>
                  </a:moveTo>
                  <a:lnTo>
                    <a:pt x="15440" y="0"/>
                  </a:lnTo>
                  <a:lnTo>
                    <a:pt x="16384" y="5461"/>
                  </a:lnTo>
                  <a:lnTo>
                    <a:pt x="858" y="16384"/>
                  </a:lnTo>
                  <a:lnTo>
                    <a:pt x="0" y="9557"/>
                  </a:lnTo>
                  <a:close/>
                </a:path>
              </a:pathLst>
            </a:custGeom>
            <a:solidFill>
              <a:srgbClr val="969696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Полосы" textlink="">
          <xdr:nvSpPr>
            <xdr:cNvPr id="4275" name="Объект 3251">
              <a:extLst>
                <a:ext uri="{FF2B5EF4-FFF2-40B4-BE49-F238E27FC236}">
                  <a16:creationId xmlns:a16="http://schemas.microsoft.com/office/drawing/2014/main" id="{00000000-0008-0000-0000-0000B3100000}"/>
                </a:ext>
              </a:extLst>
            </xdr:cNvPr>
            <xdr:cNvSpPr>
              <a:spLocks/>
            </xdr:cNvSpPr>
          </xdr:nvSpPr>
          <xdr:spPr bwMode="auto">
            <a:xfrm>
              <a:off x="4120000" y="5720000"/>
              <a:ext cx="2720000" cy="240000"/>
            </a:xfrm>
            <a:custGeom>
              <a:avLst/>
              <a:gdLst/>
              <a:ahLst/>
              <a:cxnLst>
                <a:cxn ang="0">
                  <a:pos x="0" y="9557"/>
                </a:cxn>
                <a:cxn ang="0">
                  <a:pos x="15440" y="0"/>
                </a:cxn>
                <a:cxn ang="0">
                  <a:pos x="16384" y="5461"/>
                </a:cxn>
                <a:cxn ang="0">
                  <a:pos x="858" y="16384"/>
                </a:cxn>
                <a:cxn ang="0">
                  <a:pos x="0" y="9557"/>
                </a:cxn>
              </a:cxnLst>
              <a:rect l="0" t="0" r="r" b="b"/>
              <a:pathLst>
                <a:path w="16384" h="16384">
                  <a:moveTo>
                    <a:pt x="0" y="9557"/>
                  </a:moveTo>
                  <a:lnTo>
                    <a:pt x="15440" y="0"/>
                  </a:lnTo>
                  <a:lnTo>
                    <a:pt x="16384" y="5461"/>
                  </a:lnTo>
                  <a:lnTo>
                    <a:pt x="858" y="16384"/>
                  </a:lnTo>
                  <a:lnTo>
                    <a:pt x="0" y="9557"/>
                  </a:lnTo>
                  <a:close/>
                </a:path>
              </a:pathLst>
            </a:custGeom>
            <a:solidFill>
              <a:srgbClr val="FFCC99"/>
            </a:solidFill>
            <a:ln w="9525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</xdr:grpSp>
      <xdr:sp macro="[0]!Полосы" textlink="">
        <xdr:nvSpPr>
          <xdr:cNvPr id="4413" name="Текст 3389">
            <a:extLst>
              <a:ext uri="{FF2B5EF4-FFF2-40B4-BE49-F238E27FC236}">
                <a16:creationId xmlns:a16="http://schemas.microsoft.com/office/drawing/2014/main" id="{00000000-0008-0000-0000-00003D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55" y="132"/>
            <a:ext cx="28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13</a:t>
            </a:r>
          </a:p>
        </xdr:txBody>
      </xdr:sp>
      <xdr:sp macro="[0]!Полосы" textlink="">
        <xdr:nvSpPr>
          <xdr:cNvPr id="4435" name="Текст 3411">
            <a:extLst>
              <a:ext uri="{FF2B5EF4-FFF2-40B4-BE49-F238E27FC236}">
                <a16:creationId xmlns:a16="http://schemas.microsoft.com/office/drawing/2014/main" id="{00000000-0008-0000-0000-000053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33" y="134"/>
            <a:ext cx="12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0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Сталь полосовая</a:t>
            </a:r>
          </a:p>
        </xdr:txBody>
      </xdr:sp>
    </xdr:grpSp>
    <xdr:clientData fPrintsWithSheet="0"/>
  </xdr:twoCellAnchor>
  <xdr:twoCellAnchor editAs="oneCell">
    <xdr:from>
      <xdr:col>4</xdr:col>
      <xdr:colOff>542925</xdr:colOff>
      <xdr:row>6</xdr:row>
      <xdr:rowOff>66675</xdr:rowOff>
    </xdr:from>
    <xdr:to>
      <xdr:col>6</xdr:col>
      <xdr:colOff>285750</xdr:colOff>
      <xdr:row>10</xdr:row>
      <xdr:rowOff>9525</xdr:rowOff>
    </xdr:to>
    <xdr:grpSp>
      <xdr:nvGrpSpPr>
        <xdr:cNvPr id="4440" name="Group 3416">
          <a:extLst>
            <a:ext uri="{FF2B5EF4-FFF2-40B4-BE49-F238E27FC236}">
              <a16:creationId xmlns:a16="http://schemas.microsoft.com/office/drawing/2014/main" id="{00000000-0008-0000-0000-000058110000}"/>
            </a:ext>
          </a:extLst>
        </xdr:cNvPr>
        <xdr:cNvGrpSpPr>
          <a:grpSpLocks/>
        </xdr:cNvGrpSpPr>
      </xdr:nvGrpSpPr>
      <xdr:grpSpPr bwMode="auto">
        <a:xfrm>
          <a:off x="2981325" y="1038225"/>
          <a:ext cx="962025" cy="590550"/>
          <a:chOff x="-1812" y="-98478"/>
          <a:chExt cx="16721" cy="165"/>
        </a:xfrm>
      </xdr:grpSpPr>
      <xdr:sp macro="[0]!Стержень" textlink="">
        <xdr:nvSpPr>
          <xdr:cNvPr id="4288" name="Rectangle 3264">
            <a:extLst>
              <a:ext uri="{FF2B5EF4-FFF2-40B4-BE49-F238E27FC236}">
                <a16:creationId xmlns:a16="http://schemas.microsoft.com/office/drawing/2014/main" id="{00000000-0008-0000-0000-0000C0100000}"/>
              </a:ext>
            </a:extLst>
          </xdr:cNvPr>
          <xdr:cNvSpPr>
            <a:spLocks noChangeArrowheads="1"/>
          </xdr:cNvSpPr>
        </xdr:nvSpPr>
        <xdr:spPr bwMode="auto">
          <a:xfrm>
            <a:off x="-1812" y="-98478"/>
            <a:ext cx="15600" cy="165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[0]!Стержень" textlink="">
        <xdr:nvSpPr>
          <xdr:cNvPr id="4414" name="Текст 3390">
            <a:extLst>
              <a:ext uri="{FF2B5EF4-FFF2-40B4-BE49-F238E27FC236}">
                <a16:creationId xmlns:a16="http://schemas.microsoft.com/office/drawing/2014/main" id="{00000000-0008-0000-0000-00003E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273" y="-98475"/>
            <a:ext cx="4636" cy="6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14</a:t>
            </a:r>
          </a:p>
        </xdr:txBody>
      </xdr:sp>
      <xdr:sp macro="[0]!Стержень" textlink="">
        <xdr:nvSpPr>
          <xdr:cNvPr id="4291" name="Oval 3267">
            <a:extLst>
              <a:ext uri="{FF2B5EF4-FFF2-40B4-BE49-F238E27FC236}">
                <a16:creationId xmlns:a16="http://schemas.microsoft.com/office/drawing/2014/main" id="{00000000-0008-0000-0000-0000C3100000}"/>
              </a:ext>
            </a:extLst>
          </xdr:cNvPr>
          <xdr:cNvSpPr>
            <a:spLocks noChangeArrowheads="1"/>
          </xdr:cNvSpPr>
        </xdr:nvSpPr>
        <xdr:spPr bwMode="auto">
          <a:xfrm>
            <a:off x="-1188" y="-98406"/>
            <a:ext cx="3588" cy="75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[0]!Стержень" textlink="">
        <xdr:nvSpPr>
          <xdr:cNvPr id="4292" name="Rectangle 3268">
            <a:extLst>
              <a:ext uri="{FF2B5EF4-FFF2-40B4-BE49-F238E27FC236}">
                <a16:creationId xmlns:a16="http://schemas.microsoft.com/office/drawing/2014/main" id="{00000000-0008-0000-0000-0000C4100000}"/>
              </a:ext>
            </a:extLst>
          </xdr:cNvPr>
          <xdr:cNvSpPr>
            <a:spLocks noChangeArrowheads="1"/>
          </xdr:cNvSpPr>
        </xdr:nvSpPr>
        <xdr:spPr bwMode="auto">
          <a:xfrm>
            <a:off x="3648" y="-98400"/>
            <a:ext cx="3120" cy="66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[0]!Стержень" textlink="">
        <xdr:nvSpPr>
          <xdr:cNvPr id="4293" name="Объект 3269">
            <a:extLst>
              <a:ext uri="{FF2B5EF4-FFF2-40B4-BE49-F238E27FC236}">
                <a16:creationId xmlns:a16="http://schemas.microsoft.com/office/drawing/2014/main" id="{00000000-0008-0000-0000-0000C5100000}"/>
              </a:ext>
            </a:extLst>
          </xdr:cNvPr>
          <xdr:cNvSpPr>
            <a:spLocks/>
          </xdr:cNvSpPr>
        </xdr:nvSpPr>
        <xdr:spPr bwMode="auto">
          <a:xfrm>
            <a:off x="8328" y="-98406"/>
            <a:ext cx="4368" cy="78"/>
          </a:xfrm>
          <a:custGeom>
            <a:avLst/>
            <a:gdLst/>
            <a:ahLst/>
            <a:cxnLst>
              <a:cxn ang="0">
                <a:pos x="4096" y="0"/>
              </a:cxn>
              <a:cxn ang="0">
                <a:pos x="0" y="8192"/>
              </a:cxn>
              <a:cxn ang="0">
                <a:pos x="4096" y="16384"/>
              </a:cxn>
              <a:cxn ang="0">
                <a:pos x="12288" y="16384"/>
              </a:cxn>
              <a:cxn ang="0">
                <a:pos x="16384" y="8192"/>
              </a:cxn>
              <a:cxn ang="0">
                <a:pos x="12288" y="0"/>
              </a:cxn>
              <a:cxn ang="0">
                <a:pos x="4096" y="0"/>
              </a:cxn>
            </a:cxnLst>
            <a:rect l="0" t="0" r="r" b="b"/>
            <a:pathLst>
              <a:path w="16384" h="16384">
                <a:moveTo>
                  <a:pt x="4096" y="0"/>
                </a:moveTo>
                <a:lnTo>
                  <a:pt x="0" y="8192"/>
                </a:lnTo>
                <a:lnTo>
                  <a:pt x="4096" y="16384"/>
                </a:lnTo>
                <a:lnTo>
                  <a:pt x="12288" y="16384"/>
                </a:lnTo>
                <a:lnTo>
                  <a:pt x="16384" y="8192"/>
                </a:lnTo>
                <a:lnTo>
                  <a:pt x="12288" y="0"/>
                </a:lnTo>
                <a:lnTo>
                  <a:pt x="4096" y="0"/>
                </a:lnTo>
                <a:close/>
              </a:path>
            </a:pathLst>
          </a:custGeom>
          <a:solidFill>
            <a:srgbClr val="C0C0C0"/>
          </a:solidFill>
          <a:ln w="952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[0]!Стержень" textlink="">
        <xdr:nvSpPr>
          <xdr:cNvPr id="4438" name="Текст 3414">
            <a:extLst>
              <a:ext uri="{FF2B5EF4-FFF2-40B4-BE49-F238E27FC236}">
                <a16:creationId xmlns:a16="http://schemas.microsoft.com/office/drawing/2014/main" id="{00000000-0008-0000-0000-000056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315" y="-98475"/>
            <a:ext cx="10761" cy="5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0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Стержни</a:t>
            </a:r>
          </a:p>
        </xdr:txBody>
      </xdr:sp>
    </xdr:grpSp>
    <xdr:clientData fPrintsWithSheet="0"/>
  </xdr:twoCellAnchor>
  <xdr:twoCellAnchor editAs="oneCell">
    <xdr:from>
      <xdr:col>6</xdr:col>
      <xdr:colOff>285750</xdr:colOff>
      <xdr:row>6</xdr:row>
      <xdr:rowOff>66675</xdr:rowOff>
    </xdr:from>
    <xdr:to>
      <xdr:col>7</xdr:col>
      <xdr:colOff>419100</xdr:colOff>
      <xdr:row>10</xdr:row>
      <xdr:rowOff>19050</xdr:rowOff>
    </xdr:to>
    <xdr:grpSp>
      <xdr:nvGrpSpPr>
        <xdr:cNvPr id="5117" name="Group 4093">
          <a:extLst>
            <a:ext uri="{FF2B5EF4-FFF2-40B4-BE49-F238E27FC236}">
              <a16:creationId xmlns:a16="http://schemas.microsoft.com/office/drawing/2014/main" id="{00000000-0008-0000-0000-0000FD130000}"/>
            </a:ext>
          </a:extLst>
        </xdr:cNvPr>
        <xdr:cNvGrpSpPr>
          <a:grpSpLocks/>
        </xdr:cNvGrpSpPr>
      </xdr:nvGrpSpPr>
      <xdr:grpSpPr bwMode="auto">
        <a:xfrm>
          <a:off x="3943350" y="1038225"/>
          <a:ext cx="742950" cy="600075"/>
          <a:chOff x="438" y="113"/>
          <a:chExt cx="78" cy="66"/>
        </a:xfrm>
      </xdr:grpSpPr>
      <xdr:sp macro="[0]!Трубная" textlink="">
        <xdr:nvSpPr>
          <xdr:cNvPr id="4296" name="Rectangle 3272">
            <a:extLst>
              <a:ext uri="{FF2B5EF4-FFF2-40B4-BE49-F238E27FC236}">
                <a16:creationId xmlns:a16="http://schemas.microsoft.com/office/drawing/2014/main" id="{00000000-0008-0000-0000-0000C8100000}"/>
              </a:ext>
            </a:extLst>
          </xdr:cNvPr>
          <xdr:cNvSpPr>
            <a:spLocks noChangeArrowheads="1"/>
          </xdr:cNvSpPr>
        </xdr:nvSpPr>
        <xdr:spPr bwMode="auto">
          <a:xfrm>
            <a:off x="438" y="113"/>
            <a:ext cx="75" cy="63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298" name="Group 3274">
            <a:extLst>
              <a:ext uri="{FF2B5EF4-FFF2-40B4-BE49-F238E27FC236}">
                <a16:creationId xmlns:a16="http://schemas.microsoft.com/office/drawing/2014/main" id="{00000000-0008-0000-0000-0000CA100000}"/>
              </a:ext>
            </a:extLst>
          </xdr:cNvPr>
          <xdr:cNvGrpSpPr>
            <a:grpSpLocks/>
          </xdr:cNvGrpSpPr>
        </xdr:nvGrpSpPr>
        <xdr:grpSpPr bwMode="auto">
          <a:xfrm>
            <a:off x="441" y="118"/>
            <a:ext cx="39" cy="39"/>
            <a:chOff x="9800000" y="5540000"/>
            <a:chExt cx="780000" cy="780000"/>
          </a:xfrm>
        </xdr:grpSpPr>
        <xdr:sp macro="[0]!Трубная" textlink="">
          <xdr:nvSpPr>
            <xdr:cNvPr id="4299" name="Oval 3275">
              <a:extLst>
                <a:ext uri="{FF2B5EF4-FFF2-40B4-BE49-F238E27FC236}">
                  <a16:creationId xmlns:a16="http://schemas.microsoft.com/office/drawing/2014/main" id="{00000000-0008-0000-0000-0000CB1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800000" y="5540000"/>
              <a:ext cx="780000" cy="780000"/>
            </a:xfrm>
            <a:prstGeom prst="ellipse">
              <a:avLst/>
            </a:prstGeom>
            <a:solidFill>
              <a:srgbClr val="FFCC99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[0]!Трубная" textlink="">
          <xdr:nvSpPr>
            <xdr:cNvPr id="4300" name="Oval 3276">
              <a:extLst>
                <a:ext uri="{FF2B5EF4-FFF2-40B4-BE49-F238E27FC236}">
                  <a16:creationId xmlns:a16="http://schemas.microsoft.com/office/drawing/2014/main" id="{00000000-0008-0000-0000-0000CC1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900000" y="5640000"/>
              <a:ext cx="560000" cy="560000"/>
            </a:xfrm>
            <a:prstGeom prst="ellipse">
              <a:avLst/>
            </a:prstGeom>
            <a:solidFill>
              <a:srgbClr val="333333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[0]!Трубная" textlink="">
        <xdr:nvSpPr>
          <xdr:cNvPr id="4417" name="Текст 3393">
            <a:extLst>
              <a:ext uri="{FF2B5EF4-FFF2-40B4-BE49-F238E27FC236}">
                <a16:creationId xmlns:a16="http://schemas.microsoft.com/office/drawing/2014/main" id="{00000000-0008-0000-0000-000041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4" y="117"/>
            <a:ext cx="28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15</a:t>
            </a:r>
          </a:p>
        </xdr:txBody>
      </xdr:sp>
      <xdr:sp macro="[0]!Трубная" textlink="">
        <xdr:nvSpPr>
          <xdr:cNvPr id="4441" name="Текст 3417">
            <a:extLst>
              <a:ext uri="{FF2B5EF4-FFF2-40B4-BE49-F238E27FC236}">
                <a16:creationId xmlns:a16="http://schemas.microsoft.com/office/drawing/2014/main" id="{00000000-0008-0000-0000-000059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6" y="157"/>
            <a:ext cx="50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0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Трубы</a:t>
            </a:r>
          </a:p>
        </xdr:txBody>
      </xdr:sp>
    </xdr:grpSp>
    <xdr:clientData fPrintsWithSheet="0"/>
  </xdr:twoCellAnchor>
  <xdr:twoCellAnchor editAs="oneCell">
    <xdr:from>
      <xdr:col>1</xdr:col>
      <xdr:colOff>142875</xdr:colOff>
      <xdr:row>17</xdr:row>
      <xdr:rowOff>85725</xdr:rowOff>
    </xdr:from>
    <xdr:to>
      <xdr:col>9</xdr:col>
      <xdr:colOff>133350</xdr:colOff>
      <xdr:row>20</xdr:row>
      <xdr:rowOff>66675</xdr:rowOff>
    </xdr:to>
    <xdr:grpSp>
      <xdr:nvGrpSpPr>
        <xdr:cNvPr id="33201" name="Group 4529">
          <a:extLst>
            <a:ext uri="{FF2B5EF4-FFF2-40B4-BE49-F238E27FC236}">
              <a16:creationId xmlns:a16="http://schemas.microsoft.com/office/drawing/2014/main" id="{00000000-0008-0000-0000-0000B1810000}"/>
            </a:ext>
          </a:extLst>
        </xdr:cNvPr>
        <xdr:cNvGrpSpPr>
          <a:grpSpLocks/>
        </xdr:cNvGrpSpPr>
      </xdr:nvGrpSpPr>
      <xdr:grpSpPr bwMode="auto">
        <a:xfrm>
          <a:off x="752475" y="2838450"/>
          <a:ext cx="4867275" cy="466725"/>
          <a:chOff x="79" y="298"/>
          <a:chExt cx="511" cy="49"/>
        </a:xfrm>
      </xdr:grpSpPr>
      <xdr:sp macro="" textlink="">
        <xdr:nvSpPr>
          <xdr:cNvPr id="4539" name="Rectangle 3515">
            <a:extLst>
              <a:ext uri="{FF2B5EF4-FFF2-40B4-BE49-F238E27FC236}">
                <a16:creationId xmlns:a16="http://schemas.microsoft.com/office/drawing/2014/main" id="{00000000-0008-0000-0000-0000BB110000}"/>
              </a:ext>
            </a:extLst>
          </xdr:cNvPr>
          <xdr:cNvSpPr>
            <a:spLocks noChangeArrowheads="1"/>
          </xdr:cNvSpPr>
        </xdr:nvSpPr>
        <xdr:spPr bwMode="auto">
          <a:xfrm>
            <a:off x="79" y="298"/>
            <a:ext cx="511" cy="49"/>
          </a:xfrm>
          <a:prstGeom prst="rect">
            <a:avLst/>
          </a:prstGeom>
          <a:gradFill rotWithShape="0">
            <a:gsLst>
              <a:gs pos="0">
                <a:srgbClr val="CCFFFF"/>
              </a:gs>
              <a:gs pos="100000">
                <a:srgbClr val="CCFFFF">
                  <a:gamma/>
                  <a:shade val="16078"/>
                  <a:invGamma/>
                </a:srgbClr>
              </a:gs>
            </a:gsLst>
            <a:lin ang="540000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538" name="WordArt 3514">
            <a:extLst>
              <a:ext uri="{FF2B5EF4-FFF2-40B4-BE49-F238E27FC236}">
                <a16:creationId xmlns:a16="http://schemas.microsoft.com/office/drawing/2014/main" id="{00000000-0008-0000-0000-0000BA11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120" y="305"/>
            <a:ext cx="429" cy="14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ru-RU" sz="1600" b="1" kern="10" spc="0">
                <a:ln w="9525">
                  <a:noFill/>
                  <a:round/>
                  <a:headEnd/>
                  <a:tailEnd/>
                </a:ln>
                <a:gradFill rotWithShape="0">
                  <a:gsLst>
                    <a:gs pos="0">
                      <a:srgbClr val="3366FF"/>
                    </a:gs>
                    <a:gs pos="100000">
                      <a:srgbClr val="3366FF">
                        <a:gamma/>
                        <a:shade val="0"/>
                        <a:invGamma/>
                      </a:srgbClr>
                    </a:gs>
                  </a:gsLst>
                  <a:lin ang="5400000" scaled="1"/>
                </a:gradFill>
                <a:effectLst>
                  <a:outerShdw dist="35921" dir="2700000" algn="ctr" rotWithShape="0">
                    <a:srgbClr val="C0C0C0"/>
                  </a:outerShdw>
                </a:effectLst>
                <a:latin typeface="Courier New"/>
                <a:cs typeface="Courier New"/>
              </a:rPr>
              <a:t>РАСКРЫВАЮЩИЙСЯ СПИСОК СОРТАМЕНТОВ</a:t>
            </a:r>
          </a:p>
        </xdr:txBody>
      </xdr:sp>
    </xdr:grpSp>
    <xdr:clientData fPrintsWithSheet="0"/>
  </xdr:twoCellAnchor>
  <xdr:twoCellAnchor editAs="oneCell">
    <xdr:from>
      <xdr:col>0</xdr:col>
      <xdr:colOff>38100</xdr:colOff>
      <xdr:row>0</xdr:row>
      <xdr:rowOff>76200</xdr:rowOff>
    </xdr:from>
    <xdr:to>
      <xdr:col>1</xdr:col>
      <xdr:colOff>104775</xdr:colOff>
      <xdr:row>6</xdr:row>
      <xdr:rowOff>28575</xdr:rowOff>
    </xdr:to>
    <xdr:grpSp>
      <xdr:nvGrpSpPr>
        <xdr:cNvPr id="4638" name="Group 3614">
          <a:extLst>
            <a:ext uri="{FF2B5EF4-FFF2-40B4-BE49-F238E27FC236}">
              <a16:creationId xmlns:a16="http://schemas.microsoft.com/office/drawing/2014/main" id="{00000000-0008-0000-0000-00001E120000}"/>
            </a:ext>
          </a:extLst>
        </xdr:cNvPr>
        <xdr:cNvGrpSpPr>
          <a:grpSpLocks/>
        </xdr:cNvGrpSpPr>
      </xdr:nvGrpSpPr>
      <xdr:grpSpPr bwMode="auto">
        <a:xfrm>
          <a:off x="38100" y="76200"/>
          <a:ext cx="676275" cy="923925"/>
          <a:chOff x="16" y="10"/>
          <a:chExt cx="71" cy="87"/>
        </a:xfrm>
      </xdr:grpSpPr>
      <xdr:sp macro="[0]!Равнобок1" textlink="">
        <xdr:nvSpPr>
          <xdr:cNvPr id="4543" name="Rectangle 3519">
            <a:extLst>
              <a:ext uri="{FF2B5EF4-FFF2-40B4-BE49-F238E27FC236}">
                <a16:creationId xmlns:a16="http://schemas.microsoft.com/office/drawing/2014/main" id="{00000000-0008-0000-0000-0000BF110000}"/>
              </a:ext>
            </a:extLst>
          </xdr:cNvPr>
          <xdr:cNvSpPr>
            <a:spLocks noChangeArrowheads="1"/>
          </xdr:cNvSpPr>
        </xdr:nvSpPr>
        <xdr:spPr bwMode="auto">
          <a:xfrm>
            <a:off x="16" y="10"/>
            <a:ext cx="69" cy="87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[0]!Равнобок1" textlink="">
        <xdr:nvSpPr>
          <xdr:cNvPr id="4544" name="Объект 40">
            <a:extLst>
              <a:ext uri="{FF2B5EF4-FFF2-40B4-BE49-F238E27FC236}">
                <a16:creationId xmlns:a16="http://schemas.microsoft.com/office/drawing/2014/main" id="{00000000-0008-0000-0000-0000C0110000}"/>
              </a:ext>
            </a:extLst>
          </xdr:cNvPr>
          <xdr:cNvSpPr>
            <a:spLocks/>
          </xdr:cNvSpPr>
        </xdr:nvSpPr>
        <xdr:spPr bwMode="auto">
          <a:xfrm>
            <a:off x="48" y="32"/>
            <a:ext cx="0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9830" y="16384"/>
              </a:cxn>
              <a:cxn ang="0">
                <a:pos x="16384" y="0"/>
              </a:cxn>
              <a:cxn ang="0">
                <a:pos x="0" y="0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9830" y="16384"/>
                </a:lnTo>
                <a:lnTo>
                  <a:pt x="16384" y="0"/>
                </a:lnTo>
                <a:lnTo>
                  <a:pt x="0" y="0"/>
                </a:lnTo>
                <a:close/>
              </a:path>
            </a:pathLst>
          </a:custGeom>
          <a:solidFill>
            <a:srgbClr val="000080"/>
          </a:solidFill>
          <a:ln w="9525">
            <a:noFill/>
            <a:round/>
            <a:headEnd/>
            <a:tailEnd/>
          </a:ln>
        </xdr:spPr>
      </xdr:sp>
      <xdr:grpSp>
        <xdr:nvGrpSpPr>
          <xdr:cNvPr id="4545" name="Group 3521">
            <a:extLst>
              <a:ext uri="{FF2B5EF4-FFF2-40B4-BE49-F238E27FC236}">
                <a16:creationId xmlns:a16="http://schemas.microsoft.com/office/drawing/2014/main" id="{00000000-0008-0000-0000-0000C1110000}"/>
              </a:ext>
            </a:extLst>
          </xdr:cNvPr>
          <xdr:cNvGrpSpPr>
            <a:grpSpLocks/>
          </xdr:cNvGrpSpPr>
        </xdr:nvGrpSpPr>
        <xdr:grpSpPr bwMode="auto">
          <a:xfrm>
            <a:off x="21" y="16"/>
            <a:ext cx="56" cy="48"/>
            <a:chOff x="258" y="214"/>
            <a:chExt cx="56" cy="48"/>
          </a:xfrm>
        </xdr:grpSpPr>
        <xdr:sp macro="[0]!Равнобок1" textlink="">
          <xdr:nvSpPr>
            <xdr:cNvPr id="4546" name="Объект 11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C2110000}"/>
                </a:ext>
              </a:extLst>
            </xdr:cNvPr>
            <xdr:cNvSpPr>
              <a:spLocks/>
            </xdr:cNvSpPr>
          </xdr:nvSpPr>
          <xdr:spPr bwMode="auto">
            <a:xfrm>
              <a:off x="270" y="215"/>
              <a:ext cx="35" cy="36"/>
            </a:xfrm>
            <a:custGeom>
              <a:avLst/>
              <a:gdLst/>
              <a:ahLst/>
              <a:cxnLst>
                <a:cxn ang="0">
                  <a:pos x="14966" y="14406"/>
                </a:cxn>
                <a:cxn ang="0">
                  <a:pos x="15164" y="14406"/>
                </a:cxn>
                <a:cxn ang="0">
                  <a:pos x="15329" y="14439"/>
                </a:cxn>
                <a:cxn ang="0">
                  <a:pos x="15494" y="14472"/>
                </a:cxn>
                <a:cxn ang="0">
                  <a:pos x="15659" y="14571"/>
                </a:cxn>
                <a:cxn ang="0">
                  <a:pos x="15922" y="14769"/>
                </a:cxn>
                <a:cxn ang="0">
                  <a:pos x="16087" y="15032"/>
                </a:cxn>
                <a:cxn ang="0">
                  <a:pos x="16219" y="15329"/>
                </a:cxn>
                <a:cxn ang="0">
                  <a:pos x="16318" y="15659"/>
                </a:cxn>
                <a:cxn ang="0">
                  <a:pos x="16384" y="15988"/>
                </a:cxn>
                <a:cxn ang="0">
                  <a:pos x="16384" y="16384"/>
                </a:cxn>
                <a:cxn ang="0">
                  <a:pos x="0" y="16384"/>
                </a:cxn>
                <a:cxn ang="0">
                  <a:pos x="0" y="0"/>
                </a:cxn>
                <a:cxn ang="0">
                  <a:pos x="396" y="33"/>
                </a:cxn>
                <a:cxn ang="0">
                  <a:pos x="725" y="66"/>
                </a:cxn>
                <a:cxn ang="0">
                  <a:pos x="1088" y="198"/>
                </a:cxn>
                <a:cxn ang="0">
                  <a:pos x="1385" y="363"/>
                </a:cxn>
                <a:cxn ang="0">
                  <a:pos x="1681" y="593"/>
                </a:cxn>
                <a:cxn ang="0">
                  <a:pos x="1912" y="857"/>
                </a:cxn>
                <a:cxn ang="0">
                  <a:pos x="1978" y="956"/>
                </a:cxn>
                <a:cxn ang="0">
                  <a:pos x="2077" y="1154"/>
                </a:cxn>
                <a:cxn ang="0">
                  <a:pos x="2110" y="1319"/>
                </a:cxn>
                <a:cxn ang="0">
                  <a:pos x="2110" y="1483"/>
                </a:cxn>
                <a:cxn ang="0">
                  <a:pos x="2110" y="12692"/>
                </a:cxn>
                <a:cxn ang="0">
                  <a:pos x="2143" y="13087"/>
                </a:cxn>
                <a:cxn ang="0">
                  <a:pos x="2209" y="13384"/>
                </a:cxn>
                <a:cxn ang="0">
                  <a:pos x="2341" y="13681"/>
                </a:cxn>
                <a:cxn ang="0">
                  <a:pos x="2505" y="13945"/>
                </a:cxn>
                <a:cxn ang="0">
                  <a:pos x="2703" y="14109"/>
                </a:cxn>
                <a:cxn ang="0">
                  <a:pos x="2967" y="14274"/>
                </a:cxn>
                <a:cxn ang="0">
                  <a:pos x="3297" y="14340"/>
                </a:cxn>
                <a:cxn ang="0">
                  <a:pos x="3626" y="14406"/>
                </a:cxn>
                <a:cxn ang="0">
                  <a:pos x="14966" y="14406"/>
                </a:cxn>
              </a:cxnLst>
              <a:rect l="0" t="0" r="r" b="b"/>
              <a:pathLst>
                <a:path w="16384" h="16384">
                  <a:moveTo>
                    <a:pt x="14966" y="14406"/>
                  </a:moveTo>
                  <a:lnTo>
                    <a:pt x="15164" y="14406"/>
                  </a:lnTo>
                  <a:lnTo>
                    <a:pt x="15329" y="14439"/>
                  </a:lnTo>
                  <a:lnTo>
                    <a:pt x="15494" y="14472"/>
                  </a:lnTo>
                  <a:lnTo>
                    <a:pt x="15659" y="14571"/>
                  </a:lnTo>
                  <a:lnTo>
                    <a:pt x="15922" y="14769"/>
                  </a:lnTo>
                  <a:lnTo>
                    <a:pt x="16087" y="15032"/>
                  </a:lnTo>
                  <a:lnTo>
                    <a:pt x="16219" y="15329"/>
                  </a:lnTo>
                  <a:lnTo>
                    <a:pt x="16318" y="15659"/>
                  </a:lnTo>
                  <a:lnTo>
                    <a:pt x="16384" y="15988"/>
                  </a:lnTo>
                  <a:lnTo>
                    <a:pt x="16384" y="16384"/>
                  </a:lnTo>
                  <a:lnTo>
                    <a:pt x="0" y="16384"/>
                  </a:lnTo>
                  <a:lnTo>
                    <a:pt x="0" y="0"/>
                  </a:lnTo>
                  <a:lnTo>
                    <a:pt x="396" y="33"/>
                  </a:lnTo>
                  <a:lnTo>
                    <a:pt x="725" y="66"/>
                  </a:lnTo>
                  <a:lnTo>
                    <a:pt x="1088" y="198"/>
                  </a:lnTo>
                  <a:lnTo>
                    <a:pt x="1385" y="363"/>
                  </a:lnTo>
                  <a:lnTo>
                    <a:pt x="1681" y="593"/>
                  </a:lnTo>
                  <a:lnTo>
                    <a:pt x="1912" y="857"/>
                  </a:lnTo>
                  <a:lnTo>
                    <a:pt x="1978" y="956"/>
                  </a:lnTo>
                  <a:lnTo>
                    <a:pt x="2077" y="1154"/>
                  </a:lnTo>
                  <a:lnTo>
                    <a:pt x="2110" y="1319"/>
                  </a:lnTo>
                  <a:lnTo>
                    <a:pt x="2110" y="1483"/>
                  </a:lnTo>
                  <a:lnTo>
                    <a:pt x="2110" y="12692"/>
                  </a:lnTo>
                  <a:lnTo>
                    <a:pt x="2143" y="13087"/>
                  </a:lnTo>
                  <a:lnTo>
                    <a:pt x="2209" y="13384"/>
                  </a:lnTo>
                  <a:lnTo>
                    <a:pt x="2341" y="13681"/>
                  </a:lnTo>
                  <a:lnTo>
                    <a:pt x="2505" y="13945"/>
                  </a:lnTo>
                  <a:lnTo>
                    <a:pt x="2703" y="14109"/>
                  </a:lnTo>
                  <a:lnTo>
                    <a:pt x="2967" y="14274"/>
                  </a:lnTo>
                  <a:lnTo>
                    <a:pt x="3297" y="14340"/>
                  </a:lnTo>
                  <a:lnTo>
                    <a:pt x="3626" y="14406"/>
                  </a:lnTo>
                  <a:lnTo>
                    <a:pt x="14966" y="14406"/>
                  </a:lnTo>
                  <a:close/>
                </a:path>
              </a:pathLst>
            </a:custGeom>
            <a:pattFill prst="ltUpDiag">
              <a:fgClr>
                <a:srgbClr val="310201"/>
              </a:fgClr>
              <a:bgClr>
                <a:srgbClr val="FFFFFF"/>
              </a:bgClr>
            </a:pattFill>
            <a:ln w="12700" cap="flat" cmpd="sng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grpSp>
          <xdr:nvGrpSpPr>
            <xdr:cNvPr id="4547" name="Group 3523">
              <a:extLst>
                <a:ext uri="{FF2B5EF4-FFF2-40B4-BE49-F238E27FC236}">
                  <a16:creationId xmlns:a16="http://schemas.microsoft.com/office/drawing/2014/main" id="{00000000-0008-0000-0000-0000C31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58" y="214"/>
              <a:ext cx="56" cy="48"/>
              <a:chOff x="258" y="214"/>
              <a:chExt cx="100" cy="84"/>
            </a:xfrm>
          </xdr:grpSpPr>
          <xdr:sp macro="[0]!Равнобок1" textlink="">
            <xdr:nvSpPr>
              <xdr:cNvPr id="4548" name="Line 3524">
                <a:extLst>
                  <a:ext uri="{FF2B5EF4-FFF2-40B4-BE49-F238E27FC236}">
                    <a16:creationId xmlns:a16="http://schemas.microsoft.com/office/drawing/2014/main" id="{00000000-0008-0000-0000-0000C41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02" y="214"/>
                <a:ext cx="0" cy="84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[0]!Равнобок1" textlink="">
            <xdr:nvSpPr>
              <xdr:cNvPr id="4549" name="Line 3525">
                <a:extLst>
                  <a:ext uri="{FF2B5EF4-FFF2-40B4-BE49-F238E27FC236}">
                    <a16:creationId xmlns:a16="http://schemas.microsoft.com/office/drawing/2014/main" id="{00000000-0008-0000-0000-0000C51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58" y="256"/>
                <a:ext cx="1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"/>
                <a:round/>
                <a:headEnd/>
                <a:tailEnd/>
              </a:ln>
            </xdr:spPr>
          </xdr:sp>
        </xdr:grpSp>
      </xdr:grpSp>
      <xdr:sp macro="[0]!Равнобок1" textlink="">
        <xdr:nvSpPr>
          <xdr:cNvPr id="4550" name="Текст 3363">
            <a:extLst>
              <a:ext uri="{FF2B5EF4-FFF2-40B4-BE49-F238E27FC236}">
                <a16:creationId xmlns:a16="http://schemas.microsoft.com/office/drawing/2014/main" id="{00000000-0008-0000-0000-0000C6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" y="17"/>
            <a:ext cx="19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</a:t>
            </a:r>
          </a:p>
        </xdr:txBody>
      </xdr:sp>
      <xdr:sp macro="[0]!Равнобок1" textlink="">
        <xdr:nvSpPr>
          <xdr:cNvPr id="4551" name="Text Box 3527">
            <a:extLst>
              <a:ext uri="{FF2B5EF4-FFF2-40B4-BE49-F238E27FC236}">
                <a16:creationId xmlns:a16="http://schemas.microsoft.com/office/drawing/2014/main" id="{00000000-0008-0000-0000-0000C7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" y="62"/>
            <a:ext cx="55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равнопо-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лочные</a:t>
            </a:r>
          </a:p>
        </xdr:txBody>
      </xdr:sp>
    </xdr:grpSp>
    <xdr:clientData fPrintsWithSheet="0"/>
  </xdr:twoCellAnchor>
  <xdr:twoCellAnchor editAs="oneCell">
    <xdr:from>
      <xdr:col>1</xdr:col>
      <xdr:colOff>123825</xdr:colOff>
      <xdr:row>0</xdr:row>
      <xdr:rowOff>76200</xdr:rowOff>
    </xdr:from>
    <xdr:to>
      <xdr:col>2</xdr:col>
      <xdr:colOff>133350</xdr:colOff>
      <xdr:row>6</xdr:row>
      <xdr:rowOff>28575</xdr:rowOff>
    </xdr:to>
    <xdr:grpSp>
      <xdr:nvGrpSpPr>
        <xdr:cNvPr id="4642" name="Group 3618">
          <a:extLst>
            <a:ext uri="{FF2B5EF4-FFF2-40B4-BE49-F238E27FC236}">
              <a16:creationId xmlns:a16="http://schemas.microsoft.com/office/drawing/2014/main" id="{00000000-0008-0000-0000-000022120000}"/>
            </a:ext>
          </a:extLst>
        </xdr:cNvPr>
        <xdr:cNvGrpSpPr>
          <a:grpSpLocks/>
        </xdr:cNvGrpSpPr>
      </xdr:nvGrpSpPr>
      <xdr:grpSpPr bwMode="auto">
        <a:xfrm>
          <a:off x="733425" y="76200"/>
          <a:ext cx="619125" cy="923925"/>
          <a:chOff x="157" y="10"/>
          <a:chExt cx="65" cy="86"/>
        </a:xfrm>
      </xdr:grpSpPr>
      <xdr:sp macro="[0]!Неравнобок2" textlink="">
        <xdr:nvSpPr>
          <xdr:cNvPr id="4641" name="Rectangle 3617">
            <a:extLst>
              <a:ext uri="{FF2B5EF4-FFF2-40B4-BE49-F238E27FC236}">
                <a16:creationId xmlns:a16="http://schemas.microsoft.com/office/drawing/2014/main" id="{00000000-0008-0000-0000-000021120000}"/>
              </a:ext>
            </a:extLst>
          </xdr:cNvPr>
          <xdr:cNvSpPr>
            <a:spLocks noChangeArrowheads="1"/>
          </xdr:cNvSpPr>
        </xdr:nvSpPr>
        <xdr:spPr bwMode="auto">
          <a:xfrm>
            <a:off x="157" y="10"/>
            <a:ext cx="65" cy="86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635" name="Group 3611">
            <a:extLst>
              <a:ext uri="{FF2B5EF4-FFF2-40B4-BE49-F238E27FC236}">
                <a16:creationId xmlns:a16="http://schemas.microsoft.com/office/drawing/2014/main" id="{00000000-0008-0000-0000-00001B120000}"/>
              </a:ext>
            </a:extLst>
          </xdr:cNvPr>
          <xdr:cNvGrpSpPr>
            <a:grpSpLocks/>
          </xdr:cNvGrpSpPr>
        </xdr:nvGrpSpPr>
        <xdr:grpSpPr bwMode="auto">
          <a:xfrm>
            <a:off x="168" y="13"/>
            <a:ext cx="37" cy="53"/>
            <a:chOff x="168" y="13"/>
            <a:chExt cx="69" cy="98"/>
          </a:xfrm>
        </xdr:grpSpPr>
        <xdr:sp macro="[0]!Неравнобок2" textlink="">
          <xdr:nvSpPr>
            <xdr:cNvPr id="1026" name="Объект 2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>
              <a:spLocks/>
            </xdr:cNvSpPr>
          </xdr:nvSpPr>
          <xdr:spPr bwMode="auto">
            <a:xfrm>
              <a:off x="182" y="29"/>
              <a:ext cx="43" cy="68"/>
            </a:xfrm>
            <a:custGeom>
              <a:avLst/>
              <a:gdLst/>
              <a:ahLst/>
              <a:cxnLst>
                <a:cxn ang="0">
                  <a:pos x="14901" y="15088"/>
                </a:cxn>
                <a:cxn ang="0">
                  <a:pos x="15329" y="15088"/>
                </a:cxn>
                <a:cxn ang="0">
                  <a:pos x="15626" y="15154"/>
                </a:cxn>
                <a:cxn ang="0">
                  <a:pos x="15758" y="15176"/>
                </a:cxn>
                <a:cxn ang="0">
                  <a:pos x="15890" y="15242"/>
                </a:cxn>
                <a:cxn ang="0">
                  <a:pos x="15955" y="15264"/>
                </a:cxn>
                <a:cxn ang="0">
                  <a:pos x="16054" y="15352"/>
                </a:cxn>
                <a:cxn ang="0">
                  <a:pos x="16219" y="15527"/>
                </a:cxn>
                <a:cxn ang="0">
                  <a:pos x="16285" y="15747"/>
                </a:cxn>
                <a:cxn ang="0">
                  <a:pos x="16351" y="16033"/>
                </a:cxn>
                <a:cxn ang="0">
                  <a:pos x="16384" y="16384"/>
                </a:cxn>
                <a:cxn ang="0">
                  <a:pos x="0" y="16384"/>
                </a:cxn>
                <a:cxn ang="0">
                  <a:pos x="0" y="0"/>
                </a:cxn>
                <a:cxn ang="0">
                  <a:pos x="363" y="22"/>
                </a:cxn>
                <a:cxn ang="0">
                  <a:pos x="725" y="88"/>
                </a:cxn>
                <a:cxn ang="0">
                  <a:pos x="1055" y="220"/>
                </a:cxn>
                <a:cxn ang="0">
                  <a:pos x="1418" y="395"/>
                </a:cxn>
                <a:cxn ang="0">
                  <a:pos x="1549" y="505"/>
                </a:cxn>
                <a:cxn ang="0">
                  <a:pos x="1648" y="615"/>
                </a:cxn>
                <a:cxn ang="0">
                  <a:pos x="1780" y="725"/>
                </a:cxn>
                <a:cxn ang="0">
                  <a:pos x="1879" y="857"/>
                </a:cxn>
                <a:cxn ang="0">
                  <a:pos x="1945" y="1010"/>
                </a:cxn>
                <a:cxn ang="0">
                  <a:pos x="2044" y="1186"/>
                </a:cxn>
                <a:cxn ang="0">
                  <a:pos x="2077" y="1340"/>
                </a:cxn>
                <a:cxn ang="0">
                  <a:pos x="2110" y="1537"/>
                </a:cxn>
                <a:cxn ang="0">
                  <a:pos x="2110" y="13836"/>
                </a:cxn>
                <a:cxn ang="0">
                  <a:pos x="2110" y="14188"/>
                </a:cxn>
                <a:cxn ang="0">
                  <a:pos x="2209" y="14473"/>
                </a:cxn>
                <a:cxn ang="0">
                  <a:pos x="2341" y="14671"/>
                </a:cxn>
                <a:cxn ang="0">
                  <a:pos x="2505" y="14847"/>
                </a:cxn>
                <a:cxn ang="0">
                  <a:pos x="2703" y="14956"/>
                </a:cxn>
                <a:cxn ang="0">
                  <a:pos x="2967" y="15044"/>
                </a:cxn>
                <a:cxn ang="0">
                  <a:pos x="3264" y="15066"/>
                </a:cxn>
                <a:cxn ang="0">
                  <a:pos x="3593" y="15088"/>
                </a:cxn>
                <a:cxn ang="0">
                  <a:pos x="14901" y="15088"/>
                </a:cxn>
              </a:cxnLst>
              <a:rect l="0" t="0" r="r" b="b"/>
              <a:pathLst>
                <a:path w="16384" h="16384">
                  <a:moveTo>
                    <a:pt x="14901" y="15088"/>
                  </a:moveTo>
                  <a:lnTo>
                    <a:pt x="15329" y="15088"/>
                  </a:lnTo>
                  <a:lnTo>
                    <a:pt x="15626" y="15154"/>
                  </a:lnTo>
                  <a:lnTo>
                    <a:pt x="15758" y="15176"/>
                  </a:lnTo>
                  <a:lnTo>
                    <a:pt x="15890" y="15242"/>
                  </a:lnTo>
                  <a:lnTo>
                    <a:pt x="15955" y="15264"/>
                  </a:lnTo>
                  <a:lnTo>
                    <a:pt x="16054" y="15352"/>
                  </a:lnTo>
                  <a:lnTo>
                    <a:pt x="16219" y="15527"/>
                  </a:lnTo>
                  <a:lnTo>
                    <a:pt x="16285" y="15747"/>
                  </a:lnTo>
                  <a:lnTo>
                    <a:pt x="16351" y="16033"/>
                  </a:lnTo>
                  <a:lnTo>
                    <a:pt x="16384" y="16384"/>
                  </a:lnTo>
                  <a:lnTo>
                    <a:pt x="0" y="16384"/>
                  </a:lnTo>
                  <a:lnTo>
                    <a:pt x="0" y="0"/>
                  </a:lnTo>
                  <a:lnTo>
                    <a:pt x="363" y="22"/>
                  </a:lnTo>
                  <a:lnTo>
                    <a:pt x="725" y="88"/>
                  </a:lnTo>
                  <a:lnTo>
                    <a:pt x="1055" y="220"/>
                  </a:lnTo>
                  <a:lnTo>
                    <a:pt x="1418" y="395"/>
                  </a:lnTo>
                  <a:lnTo>
                    <a:pt x="1549" y="505"/>
                  </a:lnTo>
                  <a:lnTo>
                    <a:pt x="1648" y="615"/>
                  </a:lnTo>
                  <a:lnTo>
                    <a:pt x="1780" y="725"/>
                  </a:lnTo>
                  <a:lnTo>
                    <a:pt x="1879" y="857"/>
                  </a:lnTo>
                  <a:lnTo>
                    <a:pt x="1945" y="1010"/>
                  </a:lnTo>
                  <a:lnTo>
                    <a:pt x="2044" y="1186"/>
                  </a:lnTo>
                  <a:lnTo>
                    <a:pt x="2077" y="1340"/>
                  </a:lnTo>
                  <a:lnTo>
                    <a:pt x="2110" y="1537"/>
                  </a:lnTo>
                  <a:lnTo>
                    <a:pt x="2110" y="13836"/>
                  </a:lnTo>
                  <a:lnTo>
                    <a:pt x="2110" y="14188"/>
                  </a:lnTo>
                  <a:lnTo>
                    <a:pt x="2209" y="14473"/>
                  </a:lnTo>
                  <a:lnTo>
                    <a:pt x="2341" y="14671"/>
                  </a:lnTo>
                  <a:lnTo>
                    <a:pt x="2505" y="14847"/>
                  </a:lnTo>
                  <a:lnTo>
                    <a:pt x="2703" y="14956"/>
                  </a:lnTo>
                  <a:lnTo>
                    <a:pt x="2967" y="15044"/>
                  </a:lnTo>
                  <a:lnTo>
                    <a:pt x="3264" y="15066"/>
                  </a:lnTo>
                  <a:lnTo>
                    <a:pt x="3593" y="15088"/>
                  </a:lnTo>
                  <a:lnTo>
                    <a:pt x="14901" y="15088"/>
                  </a:lnTo>
                  <a:close/>
                </a:path>
              </a:pathLst>
            </a:custGeom>
            <a:pattFill prst="ltUpDiag">
              <a:fgClr>
                <a:srgbClr val="310201"/>
              </a:fgClr>
              <a:bgClr>
                <a:srgbClr val="FFFFFF"/>
              </a:bgClr>
            </a:pattFill>
            <a:ln w="9525" cap="flat" cmpd="sng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Неравнобок2" textlink="">
          <xdr:nvSpPr>
            <xdr:cNvPr id="3703" name="Line 2679">
              <a:extLst>
                <a:ext uri="{FF2B5EF4-FFF2-40B4-BE49-F238E27FC236}">
                  <a16:creationId xmlns:a16="http://schemas.microsoft.com/office/drawing/2014/main" id="{00000000-0008-0000-0000-0000770E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7" y="13"/>
              <a:ext cx="0" cy="98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[0]!Неравнобок2" textlink="">
          <xdr:nvSpPr>
            <xdr:cNvPr id="3706" name="Line 2682">
              <a:extLst>
                <a:ext uri="{FF2B5EF4-FFF2-40B4-BE49-F238E27FC236}">
                  <a16:creationId xmlns:a16="http://schemas.microsoft.com/office/drawing/2014/main" id="{00000000-0008-0000-0000-00007A0E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69" y="31"/>
              <a:ext cx="44" cy="78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[0]!Неравнобок2" textlink="">
          <xdr:nvSpPr>
            <xdr:cNvPr id="3707" name="Line 2683">
              <a:extLst>
                <a:ext uri="{FF2B5EF4-FFF2-40B4-BE49-F238E27FC236}">
                  <a16:creationId xmlns:a16="http://schemas.microsoft.com/office/drawing/2014/main" id="{00000000-0008-0000-0000-00007B0E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68" y="81"/>
              <a:ext cx="69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</xdr:grpSp>
      <xdr:sp macro="[0]!Неравнобок2" textlink="">
        <xdr:nvSpPr>
          <xdr:cNvPr id="4388" name="Текст 3364">
            <a:extLst>
              <a:ext uri="{FF2B5EF4-FFF2-40B4-BE49-F238E27FC236}">
                <a16:creationId xmlns:a16="http://schemas.microsoft.com/office/drawing/2014/main" id="{00000000-0008-0000-0000-000024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0" y="21"/>
            <a:ext cx="19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2</a:t>
            </a:r>
          </a:p>
        </xdr:txBody>
      </xdr:sp>
      <xdr:sp macro="[0]!Неравнобок2" textlink="">
        <xdr:nvSpPr>
          <xdr:cNvPr id="4637" name="Text Box 3613">
            <a:extLst>
              <a:ext uri="{FF2B5EF4-FFF2-40B4-BE49-F238E27FC236}">
                <a16:creationId xmlns:a16="http://schemas.microsoft.com/office/drawing/2014/main" id="{00000000-0008-0000-0000-00001D12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" y="64"/>
            <a:ext cx="58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неравно-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полочные</a:t>
            </a:r>
          </a:p>
        </xdr:txBody>
      </xdr:sp>
    </xdr:grpSp>
    <xdr:clientData fPrintsWithSheet="0"/>
  </xdr:twoCellAnchor>
  <xdr:twoCellAnchor editAs="oneCell">
    <xdr:from>
      <xdr:col>2</xdr:col>
      <xdr:colOff>180975</xdr:colOff>
      <xdr:row>0</xdr:row>
      <xdr:rowOff>76200</xdr:rowOff>
    </xdr:from>
    <xdr:to>
      <xdr:col>3</xdr:col>
      <xdr:colOff>152400</xdr:colOff>
      <xdr:row>6</xdr:row>
      <xdr:rowOff>28575</xdr:rowOff>
    </xdr:to>
    <xdr:grpSp>
      <xdr:nvGrpSpPr>
        <xdr:cNvPr id="4704" name="Group 3680">
          <a:extLst>
            <a:ext uri="{FF2B5EF4-FFF2-40B4-BE49-F238E27FC236}">
              <a16:creationId xmlns:a16="http://schemas.microsoft.com/office/drawing/2014/main" id="{00000000-0008-0000-0000-000060120000}"/>
            </a:ext>
          </a:extLst>
        </xdr:cNvPr>
        <xdr:cNvGrpSpPr>
          <a:grpSpLocks/>
        </xdr:cNvGrpSpPr>
      </xdr:nvGrpSpPr>
      <xdr:grpSpPr bwMode="auto">
        <a:xfrm>
          <a:off x="1400175" y="76200"/>
          <a:ext cx="581025" cy="923925"/>
          <a:chOff x="169" y="9"/>
          <a:chExt cx="61" cy="97"/>
        </a:xfrm>
      </xdr:grpSpPr>
      <xdr:sp macro="[0]!Швеллер3" textlink="">
        <xdr:nvSpPr>
          <xdr:cNvPr id="3808" name="Rectangle 2784">
            <a:extLst>
              <a:ext uri="{FF2B5EF4-FFF2-40B4-BE49-F238E27FC236}">
                <a16:creationId xmlns:a16="http://schemas.microsoft.com/office/drawing/2014/main" id="{00000000-0008-0000-0000-0000E00E0000}"/>
              </a:ext>
            </a:extLst>
          </xdr:cNvPr>
          <xdr:cNvSpPr>
            <a:spLocks noChangeArrowheads="1"/>
          </xdr:cNvSpPr>
        </xdr:nvSpPr>
        <xdr:spPr bwMode="auto">
          <a:xfrm>
            <a:off x="169" y="9"/>
            <a:ext cx="61" cy="97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702" name="Group 3678">
            <a:extLst>
              <a:ext uri="{FF2B5EF4-FFF2-40B4-BE49-F238E27FC236}">
                <a16:creationId xmlns:a16="http://schemas.microsoft.com/office/drawing/2014/main" id="{00000000-0008-0000-0000-00005E120000}"/>
              </a:ext>
            </a:extLst>
          </xdr:cNvPr>
          <xdr:cNvGrpSpPr>
            <a:grpSpLocks/>
          </xdr:cNvGrpSpPr>
        </xdr:nvGrpSpPr>
        <xdr:grpSpPr bwMode="auto">
          <a:xfrm>
            <a:off x="174" y="11"/>
            <a:ext cx="23" cy="49"/>
            <a:chOff x="184" y="10"/>
            <a:chExt cx="42" cy="88"/>
          </a:xfrm>
        </xdr:grpSpPr>
        <xdr:sp macro="[0]!Швеллер3" textlink="">
          <xdr:nvSpPr>
            <xdr:cNvPr id="2073" name="Объект 1049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>
              <a:spLocks/>
            </xdr:cNvSpPr>
          </xdr:nvSpPr>
          <xdr:spPr bwMode="auto">
            <a:xfrm>
              <a:off x="192" y="22"/>
              <a:ext cx="34" cy="68"/>
            </a:xfrm>
            <a:custGeom>
              <a:avLst/>
              <a:gdLst/>
              <a:ahLst/>
              <a:cxnLst>
                <a:cxn ang="0">
                  <a:pos x="2515" y="8185"/>
                </a:cxn>
                <a:cxn ang="0">
                  <a:pos x="2515" y="13690"/>
                </a:cxn>
                <a:cxn ang="0">
                  <a:pos x="2515" y="13865"/>
                </a:cxn>
                <a:cxn ang="0">
                  <a:pos x="2552" y="14010"/>
                </a:cxn>
                <a:cxn ang="0">
                  <a:pos x="2663" y="14141"/>
                </a:cxn>
                <a:cxn ang="0">
                  <a:pos x="2737" y="14272"/>
                </a:cxn>
                <a:cxn ang="0">
                  <a:pos x="2922" y="14403"/>
                </a:cxn>
                <a:cxn ang="0">
                  <a:pos x="3070" y="14491"/>
                </a:cxn>
                <a:cxn ang="0">
                  <a:pos x="3292" y="14607"/>
                </a:cxn>
                <a:cxn ang="0">
                  <a:pos x="3550" y="14680"/>
                </a:cxn>
                <a:cxn ang="0">
                  <a:pos x="3772" y="14782"/>
                </a:cxn>
                <a:cxn ang="0">
                  <a:pos x="4068" y="14826"/>
                </a:cxn>
                <a:cxn ang="0">
                  <a:pos x="4364" y="14899"/>
                </a:cxn>
                <a:cxn ang="0">
                  <a:pos x="4697" y="14957"/>
                </a:cxn>
                <a:cxn ang="0">
                  <a:pos x="5400" y="15059"/>
                </a:cxn>
                <a:cxn ang="0">
                  <a:pos x="6139" y="15132"/>
                </a:cxn>
                <a:cxn ang="0">
                  <a:pos x="14905" y="15612"/>
                </a:cxn>
                <a:cxn ang="0">
                  <a:pos x="15274" y="15627"/>
                </a:cxn>
                <a:cxn ang="0">
                  <a:pos x="15607" y="15670"/>
                </a:cxn>
                <a:cxn ang="0">
                  <a:pos x="15866" y="15729"/>
                </a:cxn>
                <a:cxn ang="0">
                  <a:pos x="16051" y="15816"/>
                </a:cxn>
                <a:cxn ang="0">
                  <a:pos x="16199" y="15933"/>
                </a:cxn>
                <a:cxn ang="0">
                  <a:pos x="16273" y="16049"/>
                </a:cxn>
                <a:cxn ang="0">
                  <a:pos x="16310" y="16209"/>
                </a:cxn>
                <a:cxn ang="0">
                  <a:pos x="16384" y="16384"/>
                </a:cxn>
                <a:cxn ang="0">
                  <a:pos x="0" y="16384"/>
                </a:cxn>
                <a:cxn ang="0">
                  <a:pos x="0" y="8185"/>
                </a:cxn>
                <a:cxn ang="0">
                  <a:pos x="0" y="0"/>
                </a:cxn>
                <a:cxn ang="0">
                  <a:pos x="16384" y="0"/>
                </a:cxn>
                <a:cxn ang="0">
                  <a:pos x="16310" y="175"/>
                </a:cxn>
                <a:cxn ang="0">
                  <a:pos x="16273" y="320"/>
                </a:cxn>
                <a:cxn ang="0">
                  <a:pos x="16199" y="451"/>
                </a:cxn>
                <a:cxn ang="0">
                  <a:pos x="16051" y="568"/>
                </a:cxn>
                <a:cxn ang="0">
                  <a:pos x="15866" y="641"/>
                </a:cxn>
                <a:cxn ang="0">
                  <a:pos x="15607" y="714"/>
                </a:cxn>
                <a:cxn ang="0">
                  <a:pos x="15274" y="757"/>
                </a:cxn>
                <a:cxn ang="0">
                  <a:pos x="14905" y="757"/>
                </a:cxn>
                <a:cxn ang="0">
                  <a:pos x="5917" y="1398"/>
                </a:cxn>
                <a:cxn ang="0">
                  <a:pos x="5104" y="1471"/>
                </a:cxn>
                <a:cxn ang="0">
                  <a:pos x="4401" y="1587"/>
                </a:cxn>
                <a:cxn ang="0">
                  <a:pos x="4105" y="1660"/>
                </a:cxn>
                <a:cxn ang="0">
                  <a:pos x="3846" y="1718"/>
                </a:cxn>
                <a:cxn ang="0">
                  <a:pos x="3550" y="1820"/>
                </a:cxn>
                <a:cxn ang="0">
                  <a:pos x="3292" y="1893"/>
                </a:cxn>
                <a:cxn ang="0">
                  <a:pos x="3107" y="1995"/>
                </a:cxn>
                <a:cxn ang="0">
                  <a:pos x="2959" y="2112"/>
                </a:cxn>
                <a:cxn ang="0">
                  <a:pos x="2848" y="2228"/>
                </a:cxn>
                <a:cxn ang="0">
                  <a:pos x="2700" y="2359"/>
                </a:cxn>
                <a:cxn ang="0">
                  <a:pos x="2589" y="2505"/>
                </a:cxn>
                <a:cxn ang="0">
                  <a:pos x="2552" y="2651"/>
                </a:cxn>
                <a:cxn ang="0">
                  <a:pos x="2515" y="2825"/>
                </a:cxn>
                <a:cxn ang="0">
                  <a:pos x="2515" y="3000"/>
                </a:cxn>
                <a:cxn ang="0">
                  <a:pos x="2515" y="8185"/>
                </a:cxn>
              </a:cxnLst>
              <a:rect l="0" t="0" r="r" b="b"/>
              <a:pathLst>
                <a:path w="16384" h="16384">
                  <a:moveTo>
                    <a:pt x="2515" y="8185"/>
                  </a:moveTo>
                  <a:lnTo>
                    <a:pt x="2515" y="13690"/>
                  </a:lnTo>
                  <a:lnTo>
                    <a:pt x="2515" y="13865"/>
                  </a:lnTo>
                  <a:lnTo>
                    <a:pt x="2552" y="14010"/>
                  </a:lnTo>
                  <a:lnTo>
                    <a:pt x="2663" y="14141"/>
                  </a:lnTo>
                  <a:lnTo>
                    <a:pt x="2737" y="14272"/>
                  </a:lnTo>
                  <a:lnTo>
                    <a:pt x="2922" y="14403"/>
                  </a:lnTo>
                  <a:lnTo>
                    <a:pt x="3070" y="14491"/>
                  </a:lnTo>
                  <a:lnTo>
                    <a:pt x="3292" y="14607"/>
                  </a:lnTo>
                  <a:lnTo>
                    <a:pt x="3550" y="14680"/>
                  </a:lnTo>
                  <a:lnTo>
                    <a:pt x="3772" y="14782"/>
                  </a:lnTo>
                  <a:lnTo>
                    <a:pt x="4068" y="14826"/>
                  </a:lnTo>
                  <a:lnTo>
                    <a:pt x="4364" y="14899"/>
                  </a:lnTo>
                  <a:lnTo>
                    <a:pt x="4697" y="14957"/>
                  </a:lnTo>
                  <a:lnTo>
                    <a:pt x="5400" y="15059"/>
                  </a:lnTo>
                  <a:lnTo>
                    <a:pt x="6139" y="15132"/>
                  </a:lnTo>
                  <a:lnTo>
                    <a:pt x="14905" y="15612"/>
                  </a:lnTo>
                  <a:lnTo>
                    <a:pt x="15274" y="15627"/>
                  </a:lnTo>
                  <a:lnTo>
                    <a:pt x="15607" y="15670"/>
                  </a:lnTo>
                  <a:lnTo>
                    <a:pt x="15866" y="15729"/>
                  </a:lnTo>
                  <a:lnTo>
                    <a:pt x="16051" y="15816"/>
                  </a:lnTo>
                  <a:lnTo>
                    <a:pt x="16199" y="15933"/>
                  </a:lnTo>
                  <a:lnTo>
                    <a:pt x="16273" y="16049"/>
                  </a:lnTo>
                  <a:lnTo>
                    <a:pt x="16310" y="16209"/>
                  </a:lnTo>
                  <a:lnTo>
                    <a:pt x="16384" y="16384"/>
                  </a:lnTo>
                  <a:lnTo>
                    <a:pt x="0" y="16384"/>
                  </a:lnTo>
                  <a:lnTo>
                    <a:pt x="0" y="8185"/>
                  </a:lnTo>
                  <a:lnTo>
                    <a:pt x="0" y="0"/>
                  </a:lnTo>
                  <a:lnTo>
                    <a:pt x="16384" y="0"/>
                  </a:lnTo>
                  <a:lnTo>
                    <a:pt x="16310" y="175"/>
                  </a:lnTo>
                  <a:lnTo>
                    <a:pt x="16273" y="320"/>
                  </a:lnTo>
                  <a:lnTo>
                    <a:pt x="16199" y="451"/>
                  </a:lnTo>
                  <a:lnTo>
                    <a:pt x="16051" y="568"/>
                  </a:lnTo>
                  <a:lnTo>
                    <a:pt x="15866" y="641"/>
                  </a:lnTo>
                  <a:lnTo>
                    <a:pt x="15607" y="714"/>
                  </a:lnTo>
                  <a:lnTo>
                    <a:pt x="15274" y="757"/>
                  </a:lnTo>
                  <a:lnTo>
                    <a:pt x="14905" y="757"/>
                  </a:lnTo>
                  <a:lnTo>
                    <a:pt x="5917" y="1398"/>
                  </a:lnTo>
                  <a:lnTo>
                    <a:pt x="5104" y="1471"/>
                  </a:lnTo>
                  <a:lnTo>
                    <a:pt x="4401" y="1587"/>
                  </a:lnTo>
                  <a:lnTo>
                    <a:pt x="4105" y="1660"/>
                  </a:lnTo>
                  <a:lnTo>
                    <a:pt x="3846" y="1718"/>
                  </a:lnTo>
                  <a:lnTo>
                    <a:pt x="3550" y="1820"/>
                  </a:lnTo>
                  <a:lnTo>
                    <a:pt x="3292" y="1893"/>
                  </a:lnTo>
                  <a:lnTo>
                    <a:pt x="3107" y="1995"/>
                  </a:lnTo>
                  <a:lnTo>
                    <a:pt x="2959" y="2112"/>
                  </a:lnTo>
                  <a:lnTo>
                    <a:pt x="2848" y="2228"/>
                  </a:lnTo>
                  <a:lnTo>
                    <a:pt x="2700" y="2359"/>
                  </a:lnTo>
                  <a:lnTo>
                    <a:pt x="2589" y="2505"/>
                  </a:lnTo>
                  <a:lnTo>
                    <a:pt x="2552" y="2651"/>
                  </a:lnTo>
                  <a:lnTo>
                    <a:pt x="2515" y="2825"/>
                  </a:lnTo>
                  <a:lnTo>
                    <a:pt x="2515" y="3000"/>
                  </a:lnTo>
                  <a:lnTo>
                    <a:pt x="2515" y="8185"/>
                  </a:lnTo>
                  <a:close/>
                </a:path>
              </a:pathLst>
            </a:custGeom>
            <a:pattFill prst="ltUpDiag">
              <a:fgClr>
                <a:srgbClr val="310201"/>
              </a:fgClr>
              <a:bgClr>
                <a:srgbClr val="FFFFFF"/>
              </a:bgClr>
            </a:pattFill>
            <a:ln w="9525" cap="flat" cmpd="sng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grpSp>
          <xdr:nvGrpSpPr>
            <xdr:cNvPr id="4701" name="Group 3677">
              <a:extLst>
                <a:ext uri="{FF2B5EF4-FFF2-40B4-BE49-F238E27FC236}">
                  <a16:creationId xmlns:a16="http://schemas.microsoft.com/office/drawing/2014/main" id="{00000000-0008-0000-0000-00005D1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84" y="10"/>
              <a:ext cx="42" cy="88"/>
              <a:chOff x="184" y="10"/>
              <a:chExt cx="42" cy="88"/>
            </a:xfrm>
          </xdr:grpSpPr>
          <xdr:sp macro="[0]!Швеллер3" textlink="">
            <xdr:nvSpPr>
              <xdr:cNvPr id="3798" name="Line 2774">
                <a:extLst>
                  <a:ext uri="{FF2B5EF4-FFF2-40B4-BE49-F238E27FC236}">
                    <a16:creationId xmlns:a16="http://schemas.microsoft.com/office/drawing/2014/main" id="{00000000-0008-0000-0000-0000D60E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84" y="57"/>
                <a:ext cx="42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[0]!Швеллер3" textlink="">
            <xdr:nvSpPr>
              <xdr:cNvPr id="3799" name="Line 2775">
                <a:extLst>
                  <a:ext uri="{FF2B5EF4-FFF2-40B4-BE49-F238E27FC236}">
                    <a16:creationId xmlns:a16="http://schemas.microsoft.com/office/drawing/2014/main" id="{00000000-0008-0000-0000-0000D70E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03" y="10"/>
                <a:ext cx="0" cy="88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</xdr:grpSp>
      </xdr:grpSp>
      <xdr:sp macro="[0]!Швеллер3" textlink="">
        <xdr:nvSpPr>
          <xdr:cNvPr id="4391" name="Текст 3367">
            <a:extLst>
              <a:ext uri="{FF2B5EF4-FFF2-40B4-BE49-F238E27FC236}">
                <a16:creationId xmlns:a16="http://schemas.microsoft.com/office/drawing/2014/main" id="{00000000-0008-0000-0000-000027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0" y="15"/>
            <a:ext cx="19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3</a:t>
            </a:r>
          </a:p>
        </xdr:txBody>
      </xdr:sp>
      <xdr:sp macro="[0]!Швеллер3" textlink="">
        <xdr:nvSpPr>
          <xdr:cNvPr id="1558" name="Объект 534">
            <a:extLst>
              <a:ext uri="{FF2B5EF4-FFF2-40B4-BE49-F238E27FC236}">
                <a16:creationId xmlns:a16="http://schemas.microsoft.com/office/drawing/2014/main" id="{00000000-0008-0000-0000-000016060000}"/>
              </a:ext>
            </a:extLst>
          </xdr:cNvPr>
          <xdr:cNvSpPr>
            <a:spLocks/>
          </xdr:cNvSpPr>
        </xdr:nvSpPr>
        <xdr:spPr bwMode="auto">
          <a:xfrm>
            <a:off x="184" y="31"/>
            <a:ext cx="0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8192" y="16384"/>
              </a:cxn>
              <a:cxn ang="0">
                <a:pos x="16384" y="0"/>
              </a:cxn>
              <a:cxn ang="0">
                <a:pos x="0" y="0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8192" y="16384"/>
                </a:lnTo>
                <a:lnTo>
                  <a:pt x="16384" y="0"/>
                </a:lnTo>
                <a:lnTo>
                  <a:pt x="0" y="0"/>
                </a:lnTo>
                <a:close/>
              </a:path>
            </a:pathLst>
          </a:custGeom>
          <a:solidFill>
            <a:srgbClr val="000080"/>
          </a:solidFill>
          <a:ln w="9525">
            <a:noFill/>
            <a:round/>
            <a:headEnd/>
            <a:tailEnd/>
          </a:ln>
        </xdr:spPr>
      </xdr:sp>
      <xdr:sp macro="[0]!Швеллер3" textlink="">
        <xdr:nvSpPr>
          <xdr:cNvPr id="4703" name="Text Box 3679">
            <a:extLst>
              <a:ext uri="{FF2B5EF4-FFF2-40B4-BE49-F238E27FC236}">
                <a16:creationId xmlns:a16="http://schemas.microsoft.com/office/drawing/2014/main" id="{00000000-0008-0000-0000-00005F12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0" y="61"/>
            <a:ext cx="59" cy="4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швеллеры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с наклон.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полками</a:t>
            </a:r>
          </a:p>
        </xdr:txBody>
      </xdr:sp>
    </xdr:grpSp>
    <xdr:clientData fPrintsWithSheet="0"/>
  </xdr:twoCellAnchor>
  <xdr:twoCellAnchor editAs="oneCell">
    <xdr:from>
      <xdr:col>3</xdr:col>
      <xdr:colOff>200025</xdr:colOff>
      <xdr:row>0</xdr:row>
      <xdr:rowOff>76200</xdr:rowOff>
    </xdr:from>
    <xdr:to>
      <xdr:col>4</xdr:col>
      <xdr:colOff>171450</xdr:colOff>
      <xdr:row>6</xdr:row>
      <xdr:rowOff>28575</xdr:rowOff>
    </xdr:to>
    <xdr:grpSp>
      <xdr:nvGrpSpPr>
        <xdr:cNvPr id="4755" name="Group 3731">
          <a:extLst>
            <a:ext uri="{FF2B5EF4-FFF2-40B4-BE49-F238E27FC236}">
              <a16:creationId xmlns:a16="http://schemas.microsoft.com/office/drawing/2014/main" id="{00000000-0008-0000-0000-000093120000}"/>
            </a:ext>
          </a:extLst>
        </xdr:cNvPr>
        <xdr:cNvGrpSpPr>
          <a:grpSpLocks/>
        </xdr:cNvGrpSpPr>
      </xdr:nvGrpSpPr>
      <xdr:grpSpPr bwMode="auto">
        <a:xfrm>
          <a:off x="2028825" y="76200"/>
          <a:ext cx="581025" cy="923925"/>
          <a:chOff x="237" y="9"/>
          <a:chExt cx="60" cy="97"/>
        </a:xfrm>
      </xdr:grpSpPr>
      <xdr:sp macro="[0]!Швеллер4" textlink="">
        <xdr:nvSpPr>
          <xdr:cNvPr id="3818" name="Rectangle 2794">
            <a:extLst>
              <a:ext uri="{FF2B5EF4-FFF2-40B4-BE49-F238E27FC236}">
                <a16:creationId xmlns:a16="http://schemas.microsoft.com/office/drawing/2014/main" id="{00000000-0008-0000-0000-0000EA0E0000}"/>
              </a:ext>
            </a:extLst>
          </xdr:cNvPr>
          <xdr:cNvSpPr>
            <a:spLocks noChangeArrowheads="1"/>
          </xdr:cNvSpPr>
        </xdr:nvSpPr>
        <xdr:spPr bwMode="auto">
          <a:xfrm>
            <a:off x="237" y="9"/>
            <a:ext cx="60" cy="97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752" name="Group 3728">
            <a:extLst>
              <a:ext uri="{FF2B5EF4-FFF2-40B4-BE49-F238E27FC236}">
                <a16:creationId xmlns:a16="http://schemas.microsoft.com/office/drawing/2014/main" id="{00000000-0008-0000-0000-000090120000}"/>
              </a:ext>
            </a:extLst>
          </xdr:cNvPr>
          <xdr:cNvGrpSpPr>
            <a:grpSpLocks/>
          </xdr:cNvGrpSpPr>
        </xdr:nvGrpSpPr>
        <xdr:grpSpPr bwMode="auto">
          <a:xfrm>
            <a:off x="240" y="10"/>
            <a:ext cx="23" cy="45"/>
            <a:chOff x="264" y="19"/>
            <a:chExt cx="43" cy="86"/>
          </a:xfrm>
        </xdr:grpSpPr>
        <xdr:sp macro="[0]!Швеллер4" textlink="">
          <xdr:nvSpPr>
            <xdr:cNvPr id="2392" name="Объект 1368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>
              <a:spLocks/>
            </xdr:cNvSpPr>
          </xdr:nvSpPr>
          <xdr:spPr bwMode="auto">
            <a:xfrm>
              <a:off x="273" y="29"/>
              <a:ext cx="34" cy="70"/>
            </a:xfrm>
            <a:custGeom>
              <a:avLst/>
              <a:gdLst/>
              <a:ahLst/>
              <a:cxnLst>
                <a:cxn ang="0">
                  <a:pos x="2346" y="8177"/>
                </a:cxn>
                <a:cxn ang="0">
                  <a:pos x="2346" y="14285"/>
                </a:cxn>
                <a:cxn ang="0">
                  <a:pos x="2383" y="14431"/>
                </a:cxn>
                <a:cxn ang="0">
                  <a:pos x="2458" y="14591"/>
                </a:cxn>
                <a:cxn ang="0">
                  <a:pos x="2532" y="14737"/>
                </a:cxn>
                <a:cxn ang="0">
                  <a:pos x="2681" y="14868"/>
                </a:cxn>
                <a:cxn ang="0">
                  <a:pos x="2867" y="14985"/>
                </a:cxn>
                <a:cxn ang="0">
                  <a:pos x="3091" y="15072"/>
                </a:cxn>
                <a:cxn ang="0">
                  <a:pos x="3351" y="15160"/>
                </a:cxn>
                <a:cxn ang="0">
                  <a:pos x="3575" y="15262"/>
                </a:cxn>
                <a:cxn ang="0">
                  <a:pos x="3910" y="15320"/>
                </a:cxn>
                <a:cxn ang="0">
                  <a:pos x="4208" y="15393"/>
                </a:cxn>
                <a:cxn ang="0">
                  <a:pos x="4543" y="15451"/>
                </a:cxn>
                <a:cxn ang="0">
                  <a:pos x="4915" y="15480"/>
                </a:cxn>
                <a:cxn ang="0">
                  <a:pos x="5697" y="15539"/>
                </a:cxn>
                <a:cxn ang="0">
                  <a:pos x="6442" y="15553"/>
                </a:cxn>
                <a:cxn ang="0">
                  <a:pos x="14820" y="15553"/>
                </a:cxn>
                <a:cxn ang="0">
                  <a:pos x="15267" y="15582"/>
                </a:cxn>
                <a:cxn ang="0">
                  <a:pos x="15639" y="15611"/>
                </a:cxn>
                <a:cxn ang="0">
                  <a:pos x="15863" y="15684"/>
                </a:cxn>
                <a:cxn ang="0">
                  <a:pos x="16086" y="15801"/>
                </a:cxn>
                <a:cxn ang="0">
                  <a:pos x="16198" y="15918"/>
                </a:cxn>
                <a:cxn ang="0">
                  <a:pos x="16310" y="16049"/>
                </a:cxn>
                <a:cxn ang="0">
                  <a:pos x="16384" y="16209"/>
                </a:cxn>
                <a:cxn ang="0">
                  <a:pos x="16384" y="16384"/>
                </a:cxn>
                <a:cxn ang="0">
                  <a:pos x="0" y="16384"/>
                </a:cxn>
                <a:cxn ang="0">
                  <a:pos x="0" y="8177"/>
                </a:cxn>
                <a:cxn ang="0">
                  <a:pos x="0" y="0"/>
                </a:cxn>
                <a:cxn ang="0">
                  <a:pos x="16384" y="0"/>
                </a:cxn>
                <a:cxn ang="0">
                  <a:pos x="16384" y="175"/>
                </a:cxn>
                <a:cxn ang="0">
                  <a:pos x="16310" y="321"/>
                </a:cxn>
                <a:cxn ang="0">
                  <a:pos x="16198" y="452"/>
                </a:cxn>
                <a:cxn ang="0">
                  <a:pos x="16086" y="583"/>
                </a:cxn>
                <a:cxn ang="0">
                  <a:pos x="15863" y="685"/>
                </a:cxn>
                <a:cxn ang="0">
                  <a:pos x="15639" y="729"/>
                </a:cxn>
                <a:cxn ang="0">
                  <a:pos x="15267" y="787"/>
                </a:cxn>
                <a:cxn ang="0">
                  <a:pos x="14820" y="787"/>
                </a:cxn>
                <a:cxn ang="0">
                  <a:pos x="6442" y="787"/>
                </a:cxn>
                <a:cxn ang="0">
                  <a:pos x="5958" y="816"/>
                </a:cxn>
                <a:cxn ang="0">
                  <a:pos x="5548" y="831"/>
                </a:cxn>
                <a:cxn ang="0">
                  <a:pos x="5101" y="845"/>
                </a:cxn>
                <a:cxn ang="0">
                  <a:pos x="4729" y="889"/>
                </a:cxn>
                <a:cxn ang="0">
                  <a:pos x="4394" y="947"/>
                </a:cxn>
                <a:cxn ang="0">
                  <a:pos x="4059" y="991"/>
                </a:cxn>
                <a:cxn ang="0">
                  <a:pos x="3724" y="1064"/>
                </a:cxn>
                <a:cxn ang="0">
                  <a:pos x="3426" y="1166"/>
                </a:cxn>
                <a:cxn ang="0">
                  <a:pos x="3202" y="1254"/>
                </a:cxn>
                <a:cxn ang="0">
                  <a:pos x="2979" y="1370"/>
                </a:cxn>
                <a:cxn ang="0">
                  <a:pos x="2755" y="1501"/>
                </a:cxn>
                <a:cxn ang="0">
                  <a:pos x="2644" y="1647"/>
                </a:cxn>
                <a:cxn ang="0">
                  <a:pos x="2532" y="1793"/>
                </a:cxn>
                <a:cxn ang="0">
                  <a:pos x="2458" y="1982"/>
                </a:cxn>
                <a:cxn ang="0">
                  <a:pos x="2383" y="2172"/>
                </a:cxn>
                <a:cxn ang="0">
                  <a:pos x="2346" y="2391"/>
                </a:cxn>
                <a:cxn ang="0">
                  <a:pos x="2346" y="8177"/>
                </a:cxn>
              </a:cxnLst>
              <a:rect l="0" t="0" r="r" b="b"/>
              <a:pathLst>
                <a:path w="16384" h="16384">
                  <a:moveTo>
                    <a:pt x="2346" y="8177"/>
                  </a:moveTo>
                  <a:lnTo>
                    <a:pt x="2346" y="14285"/>
                  </a:lnTo>
                  <a:lnTo>
                    <a:pt x="2383" y="14431"/>
                  </a:lnTo>
                  <a:lnTo>
                    <a:pt x="2458" y="14591"/>
                  </a:lnTo>
                  <a:lnTo>
                    <a:pt x="2532" y="14737"/>
                  </a:lnTo>
                  <a:lnTo>
                    <a:pt x="2681" y="14868"/>
                  </a:lnTo>
                  <a:lnTo>
                    <a:pt x="2867" y="14985"/>
                  </a:lnTo>
                  <a:lnTo>
                    <a:pt x="3091" y="15072"/>
                  </a:lnTo>
                  <a:lnTo>
                    <a:pt x="3351" y="15160"/>
                  </a:lnTo>
                  <a:lnTo>
                    <a:pt x="3575" y="15262"/>
                  </a:lnTo>
                  <a:lnTo>
                    <a:pt x="3910" y="15320"/>
                  </a:lnTo>
                  <a:lnTo>
                    <a:pt x="4208" y="15393"/>
                  </a:lnTo>
                  <a:lnTo>
                    <a:pt x="4543" y="15451"/>
                  </a:lnTo>
                  <a:lnTo>
                    <a:pt x="4915" y="15480"/>
                  </a:lnTo>
                  <a:lnTo>
                    <a:pt x="5697" y="15539"/>
                  </a:lnTo>
                  <a:lnTo>
                    <a:pt x="6442" y="15553"/>
                  </a:lnTo>
                  <a:lnTo>
                    <a:pt x="14820" y="15553"/>
                  </a:lnTo>
                  <a:lnTo>
                    <a:pt x="15267" y="15582"/>
                  </a:lnTo>
                  <a:lnTo>
                    <a:pt x="15639" y="15611"/>
                  </a:lnTo>
                  <a:lnTo>
                    <a:pt x="15863" y="15684"/>
                  </a:lnTo>
                  <a:lnTo>
                    <a:pt x="16086" y="15801"/>
                  </a:lnTo>
                  <a:lnTo>
                    <a:pt x="16198" y="15918"/>
                  </a:lnTo>
                  <a:lnTo>
                    <a:pt x="16310" y="16049"/>
                  </a:lnTo>
                  <a:lnTo>
                    <a:pt x="16384" y="16209"/>
                  </a:lnTo>
                  <a:lnTo>
                    <a:pt x="16384" y="16384"/>
                  </a:lnTo>
                  <a:lnTo>
                    <a:pt x="0" y="16384"/>
                  </a:lnTo>
                  <a:lnTo>
                    <a:pt x="0" y="8177"/>
                  </a:lnTo>
                  <a:lnTo>
                    <a:pt x="0" y="0"/>
                  </a:lnTo>
                  <a:lnTo>
                    <a:pt x="16384" y="0"/>
                  </a:lnTo>
                  <a:lnTo>
                    <a:pt x="16384" y="175"/>
                  </a:lnTo>
                  <a:lnTo>
                    <a:pt x="16310" y="321"/>
                  </a:lnTo>
                  <a:lnTo>
                    <a:pt x="16198" y="452"/>
                  </a:lnTo>
                  <a:lnTo>
                    <a:pt x="16086" y="583"/>
                  </a:lnTo>
                  <a:lnTo>
                    <a:pt x="15863" y="685"/>
                  </a:lnTo>
                  <a:lnTo>
                    <a:pt x="15639" y="729"/>
                  </a:lnTo>
                  <a:lnTo>
                    <a:pt x="15267" y="787"/>
                  </a:lnTo>
                  <a:lnTo>
                    <a:pt x="14820" y="787"/>
                  </a:lnTo>
                  <a:lnTo>
                    <a:pt x="6442" y="787"/>
                  </a:lnTo>
                  <a:lnTo>
                    <a:pt x="5958" y="816"/>
                  </a:lnTo>
                  <a:lnTo>
                    <a:pt x="5548" y="831"/>
                  </a:lnTo>
                  <a:lnTo>
                    <a:pt x="5101" y="845"/>
                  </a:lnTo>
                  <a:lnTo>
                    <a:pt x="4729" y="889"/>
                  </a:lnTo>
                  <a:lnTo>
                    <a:pt x="4394" y="947"/>
                  </a:lnTo>
                  <a:lnTo>
                    <a:pt x="4059" y="991"/>
                  </a:lnTo>
                  <a:lnTo>
                    <a:pt x="3724" y="1064"/>
                  </a:lnTo>
                  <a:lnTo>
                    <a:pt x="3426" y="1166"/>
                  </a:lnTo>
                  <a:lnTo>
                    <a:pt x="3202" y="1254"/>
                  </a:lnTo>
                  <a:lnTo>
                    <a:pt x="2979" y="1370"/>
                  </a:lnTo>
                  <a:lnTo>
                    <a:pt x="2755" y="1501"/>
                  </a:lnTo>
                  <a:lnTo>
                    <a:pt x="2644" y="1647"/>
                  </a:lnTo>
                  <a:lnTo>
                    <a:pt x="2532" y="1793"/>
                  </a:lnTo>
                  <a:lnTo>
                    <a:pt x="2458" y="1982"/>
                  </a:lnTo>
                  <a:lnTo>
                    <a:pt x="2383" y="2172"/>
                  </a:lnTo>
                  <a:lnTo>
                    <a:pt x="2346" y="2391"/>
                  </a:lnTo>
                  <a:lnTo>
                    <a:pt x="2346" y="8177"/>
                  </a:lnTo>
                  <a:close/>
                </a:path>
              </a:pathLst>
            </a:custGeom>
            <a:pattFill prst="ltUpDiag">
              <a:fgClr>
                <a:srgbClr val="310201"/>
              </a:fgClr>
              <a:bgClr>
                <a:srgbClr val="FFFFFF"/>
              </a:bgClr>
            </a:pattFill>
            <a:ln w="9525" cap="flat" cmpd="sng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[0]!Швеллер4" textlink="">
          <xdr:nvSpPr>
            <xdr:cNvPr id="3811" name="Line 2787">
              <a:extLst>
                <a:ext uri="{FF2B5EF4-FFF2-40B4-BE49-F238E27FC236}">
                  <a16:creationId xmlns:a16="http://schemas.microsoft.com/office/drawing/2014/main" id="{00000000-0008-0000-0000-0000E30E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84" y="19"/>
              <a:ext cx="0" cy="86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[0]!Швеллер4" textlink="">
          <xdr:nvSpPr>
            <xdr:cNvPr id="3812" name="Line 2788">
              <a:extLst>
                <a:ext uri="{FF2B5EF4-FFF2-40B4-BE49-F238E27FC236}">
                  <a16:creationId xmlns:a16="http://schemas.microsoft.com/office/drawing/2014/main" id="{00000000-0008-0000-0000-0000E40E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" y="63"/>
              <a:ext cx="40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</xdr:grpSp>
      <xdr:sp macro="[0]!Швеллер4" textlink="">
        <xdr:nvSpPr>
          <xdr:cNvPr id="4393" name="Текст 3369">
            <a:extLst>
              <a:ext uri="{FF2B5EF4-FFF2-40B4-BE49-F238E27FC236}">
                <a16:creationId xmlns:a16="http://schemas.microsoft.com/office/drawing/2014/main" id="{00000000-0008-0000-0000-000029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4" y="15"/>
            <a:ext cx="19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4</a:t>
            </a:r>
          </a:p>
        </xdr:txBody>
      </xdr:sp>
      <xdr:sp macro="[0]!Швеллер4" textlink="">
        <xdr:nvSpPr>
          <xdr:cNvPr id="4753" name="Text Box 3729">
            <a:extLst>
              <a:ext uri="{FF2B5EF4-FFF2-40B4-BE49-F238E27FC236}">
                <a16:creationId xmlns:a16="http://schemas.microsoft.com/office/drawing/2014/main" id="{00000000-0008-0000-0000-00009112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8" y="61"/>
            <a:ext cx="59" cy="4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швеллеры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с паралл.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полками</a:t>
            </a:r>
          </a:p>
        </xdr:txBody>
      </xdr:sp>
    </xdr:grpSp>
    <xdr:clientData fPrintsWithSheet="0"/>
  </xdr:twoCellAnchor>
  <xdr:twoCellAnchor editAs="oneCell">
    <xdr:from>
      <xdr:col>4</xdr:col>
      <xdr:colOff>200025</xdr:colOff>
      <xdr:row>0</xdr:row>
      <xdr:rowOff>76200</xdr:rowOff>
    </xdr:from>
    <xdr:to>
      <xdr:col>5</xdr:col>
      <xdr:colOff>171450</xdr:colOff>
      <xdr:row>6</xdr:row>
      <xdr:rowOff>28575</xdr:rowOff>
    </xdr:to>
    <xdr:grpSp>
      <xdr:nvGrpSpPr>
        <xdr:cNvPr id="4817" name="Group 3793">
          <a:extLst>
            <a:ext uri="{FF2B5EF4-FFF2-40B4-BE49-F238E27FC236}">
              <a16:creationId xmlns:a16="http://schemas.microsoft.com/office/drawing/2014/main" id="{00000000-0008-0000-0000-0000D1120000}"/>
            </a:ext>
          </a:extLst>
        </xdr:cNvPr>
        <xdr:cNvGrpSpPr>
          <a:grpSpLocks/>
        </xdr:cNvGrpSpPr>
      </xdr:nvGrpSpPr>
      <xdr:grpSpPr bwMode="auto">
        <a:xfrm>
          <a:off x="2638425" y="76200"/>
          <a:ext cx="581025" cy="923925"/>
          <a:chOff x="316" y="6"/>
          <a:chExt cx="62" cy="86"/>
        </a:xfrm>
      </xdr:grpSpPr>
      <xdr:sp macro="[0]!Швеллер5" textlink="">
        <xdr:nvSpPr>
          <xdr:cNvPr id="4009" name="Rectangle 2985">
            <a:extLst>
              <a:ext uri="{FF2B5EF4-FFF2-40B4-BE49-F238E27FC236}">
                <a16:creationId xmlns:a16="http://schemas.microsoft.com/office/drawing/2014/main" id="{00000000-0008-0000-0000-0000A90F0000}"/>
              </a:ext>
            </a:extLst>
          </xdr:cNvPr>
          <xdr:cNvSpPr>
            <a:spLocks noChangeArrowheads="1"/>
          </xdr:cNvSpPr>
        </xdr:nvSpPr>
        <xdr:spPr bwMode="auto">
          <a:xfrm>
            <a:off x="316" y="6"/>
            <a:ext cx="62" cy="86"/>
          </a:xfrm>
          <a:prstGeom prst="rect">
            <a:avLst/>
          </a:prstGeom>
          <a:solidFill>
            <a:srgbClr val="FFFF9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815" name="Group 3791">
            <a:extLst>
              <a:ext uri="{FF2B5EF4-FFF2-40B4-BE49-F238E27FC236}">
                <a16:creationId xmlns:a16="http://schemas.microsoft.com/office/drawing/2014/main" id="{00000000-0008-0000-0000-0000CF120000}"/>
              </a:ext>
            </a:extLst>
          </xdr:cNvPr>
          <xdr:cNvGrpSpPr>
            <a:grpSpLocks/>
          </xdr:cNvGrpSpPr>
        </xdr:nvGrpSpPr>
        <xdr:grpSpPr bwMode="auto">
          <a:xfrm>
            <a:off x="322" y="10"/>
            <a:ext cx="21" cy="45"/>
            <a:chOff x="425" y="12"/>
            <a:chExt cx="42" cy="90"/>
          </a:xfrm>
        </xdr:grpSpPr>
        <xdr:sp macro="[0]!Швеллер5" textlink="">
          <xdr:nvSpPr>
            <xdr:cNvPr id="4028" name="Объект 1050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BC0F0000}"/>
                </a:ext>
              </a:extLst>
            </xdr:cNvPr>
            <xdr:cNvSpPr>
              <a:spLocks/>
            </xdr:cNvSpPr>
          </xdr:nvSpPr>
          <xdr:spPr bwMode="auto">
            <a:xfrm>
              <a:off x="433" y="24"/>
              <a:ext cx="34" cy="70"/>
            </a:xfrm>
            <a:custGeom>
              <a:avLst/>
              <a:gdLst/>
              <a:ahLst/>
              <a:cxnLst>
                <a:cxn ang="0">
                  <a:pos x="2515" y="8185"/>
                </a:cxn>
                <a:cxn ang="0">
                  <a:pos x="2515" y="13690"/>
                </a:cxn>
                <a:cxn ang="0">
                  <a:pos x="2515" y="13865"/>
                </a:cxn>
                <a:cxn ang="0">
                  <a:pos x="2552" y="14010"/>
                </a:cxn>
                <a:cxn ang="0">
                  <a:pos x="2663" y="14141"/>
                </a:cxn>
                <a:cxn ang="0">
                  <a:pos x="2737" y="14272"/>
                </a:cxn>
                <a:cxn ang="0">
                  <a:pos x="2922" y="14403"/>
                </a:cxn>
                <a:cxn ang="0">
                  <a:pos x="3070" y="14491"/>
                </a:cxn>
                <a:cxn ang="0">
                  <a:pos x="3292" y="14607"/>
                </a:cxn>
                <a:cxn ang="0">
                  <a:pos x="3550" y="14680"/>
                </a:cxn>
                <a:cxn ang="0">
                  <a:pos x="3772" y="14782"/>
                </a:cxn>
                <a:cxn ang="0">
                  <a:pos x="4068" y="14826"/>
                </a:cxn>
                <a:cxn ang="0">
                  <a:pos x="4364" y="14899"/>
                </a:cxn>
                <a:cxn ang="0">
                  <a:pos x="4697" y="14957"/>
                </a:cxn>
                <a:cxn ang="0">
                  <a:pos x="5400" y="15059"/>
                </a:cxn>
                <a:cxn ang="0">
                  <a:pos x="6139" y="15132"/>
                </a:cxn>
                <a:cxn ang="0">
                  <a:pos x="14905" y="15612"/>
                </a:cxn>
                <a:cxn ang="0">
                  <a:pos x="15274" y="15627"/>
                </a:cxn>
                <a:cxn ang="0">
                  <a:pos x="15607" y="15670"/>
                </a:cxn>
                <a:cxn ang="0">
                  <a:pos x="15866" y="15729"/>
                </a:cxn>
                <a:cxn ang="0">
                  <a:pos x="16051" y="15816"/>
                </a:cxn>
                <a:cxn ang="0">
                  <a:pos x="16199" y="15933"/>
                </a:cxn>
                <a:cxn ang="0">
                  <a:pos x="16273" y="16049"/>
                </a:cxn>
                <a:cxn ang="0">
                  <a:pos x="16310" y="16209"/>
                </a:cxn>
                <a:cxn ang="0">
                  <a:pos x="16384" y="16384"/>
                </a:cxn>
                <a:cxn ang="0">
                  <a:pos x="0" y="16384"/>
                </a:cxn>
                <a:cxn ang="0">
                  <a:pos x="0" y="8185"/>
                </a:cxn>
                <a:cxn ang="0">
                  <a:pos x="0" y="0"/>
                </a:cxn>
                <a:cxn ang="0">
                  <a:pos x="16384" y="0"/>
                </a:cxn>
                <a:cxn ang="0">
                  <a:pos x="16310" y="175"/>
                </a:cxn>
                <a:cxn ang="0">
                  <a:pos x="16273" y="320"/>
                </a:cxn>
                <a:cxn ang="0">
                  <a:pos x="16199" y="451"/>
                </a:cxn>
                <a:cxn ang="0">
                  <a:pos x="16051" y="568"/>
                </a:cxn>
                <a:cxn ang="0">
                  <a:pos x="15866" y="641"/>
                </a:cxn>
                <a:cxn ang="0">
                  <a:pos x="15607" y="714"/>
                </a:cxn>
                <a:cxn ang="0">
                  <a:pos x="15274" y="757"/>
                </a:cxn>
                <a:cxn ang="0">
                  <a:pos x="14905" y="757"/>
                </a:cxn>
                <a:cxn ang="0">
                  <a:pos x="5917" y="1398"/>
                </a:cxn>
                <a:cxn ang="0">
                  <a:pos x="5104" y="1471"/>
                </a:cxn>
                <a:cxn ang="0">
                  <a:pos x="4401" y="1587"/>
                </a:cxn>
                <a:cxn ang="0">
                  <a:pos x="4105" y="1660"/>
                </a:cxn>
                <a:cxn ang="0">
                  <a:pos x="3846" y="1718"/>
                </a:cxn>
                <a:cxn ang="0">
                  <a:pos x="3550" y="1820"/>
                </a:cxn>
                <a:cxn ang="0">
                  <a:pos x="3292" y="1893"/>
                </a:cxn>
                <a:cxn ang="0">
                  <a:pos x="3107" y="1995"/>
                </a:cxn>
                <a:cxn ang="0">
                  <a:pos x="2959" y="2112"/>
                </a:cxn>
                <a:cxn ang="0">
                  <a:pos x="2848" y="2228"/>
                </a:cxn>
                <a:cxn ang="0">
                  <a:pos x="2700" y="2359"/>
                </a:cxn>
                <a:cxn ang="0">
                  <a:pos x="2589" y="2505"/>
                </a:cxn>
                <a:cxn ang="0">
                  <a:pos x="2552" y="2651"/>
                </a:cxn>
                <a:cxn ang="0">
                  <a:pos x="2515" y="2825"/>
                </a:cxn>
                <a:cxn ang="0">
                  <a:pos x="2515" y="3000"/>
                </a:cxn>
                <a:cxn ang="0">
                  <a:pos x="2515" y="8185"/>
                </a:cxn>
              </a:cxnLst>
              <a:rect l="0" t="0" r="r" b="b"/>
              <a:pathLst>
                <a:path w="16384" h="16384">
                  <a:moveTo>
                    <a:pt x="2515" y="8185"/>
                  </a:moveTo>
                  <a:lnTo>
                    <a:pt x="2515" y="13690"/>
                  </a:lnTo>
                  <a:lnTo>
                    <a:pt x="2515" y="13865"/>
                  </a:lnTo>
                  <a:lnTo>
                    <a:pt x="2552" y="14010"/>
                  </a:lnTo>
                  <a:lnTo>
                    <a:pt x="2663" y="14141"/>
                  </a:lnTo>
                  <a:lnTo>
                    <a:pt x="2737" y="14272"/>
                  </a:lnTo>
                  <a:lnTo>
                    <a:pt x="2922" y="14403"/>
                  </a:lnTo>
                  <a:lnTo>
                    <a:pt x="3070" y="14491"/>
                  </a:lnTo>
                  <a:lnTo>
                    <a:pt x="3292" y="14607"/>
                  </a:lnTo>
                  <a:lnTo>
                    <a:pt x="3550" y="14680"/>
                  </a:lnTo>
                  <a:lnTo>
                    <a:pt x="3772" y="14782"/>
                  </a:lnTo>
                  <a:lnTo>
                    <a:pt x="4068" y="14826"/>
                  </a:lnTo>
                  <a:lnTo>
                    <a:pt x="4364" y="14899"/>
                  </a:lnTo>
                  <a:lnTo>
                    <a:pt x="4697" y="14957"/>
                  </a:lnTo>
                  <a:lnTo>
                    <a:pt x="5400" y="15059"/>
                  </a:lnTo>
                  <a:lnTo>
                    <a:pt x="6139" y="15132"/>
                  </a:lnTo>
                  <a:lnTo>
                    <a:pt x="14905" y="15612"/>
                  </a:lnTo>
                  <a:lnTo>
                    <a:pt x="15274" y="15627"/>
                  </a:lnTo>
                  <a:lnTo>
                    <a:pt x="15607" y="15670"/>
                  </a:lnTo>
                  <a:lnTo>
                    <a:pt x="15866" y="15729"/>
                  </a:lnTo>
                  <a:lnTo>
                    <a:pt x="16051" y="15816"/>
                  </a:lnTo>
                  <a:lnTo>
                    <a:pt x="16199" y="15933"/>
                  </a:lnTo>
                  <a:lnTo>
                    <a:pt x="16273" y="16049"/>
                  </a:lnTo>
                  <a:lnTo>
                    <a:pt x="16310" y="16209"/>
                  </a:lnTo>
                  <a:lnTo>
                    <a:pt x="16384" y="16384"/>
                  </a:lnTo>
                  <a:lnTo>
                    <a:pt x="0" y="16384"/>
                  </a:lnTo>
                  <a:lnTo>
                    <a:pt x="0" y="8185"/>
                  </a:lnTo>
                  <a:lnTo>
                    <a:pt x="0" y="0"/>
                  </a:lnTo>
                  <a:lnTo>
                    <a:pt x="16384" y="0"/>
                  </a:lnTo>
                  <a:lnTo>
                    <a:pt x="16310" y="175"/>
                  </a:lnTo>
                  <a:lnTo>
                    <a:pt x="16273" y="320"/>
                  </a:lnTo>
                  <a:lnTo>
                    <a:pt x="16199" y="451"/>
                  </a:lnTo>
                  <a:lnTo>
                    <a:pt x="16051" y="568"/>
                  </a:lnTo>
                  <a:lnTo>
                    <a:pt x="15866" y="641"/>
                  </a:lnTo>
                  <a:lnTo>
                    <a:pt x="15607" y="714"/>
                  </a:lnTo>
                  <a:lnTo>
                    <a:pt x="15274" y="757"/>
                  </a:lnTo>
                  <a:lnTo>
                    <a:pt x="14905" y="757"/>
                  </a:lnTo>
                  <a:lnTo>
                    <a:pt x="5917" y="1398"/>
                  </a:lnTo>
                  <a:lnTo>
                    <a:pt x="5104" y="1471"/>
                  </a:lnTo>
                  <a:lnTo>
                    <a:pt x="4401" y="1587"/>
                  </a:lnTo>
                  <a:lnTo>
                    <a:pt x="4105" y="1660"/>
                  </a:lnTo>
                  <a:lnTo>
                    <a:pt x="3846" y="1718"/>
                  </a:lnTo>
                  <a:lnTo>
                    <a:pt x="3550" y="1820"/>
                  </a:lnTo>
                  <a:lnTo>
                    <a:pt x="3292" y="1893"/>
                  </a:lnTo>
                  <a:lnTo>
                    <a:pt x="3107" y="1995"/>
                  </a:lnTo>
                  <a:lnTo>
                    <a:pt x="2959" y="2112"/>
                  </a:lnTo>
                  <a:lnTo>
                    <a:pt x="2848" y="2228"/>
                  </a:lnTo>
                  <a:lnTo>
                    <a:pt x="2700" y="2359"/>
                  </a:lnTo>
                  <a:lnTo>
                    <a:pt x="2589" y="2505"/>
                  </a:lnTo>
                  <a:lnTo>
                    <a:pt x="2552" y="2651"/>
                  </a:lnTo>
                  <a:lnTo>
                    <a:pt x="2515" y="2825"/>
                  </a:lnTo>
                  <a:lnTo>
                    <a:pt x="2515" y="3000"/>
                  </a:lnTo>
                  <a:lnTo>
                    <a:pt x="2515" y="8185"/>
                  </a:lnTo>
                </a:path>
              </a:pathLst>
            </a:custGeom>
            <a:pattFill prst="ltUpDiag">
              <a:fgClr>
                <a:srgbClr val="000000"/>
              </a:fgClr>
              <a:bgClr>
                <a:srgbClr val="FFFFFF"/>
              </a:bgClr>
            </a:pattFill>
            <a:ln w="6350" cap="flat" cmpd="sng">
              <a:solidFill>
                <a:srgbClr val="333300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sp macro="[0]!Швеллер5" textlink="">
          <xdr:nvSpPr>
            <xdr:cNvPr id="4059" name="Line 3035">
              <a:extLst>
                <a:ext uri="{FF2B5EF4-FFF2-40B4-BE49-F238E27FC236}">
                  <a16:creationId xmlns:a16="http://schemas.microsoft.com/office/drawing/2014/main" id="{00000000-0008-0000-0000-0000DB0F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5" y="60"/>
              <a:ext cx="42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[0]!Швеллер5" textlink="">
          <xdr:nvSpPr>
            <xdr:cNvPr id="4060" name="Line 3036">
              <a:extLst>
                <a:ext uri="{FF2B5EF4-FFF2-40B4-BE49-F238E27FC236}">
                  <a16:creationId xmlns:a16="http://schemas.microsoft.com/office/drawing/2014/main" id="{00000000-0008-0000-0000-0000DC0F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44" y="12"/>
              <a:ext cx="0" cy="9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</xdr:grpSp>
      <xdr:sp macro="[0]!Швеллер5" textlink="">
        <xdr:nvSpPr>
          <xdr:cNvPr id="4396" name="Текст 3372">
            <a:extLst>
              <a:ext uri="{FF2B5EF4-FFF2-40B4-BE49-F238E27FC236}">
                <a16:creationId xmlns:a16="http://schemas.microsoft.com/office/drawing/2014/main" id="{00000000-0008-0000-0000-00002C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9" y="12"/>
            <a:ext cx="19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5</a:t>
            </a:r>
          </a:p>
        </xdr:txBody>
      </xdr:sp>
      <xdr:sp macro="[0]!Швеллер5" textlink="">
        <xdr:nvSpPr>
          <xdr:cNvPr id="4816" name="Text Box 3792">
            <a:extLst>
              <a:ext uri="{FF2B5EF4-FFF2-40B4-BE49-F238E27FC236}">
                <a16:creationId xmlns:a16="http://schemas.microsoft.com/office/drawing/2014/main" id="{00000000-0008-0000-0000-0000D012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7" y="61"/>
            <a:ext cx="61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швеллеры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спец-ные</a:t>
            </a:r>
          </a:p>
        </xdr:txBody>
      </xdr:sp>
    </xdr:grpSp>
    <xdr:clientData fPrintsWithSheet="0"/>
  </xdr:twoCellAnchor>
  <xdr:twoCellAnchor editAs="oneCell">
    <xdr:from>
      <xdr:col>5</xdr:col>
      <xdr:colOff>228600</xdr:colOff>
      <xdr:row>0</xdr:row>
      <xdr:rowOff>76200</xdr:rowOff>
    </xdr:from>
    <xdr:to>
      <xdr:col>6</xdr:col>
      <xdr:colOff>200025</xdr:colOff>
      <xdr:row>6</xdr:row>
      <xdr:rowOff>28575</xdr:rowOff>
    </xdr:to>
    <xdr:grpSp>
      <xdr:nvGrpSpPr>
        <xdr:cNvPr id="4870" name="Group 3846">
          <a:extLst>
            <a:ext uri="{FF2B5EF4-FFF2-40B4-BE49-F238E27FC236}">
              <a16:creationId xmlns:a16="http://schemas.microsoft.com/office/drawing/2014/main" id="{00000000-0008-0000-0000-000006130000}"/>
            </a:ext>
          </a:extLst>
        </xdr:cNvPr>
        <xdr:cNvGrpSpPr>
          <a:grpSpLocks/>
        </xdr:cNvGrpSpPr>
      </xdr:nvGrpSpPr>
      <xdr:grpSpPr bwMode="auto">
        <a:xfrm>
          <a:off x="3276600" y="76200"/>
          <a:ext cx="581025" cy="923925"/>
          <a:chOff x="382" y="5"/>
          <a:chExt cx="61" cy="72"/>
        </a:xfrm>
      </xdr:grpSpPr>
      <xdr:sp macro="[0]!Двутавр1" textlink="">
        <xdr:nvSpPr>
          <xdr:cNvPr id="3832" name="Rectangle 2808">
            <a:extLst>
              <a:ext uri="{FF2B5EF4-FFF2-40B4-BE49-F238E27FC236}">
                <a16:creationId xmlns:a16="http://schemas.microsoft.com/office/drawing/2014/main" id="{00000000-0008-0000-0000-0000F80E0000}"/>
              </a:ext>
            </a:extLst>
          </xdr:cNvPr>
          <xdr:cNvSpPr>
            <a:spLocks noChangeArrowheads="1"/>
          </xdr:cNvSpPr>
        </xdr:nvSpPr>
        <xdr:spPr bwMode="auto">
          <a:xfrm>
            <a:off x="382" y="5"/>
            <a:ext cx="61" cy="72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868" name="Group 3844">
            <a:extLst>
              <a:ext uri="{FF2B5EF4-FFF2-40B4-BE49-F238E27FC236}">
                <a16:creationId xmlns:a16="http://schemas.microsoft.com/office/drawing/2014/main" id="{00000000-0008-0000-0000-000004130000}"/>
              </a:ext>
            </a:extLst>
          </xdr:cNvPr>
          <xdr:cNvGrpSpPr>
            <a:grpSpLocks/>
          </xdr:cNvGrpSpPr>
        </xdr:nvGrpSpPr>
        <xdr:grpSpPr bwMode="auto">
          <a:xfrm>
            <a:off x="388" y="9"/>
            <a:ext cx="20" cy="39"/>
            <a:chOff x="388" y="9"/>
            <a:chExt cx="21" cy="43"/>
          </a:xfrm>
        </xdr:grpSpPr>
        <xdr:sp macro="[0]!Двутавр1" textlink="">
          <xdr:nvSpPr>
            <xdr:cNvPr id="2704" name="Объект 1680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900A0000}"/>
                </a:ext>
              </a:extLst>
            </xdr:cNvPr>
            <xdr:cNvSpPr>
              <a:spLocks/>
            </xdr:cNvSpPr>
          </xdr:nvSpPr>
          <xdr:spPr bwMode="auto">
            <a:xfrm>
              <a:off x="389" y="12"/>
              <a:ext cx="20" cy="36"/>
            </a:xfrm>
            <a:custGeom>
              <a:avLst/>
              <a:gdLst/>
              <a:ahLst/>
              <a:cxnLst>
                <a:cxn ang="0">
                  <a:pos x="15484" y="752"/>
                </a:cxn>
                <a:cxn ang="0">
                  <a:pos x="15988" y="646"/>
                </a:cxn>
                <a:cxn ang="0">
                  <a:pos x="16240" y="451"/>
                </a:cxn>
                <a:cxn ang="0">
                  <a:pos x="16312" y="165"/>
                </a:cxn>
                <a:cxn ang="0">
                  <a:pos x="0" y="0"/>
                </a:cxn>
                <a:cxn ang="0">
                  <a:pos x="108" y="316"/>
                </a:cxn>
                <a:cxn ang="0">
                  <a:pos x="324" y="541"/>
                </a:cxn>
                <a:cxn ang="0">
                  <a:pos x="684" y="721"/>
                </a:cxn>
                <a:cxn ang="0">
                  <a:pos x="1296" y="782"/>
                </a:cxn>
                <a:cxn ang="0">
                  <a:pos x="2485" y="857"/>
                </a:cxn>
                <a:cxn ang="0">
                  <a:pos x="3709" y="932"/>
                </a:cxn>
                <a:cxn ang="0">
                  <a:pos x="4897" y="1007"/>
                </a:cxn>
                <a:cxn ang="0">
                  <a:pos x="6085" y="1082"/>
                </a:cxn>
                <a:cxn ang="0">
                  <a:pos x="6698" y="1233"/>
                </a:cxn>
                <a:cxn ang="0">
                  <a:pos x="7166" y="1413"/>
                </a:cxn>
                <a:cxn ang="0">
                  <a:pos x="7382" y="1608"/>
                </a:cxn>
                <a:cxn ang="0">
                  <a:pos x="7490" y="1879"/>
                </a:cxn>
                <a:cxn ang="0">
                  <a:pos x="7490" y="5081"/>
                </a:cxn>
                <a:cxn ang="0">
                  <a:pos x="7490" y="8162"/>
                </a:cxn>
                <a:cxn ang="0">
                  <a:pos x="7490" y="11228"/>
                </a:cxn>
                <a:cxn ang="0">
                  <a:pos x="7490" y="14445"/>
                </a:cxn>
                <a:cxn ang="0">
                  <a:pos x="7490" y="14685"/>
                </a:cxn>
                <a:cxn ang="0">
                  <a:pos x="7382" y="14911"/>
                </a:cxn>
                <a:cxn ang="0">
                  <a:pos x="7022" y="15061"/>
                </a:cxn>
                <a:cxn ang="0">
                  <a:pos x="6374" y="15212"/>
                </a:cxn>
                <a:cxn ang="0">
                  <a:pos x="5077" y="15347"/>
                </a:cxn>
                <a:cxn ang="0">
                  <a:pos x="3709" y="15467"/>
                </a:cxn>
                <a:cxn ang="0">
                  <a:pos x="2305" y="15542"/>
                </a:cxn>
                <a:cxn ang="0">
                  <a:pos x="864" y="15617"/>
                </a:cxn>
                <a:cxn ang="0">
                  <a:pos x="432" y="15768"/>
                </a:cxn>
                <a:cxn ang="0">
                  <a:pos x="144" y="15918"/>
                </a:cxn>
                <a:cxn ang="0">
                  <a:pos x="36" y="16113"/>
                </a:cxn>
                <a:cxn ang="0">
                  <a:pos x="0" y="16384"/>
                </a:cxn>
                <a:cxn ang="0">
                  <a:pos x="16312" y="16234"/>
                </a:cxn>
                <a:cxn ang="0">
                  <a:pos x="16276" y="15978"/>
                </a:cxn>
                <a:cxn ang="0">
                  <a:pos x="16096" y="15813"/>
                </a:cxn>
                <a:cxn ang="0">
                  <a:pos x="15772" y="15693"/>
                </a:cxn>
                <a:cxn ang="0">
                  <a:pos x="14692" y="15572"/>
                </a:cxn>
                <a:cxn ang="0">
                  <a:pos x="13359" y="15497"/>
                </a:cxn>
                <a:cxn ang="0">
                  <a:pos x="12171" y="15407"/>
                </a:cxn>
                <a:cxn ang="0">
                  <a:pos x="10983" y="15287"/>
                </a:cxn>
                <a:cxn ang="0">
                  <a:pos x="9974" y="15136"/>
                </a:cxn>
                <a:cxn ang="0">
                  <a:pos x="9470" y="14986"/>
                </a:cxn>
                <a:cxn ang="0">
                  <a:pos x="9182" y="14806"/>
                </a:cxn>
                <a:cxn ang="0">
                  <a:pos x="9074" y="14580"/>
                </a:cxn>
                <a:cxn ang="0">
                  <a:pos x="9038" y="12852"/>
                </a:cxn>
                <a:cxn ang="0">
                  <a:pos x="9038" y="9710"/>
                </a:cxn>
                <a:cxn ang="0">
                  <a:pos x="9038" y="6614"/>
                </a:cxn>
                <a:cxn ang="0">
                  <a:pos x="9038" y="3472"/>
                </a:cxn>
                <a:cxn ang="0">
                  <a:pos x="9074" y="1714"/>
                </a:cxn>
                <a:cxn ang="0">
                  <a:pos x="9254" y="1488"/>
                </a:cxn>
                <a:cxn ang="0">
                  <a:pos x="9542" y="1308"/>
                </a:cxn>
                <a:cxn ang="0">
                  <a:pos x="10010" y="1157"/>
                </a:cxn>
                <a:cxn ang="0">
                  <a:pos x="15088" y="782"/>
                </a:cxn>
              </a:cxnLst>
              <a:rect l="0" t="0" r="r" b="b"/>
              <a:pathLst>
                <a:path w="16384" h="16384">
                  <a:moveTo>
                    <a:pt x="15088" y="782"/>
                  </a:moveTo>
                  <a:lnTo>
                    <a:pt x="15484" y="752"/>
                  </a:lnTo>
                  <a:lnTo>
                    <a:pt x="15772" y="691"/>
                  </a:lnTo>
                  <a:lnTo>
                    <a:pt x="15988" y="646"/>
                  </a:lnTo>
                  <a:lnTo>
                    <a:pt x="16132" y="541"/>
                  </a:lnTo>
                  <a:lnTo>
                    <a:pt x="16240" y="451"/>
                  </a:lnTo>
                  <a:lnTo>
                    <a:pt x="16312" y="316"/>
                  </a:lnTo>
                  <a:lnTo>
                    <a:pt x="16312" y="165"/>
                  </a:lnTo>
                  <a:lnTo>
                    <a:pt x="16384" y="0"/>
                  </a:lnTo>
                  <a:lnTo>
                    <a:pt x="0" y="0"/>
                  </a:lnTo>
                  <a:lnTo>
                    <a:pt x="36" y="165"/>
                  </a:lnTo>
                  <a:lnTo>
                    <a:pt x="108" y="316"/>
                  </a:lnTo>
                  <a:lnTo>
                    <a:pt x="180" y="436"/>
                  </a:lnTo>
                  <a:lnTo>
                    <a:pt x="324" y="541"/>
                  </a:lnTo>
                  <a:lnTo>
                    <a:pt x="468" y="646"/>
                  </a:lnTo>
                  <a:lnTo>
                    <a:pt x="684" y="721"/>
                  </a:lnTo>
                  <a:lnTo>
                    <a:pt x="972" y="752"/>
                  </a:lnTo>
                  <a:lnTo>
                    <a:pt x="1296" y="782"/>
                  </a:lnTo>
                  <a:lnTo>
                    <a:pt x="1908" y="812"/>
                  </a:lnTo>
                  <a:lnTo>
                    <a:pt x="2485" y="857"/>
                  </a:lnTo>
                  <a:lnTo>
                    <a:pt x="3097" y="887"/>
                  </a:lnTo>
                  <a:lnTo>
                    <a:pt x="3709" y="932"/>
                  </a:lnTo>
                  <a:lnTo>
                    <a:pt x="4285" y="962"/>
                  </a:lnTo>
                  <a:lnTo>
                    <a:pt x="4897" y="1007"/>
                  </a:lnTo>
                  <a:lnTo>
                    <a:pt x="5473" y="1052"/>
                  </a:lnTo>
                  <a:lnTo>
                    <a:pt x="6085" y="1082"/>
                  </a:lnTo>
                  <a:lnTo>
                    <a:pt x="6410" y="1157"/>
                  </a:lnTo>
                  <a:lnTo>
                    <a:pt x="6698" y="1233"/>
                  </a:lnTo>
                  <a:lnTo>
                    <a:pt x="6914" y="1308"/>
                  </a:lnTo>
                  <a:lnTo>
                    <a:pt x="7166" y="1413"/>
                  </a:lnTo>
                  <a:lnTo>
                    <a:pt x="7274" y="1503"/>
                  </a:lnTo>
                  <a:lnTo>
                    <a:pt x="7382" y="1608"/>
                  </a:lnTo>
                  <a:lnTo>
                    <a:pt x="7490" y="1714"/>
                  </a:lnTo>
                  <a:lnTo>
                    <a:pt x="7490" y="1879"/>
                  </a:lnTo>
                  <a:lnTo>
                    <a:pt x="7490" y="3502"/>
                  </a:lnTo>
                  <a:lnTo>
                    <a:pt x="7490" y="5081"/>
                  </a:lnTo>
                  <a:lnTo>
                    <a:pt x="7490" y="6629"/>
                  </a:lnTo>
                  <a:lnTo>
                    <a:pt x="7490" y="8162"/>
                  </a:lnTo>
                  <a:lnTo>
                    <a:pt x="7490" y="9695"/>
                  </a:lnTo>
                  <a:lnTo>
                    <a:pt x="7490" y="11228"/>
                  </a:lnTo>
                  <a:lnTo>
                    <a:pt x="7490" y="12807"/>
                  </a:lnTo>
                  <a:lnTo>
                    <a:pt x="7490" y="14445"/>
                  </a:lnTo>
                  <a:lnTo>
                    <a:pt x="7490" y="14580"/>
                  </a:lnTo>
                  <a:lnTo>
                    <a:pt x="7490" y="14685"/>
                  </a:lnTo>
                  <a:lnTo>
                    <a:pt x="7418" y="14806"/>
                  </a:lnTo>
                  <a:lnTo>
                    <a:pt x="7382" y="14911"/>
                  </a:lnTo>
                  <a:lnTo>
                    <a:pt x="7238" y="14986"/>
                  </a:lnTo>
                  <a:lnTo>
                    <a:pt x="7022" y="15061"/>
                  </a:lnTo>
                  <a:lnTo>
                    <a:pt x="6734" y="15136"/>
                  </a:lnTo>
                  <a:lnTo>
                    <a:pt x="6374" y="15212"/>
                  </a:lnTo>
                  <a:lnTo>
                    <a:pt x="5725" y="15287"/>
                  </a:lnTo>
                  <a:lnTo>
                    <a:pt x="5077" y="15347"/>
                  </a:lnTo>
                  <a:lnTo>
                    <a:pt x="4393" y="15407"/>
                  </a:lnTo>
                  <a:lnTo>
                    <a:pt x="3709" y="15467"/>
                  </a:lnTo>
                  <a:lnTo>
                    <a:pt x="2989" y="15497"/>
                  </a:lnTo>
                  <a:lnTo>
                    <a:pt x="2305" y="15542"/>
                  </a:lnTo>
                  <a:lnTo>
                    <a:pt x="1584" y="15572"/>
                  </a:lnTo>
                  <a:lnTo>
                    <a:pt x="864" y="15617"/>
                  </a:lnTo>
                  <a:lnTo>
                    <a:pt x="612" y="15693"/>
                  </a:lnTo>
                  <a:lnTo>
                    <a:pt x="432" y="15768"/>
                  </a:lnTo>
                  <a:lnTo>
                    <a:pt x="252" y="15828"/>
                  </a:lnTo>
                  <a:lnTo>
                    <a:pt x="144" y="15918"/>
                  </a:lnTo>
                  <a:lnTo>
                    <a:pt x="108" y="16023"/>
                  </a:lnTo>
                  <a:lnTo>
                    <a:pt x="36" y="16113"/>
                  </a:lnTo>
                  <a:lnTo>
                    <a:pt x="0" y="16234"/>
                  </a:lnTo>
                  <a:lnTo>
                    <a:pt x="0" y="16384"/>
                  </a:lnTo>
                  <a:lnTo>
                    <a:pt x="16384" y="16384"/>
                  </a:lnTo>
                  <a:lnTo>
                    <a:pt x="16312" y="16234"/>
                  </a:lnTo>
                  <a:lnTo>
                    <a:pt x="16276" y="16098"/>
                  </a:lnTo>
                  <a:lnTo>
                    <a:pt x="16276" y="15978"/>
                  </a:lnTo>
                  <a:lnTo>
                    <a:pt x="16168" y="15888"/>
                  </a:lnTo>
                  <a:lnTo>
                    <a:pt x="16096" y="15813"/>
                  </a:lnTo>
                  <a:lnTo>
                    <a:pt x="15952" y="15753"/>
                  </a:lnTo>
                  <a:lnTo>
                    <a:pt x="15772" y="15693"/>
                  </a:lnTo>
                  <a:lnTo>
                    <a:pt x="15484" y="15617"/>
                  </a:lnTo>
                  <a:lnTo>
                    <a:pt x="14692" y="15572"/>
                  </a:lnTo>
                  <a:lnTo>
                    <a:pt x="14007" y="15542"/>
                  </a:lnTo>
                  <a:lnTo>
                    <a:pt x="13359" y="15497"/>
                  </a:lnTo>
                  <a:lnTo>
                    <a:pt x="12783" y="15467"/>
                  </a:lnTo>
                  <a:lnTo>
                    <a:pt x="12171" y="15407"/>
                  </a:lnTo>
                  <a:lnTo>
                    <a:pt x="11559" y="15362"/>
                  </a:lnTo>
                  <a:lnTo>
                    <a:pt x="10983" y="15287"/>
                  </a:lnTo>
                  <a:lnTo>
                    <a:pt x="10335" y="15212"/>
                  </a:lnTo>
                  <a:lnTo>
                    <a:pt x="9974" y="15136"/>
                  </a:lnTo>
                  <a:lnTo>
                    <a:pt x="9650" y="15076"/>
                  </a:lnTo>
                  <a:lnTo>
                    <a:pt x="9470" y="14986"/>
                  </a:lnTo>
                  <a:lnTo>
                    <a:pt x="9326" y="14911"/>
                  </a:lnTo>
                  <a:lnTo>
                    <a:pt x="9182" y="14806"/>
                  </a:lnTo>
                  <a:lnTo>
                    <a:pt x="9146" y="14685"/>
                  </a:lnTo>
                  <a:lnTo>
                    <a:pt x="9074" y="14580"/>
                  </a:lnTo>
                  <a:lnTo>
                    <a:pt x="9038" y="14445"/>
                  </a:lnTo>
                  <a:lnTo>
                    <a:pt x="9038" y="12852"/>
                  </a:lnTo>
                  <a:lnTo>
                    <a:pt x="9038" y="11273"/>
                  </a:lnTo>
                  <a:lnTo>
                    <a:pt x="9038" y="9710"/>
                  </a:lnTo>
                  <a:lnTo>
                    <a:pt x="9038" y="8162"/>
                  </a:lnTo>
                  <a:lnTo>
                    <a:pt x="9038" y="6614"/>
                  </a:lnTo>
                  <a:lnTo>
                    <a:pt x="9038" y="5050"/>
                  </a:lnTo>
                  <a:lnTo>
                    <a:pt x="9038" y="3472"/>
                  </a:lnTo>
                  <a:lnTo>
                    <a:pt x="9038" y="1879"/>
                  </a:lnTo>
                  <a:lnTo>
                    <a:pt x="9074" y="1714"/>
                  </a:lnTo>
                  <a:lnTo>
                    <a:pt x="9182" y="1608"/>
                  </a:lnTo>
                  <a:lnTo>
                    <a:pt x="9254" y="1488"/>
                  </a:lnTo>
                  <a:lnTo>
                    <a:pt x="9398" y="1398"/>
                  </a:lnTo>
                  <a:lnTo>
                    <a:pt x="9542" y="1308"/>
                  </a:lnTo>
                  <a:lnTo>
                    <a:pt x="9758" y="1233"/>
                  </a:lnTo>
                  <a:lnTo>
                    <a:pt x="10010" y="1157"/>
                  </a:lnTo>
                  <a:lnTo>
                    <a:pt x="10335" y="1082"/>
                  </a:lnTo>
                  <a:lnTo>
                    <a:pt x="15088" y="782"/>
                  </a:lnTo>
                </a:path>
              </a:pathLst>
            </a:custGeom>
            <a:pattFill prst="ltUpDiag">
              <a:fgClr>
                <a:srgbClr val="000000"/>
              </a:fgClr>
              <a:bgClr>
                <a:srgbClr val="FFFFFF"/>
              </a:bgClr>
            </a:pattFill>
            <a:ln w="6350" cap="flat" cmpd="sng">
              <a:solidFill>
                <a:srgbClr val="333300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4866" name="Group 3842">
              <a:extLst>
                <a:ext uri="{FF2B5EF4-FFF2-40B4-BE49-F238E27FC236}">
                  <a16:creationId xmlns:a16="http://schemas.microsoft.com/office/drawing/2014/main" id="{00000000-0008-0000-0000-0000021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88" y="9"/>
              <a:ext cx="21" cy="43"/>
              <a:chOff x="407" y="13"/>
              <a:chExt cx="42" cy="86"/>
            </a:xfrm>
          </xdr:grpSpPr>
          <xdr:sp macro="[0]!Двутавр1" textlink="">
            <xdr:nvSpPr>
              <xdr:cNvPr id="3820" name="Line 2796">
                <a:extLst>
                  <a:ext uri="{FF2B5EF4-FFF2-40B4-BE49-F238E27FC236}">
                    <a16:creationId xmlns:a16="http://schemas.microsoft.com/office/drawing/2014/main" id="{00000000-0008-0000-0000-0000EC0E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28" y="13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[0]!Двутавр1" textlink="">
            <xdr:nvSpPr>
              <xdr:cNvPr id="3821" name="Line 2797">
                <a:extLst>
                  <a:ext uri="{FF2B5EF4-FFF2-40B4-BE49-F238E27FC236}">
                    <a16:creationId xmlns:a16="http://schemas.microsoft.com/office/drawing/2014/main" id="{00000000-0008-0000-0000-0000ED0E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07" y="51"/>
                <a:ext cx="42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</xdr:grpSp>
      </xdr:grpSp>
      <xdr:sp macro="[0]!Двутавр1" textlink="">
        <xdr:nvSpPr>
          <xdr:cNvPr id="4397" name="Текст 3373">
            <a:extLst>
              <a:ext uri="{FF2B5EF4-FFF2-40B4-BE49-F238E27FC236}">
                <a16:creationId xmlns:a16="http://schemas.microsoft.com/office/drawing/2014/main" id="{00000000-0008-0000-0000-00002D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24" y="8"/>
            <a:ext cx="19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6</a:t>
            </a:r>
          </a:p>
        </xdr:txBody>
      </xdr:sp>
      <xdr:sp macro="[0]!Двутавр1" textlink="">
        <xdr:nvSpPr>
          <xdr:cNvPr id="4869" name="Text Box 3845">
            <a:extLst>
              <a:ext uri="{FF2B5EF4-FFF2-40B4-BE49-F238E27FC236}">
                <a16:creationId xmlns:a16="http://schemas.microsoft.com/office/drawing/2014/main" id="{00000000-0008-0000-0000-00000513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84" y="53"/>
            <a:ext cx="5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двутавры</a:t>
            </a:r>
          </a:p>
        </xdr:txBody>
      </xdr:sp>
    </xdr:grpSp>
    <xdr:clientData fPrintsWithSheet="0"/>
  </xdr:twoCellAnchor>
  <xdr:twoCellAnchor editAs="oneCell">
    <xdr:from>
      <xdr:col>6</xdr:col>
      <xdr:colOff>257175</xdr:colOff>
      <xdr:row>0</xdr:row>
      <xdr:rowOff>76200</xdr:rowOff>
    </xdr:from>
    <xdr:to>
      <xdr:col>7</xdr:col>
      <xdr:colOff>266700</xdr:colOff>
      <xdr:row>6</xdr:row>
      <xdr:rowOff>28575</xdr:rowOff>
    </xdr:to>
    <xdr:grpSp>
      <xdr:nvGrpSpPr>
        <xdr:cNvPr id="4918" name="Group 3894">
          <a:extLst>
            <a:ext uri="{FF2B5EF4-FFF2-40B4-BE49-F238E27FC236}">
              <a16:creationId xmlns:a16="http://schemas.microsoft.com/office/drawing/2014/main" id="{00000000-0008-0000-0000-000036130000}"/>
            </a:ext>
          </a:extLst>
        </xdr:cNvPr>
        <xdr:cNvGrpSpPr>
          <a:grpSpLocks/>
        </xdr:cNvGrpSpPr>
      </xdr:nvGrpSpPr>
      <xdr:grpSpPr bwMode="auto">
        <a:xfrm>
          <a:off x="3914775" y="76200"/>
          <a:ext cx="619125" cy="923925"/>
          <a:chOff x="447" y="10"/>
          <a:chExt cx="65" cy="77"/>
        </a:xfrm>
      </xdr:grpSpPr>
      <xdr:sp macro="[0]!Двутавр2" textlink="">
        <xdr:nvSpPr>
          <xdr:cNvPr id="3846" name="Rectangle 2822">
            <a:extLst>
              <a:ext uri="{FF2B5EF4-FFF2-40B4-BE49-F238E27FC236}">
                <a16:creationId xmlns:a16="http://schemas.microsoft.com/office/drawing/2014/main" id="{00000000-0008-0000-0000-0000060F0000}"/>
              </a:ext>
            </a:extLst>
          </xdr:cNvPr>
          <xdr:cNvSpPr>
            <a:spLocks noChangeArrowheads="1"/>
          </xdr:cNvSpPr>
        </xdr:nvSpPr>
        <xdr:spPr bwMode="auto">
          <a:xfrm>
            <a:off x="447" y="10"/>
            <a:ext cx="64" cy="77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916" name="Group 3892">
            <a:extLst>
              <a:ext uri="{FF2B5EF4-FFF2-40B4-BE49-F238E27FC236}">
                <a16:creationId xmlns:a16="http://schemas.microsoft.com/office/drawing/2014/main" id="{00000000-0008-0000-0000-000034130000}"/>
              </a:ext>
            </a:extLst>
          </xdr:cNvPr>
          <xdr:cNvGrpSpPr>
            <a:grpSpLocks/>
          </xdr:cNvGrpSpPr>
        </xdr:nvGrpSpPr>
        <xdr:grpSpPr bwMode="auto">
          <a:xfrm>
            <a:off x="458" y="14"/>
            <a:ext cx="21" cy="40"/>
            <a:chOff x="469" y="8"/>
            <a:chExt cx="45" cy="86"/>
          </a:xfrm>
        </xdr:grpSpPr>
        <xdr:sp macro="[0]!Двутавр2" textlink="">
          <xdr:nvSpPr>
            <xdr:cNvPr id="2997" name="Объект 1973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B50B0000}"/>
                </a:ext>
              </a:extLst>
            </xdr:cNvPr>
            <xdr:cNvSpPr>
              <a:spLocks/>
            </xdr:cNvSpPr>
          </xdr:nvSpPr>
          <xdr:spPr bwMode="auto">
            <a:xfrm>
              <a:off x="469" y="14"/>
              <a:ext cx="45" cy="74"/>
            </a:xfrm>
            <a:custGeom>
              <a:avLst/>
              <a:gdLst/>
              <a:ahLst/>
              <a:cxnLst>
                <a:cxn ang="0">
                  <a:pos x="16384" y="767"/>
                </a:cxn>
                <a:cxn ang="0">
                  <a:pos x="16384" y="0"/>
                </a:cxn>
                <a:cxn ang="0">
                  <a:pos x="0" y="0"/>
                </a:cxn>
                <a:cxn ang="0">
                  <a:pos x="0" y="767"/>
                </a:cxn>
                <a:cxn ang="0">
                  <a:pos x="6076" y="767"/>
                </a:cxn>
                <a:cxn ang="0">
                  <a:pos x="6510" y="782"/>
                </a:cxn>
                <a:cxn ang="0">
                  <a:pos x="6836" y="827"/>
                </a:cxn>
                <a:cxn ang="0">
                  <a:pos x="7125" y="887"/>
                </a:cxn>
                <a:cxn ang="0">
                  <a:pos x="7270" y="962"/>
                </a:cxn>
                <a:cxn ang="0">
                  <a:pos x="7414" y="1037"/>
                </a:cxn>
                <a:cxn ang="0">
                  <a:pos x="7451" y="1157"/>
                </a:cxn>
                <a:cxn ang="0">
                  <a:pos x="7487" y="1293"/>
                </a:cxn>
                <a:cxn ang="0">
                  <a:pos x="7487" y="1428"/>
                </a:cxn>
                <a:cxn ang="0">
                  <a:pos x="7487" y="3096"/>
                </a:cxn>
                <a:cxn ang="0">
                  <a:pos x="7487" y="4795"/>
                </a:cxn>
                <a:cxn ang="0">
                  <a:pos x="7487" y="6478"/>
                </a:cxn>
                <a:cxn ang="0">
                  <a:pos x="7487" y="8177"/>
                </a:cxn>
                <a:cxn ang="0">
                  <a:pos x="7487" y="9875"/>
                </a:cxn>
                <a:cxn ang="0">
                  <a:pos x="7487" y="11559"/>
                </a:cxn>
                <a:cxn ang="0">
                  <a:pos x="7487" y="13242"/>
                </a:cxn>
                <a:cxn ang="0">
                  <a:pos x="7487" y="14911"/>
                </a:cxn>
                <a:cxn ang="0">
                  <a:pos x="7487" y="15046"/>
                </a:cxn>
                <a:cxn ang="0">
                  <a:pos x="7451" y="15182"/>
                </a:cxn>
                <a:cxn ang="0">
                  <a:pos x="7414" y="15302"/>
                </a:cxn>
                <a:cxn ang="0">
                  <a:pos x="7306" y="15392"/>
                </a:cxn>
                <a:cxn ang="0">
                  <a:pos x="7161" y="15497"/>
                </a:cxn>
                <a:cxn ang="0">
                  <a:pos x="6944" y="15557"/>
                </a:cxn>
                <a:cxn ang="0">
                  <a:pos x="6691" y="15602"/>
                </a:cxn>
                <a:cxn ang="0">
                  <a:pos x="6402" y="15602"/>
                </a:cxn>
                <a:cxn ang="0">
                  <a:pos x="0" y="15602"/>
                </a:cxn>
                <a:cxn ang="0">
                  <a:pos x="0" y="16384"/>
                </a:cxn>
                <a:cxn ang="0">
                  <a:pos x="16384" y="16384"/>
                </a:cxn>
                <a:cxn ang="0">
                  <a:pos x="16384" y="15602"/>
                </a:cxn>
                <a:cxn ang="0">
                  <a:pos x="10380" y="15602"/>
                </a:cxn>
                <a:cxn ang="0">
                  <a:pos x="9946" y="15602"/>
                </a:cxn>
                <a:cxn ang="0">
                  <a:pos x="9657" y="15572"/>
                </a:cxn>
                <a:cxn ang="0">
                  <a:pos x="9440" y="15497"/>
                </a:cxn>
                <a:cxn ang="0">
                  <a:pos x="9259" y="15422"/>
                </a:cxn>
                <a:cxn ang="0">
                  <a:pos x="9150" y="15302"/>
                </a:cxn>
                <a:cxn ang="0">
                  <a:pos x="9114" y="15182"/>
                </a:cxn>
                <a:cxn ang="0">
                  <a:pos x="9078" y="15046"/>
                </a:cxn>
                <a:cxn ang="0">
                  <a:pos x="9078" y="14911"/>
                </a:cxn>
                <a:cxn ang="0">
                  <a:pos x="9078" y="13273"/>
                </a:cxn>
                <a:cxn ang="0">
                  <a:pos x="9078" y="11589"/>
                </a:cxn>
                <a:cxn ang="0">
                  <a:pos x="9078" y="9891"/>
                </a:cxn>
                <a:cxn ang="0">
                  <a:pos x="9078" y="8177"/>
                </a:cxn>
                <a:cxn ang="0">
                  <a:pos x="9078" y="6463"/>
                </a:cxn>
                <a:cxn ang="0">
                  <a:pos x="9078" y="4750"/>
                </a:cxn>
                <a:cxn ang="0">
                  <a:pos x="9078" y="3081"/>
                </a:cxn>
                <a:cxn ang="0">
                  <a:pos x="9078" y="1428"/>
                </a:cxn>
                <a:cxn ang="0">
                  <a:pos x="9078" y="1263"/>
                </a:cxn>
                <a:cxn ang="0">
                  <a:pos x="9114" y="1127"/>
                </a:cxn>
                <a:cxn ang="0">
                  <a:pos x="9150" y="1037"/>
                </a:cxn>
                <a:cxn ang="0">
                  <a:pos x="9259" y="947"/>
                </a:cxn>
                <a:cxn ang="0">
                  <a:pos x="9404" y="857"/>
                </a:cxn>
                <a:cxn ang="0">
                  <a:pos x="9621" y="827"/>
                </a:cxn>
                <a:cxn ang="0">
                  <a:pos x="9946" y="782"/>
                </a:cxn>
                <a:cxn ang="0">
                  <a:pos x="10380" y="767"/>
                </a:cxn>
                <a:cxn ang="0">
                  <a:pos x="16384" y="767"/>
                </a:cxn>
              </a:cxnLst>
              <a:rect l="0" t="0" r="r" b="b"/>
              <a:pathLst>
                <a:path w="16384" h="16384">
                  <a:moveTo>
                    <a:pt x="16384" y="767"/>
                  </a:moveTo>
                  <a:lnTo>
                    <a:pt x="16384" y="0"/>
                  </a:lnTo>
                  <a:lnTo>
                    <a:pt x="0" y="0"/>
                  </a:lnTo>
                  <a:lnTo>
                    <a:pt x="0" y="767"/>
                  </a:lnTo>
                  <a:lnTo>
                    <a:pt x="6076" y="767"/>
                  </a:lnTo>
                  <a:lnTo>
                    <a:pt x="6510" y="782"/>
                  </a:lnTo>
                  <a:lnTo>
                    <a:pt x="6836" y="827"/>
                  </a:lnTo>
                  <a:lnTo>
                    <a:pt x="7125" y="887"/>
                  </a:lnTo>
                  <a:lnTo>
                    <a:pt x="7270" y="962"/>
                  </a:lnTo>
                  <a:lnTo>
                    <a:pt x="7414" y="1037"/>
                  </a:lnTo>
                  <a:lnTo>
                    <a:pt x="7451" y="1157"/>
                  </a:lnTo>
                  <a:lnTo>
                    <a:pt x="7487" y="1293"/>
                  </a:lnTo>
                  <a:lnTo>
                    <a:pt x="7487" y="1428"/>
                  </a:lnTo>
                  <a:lnTo>
                    <a:pt x="7487" y="3096"/>
                  </a:lnTo>
                  <a:lnTo>
                    <a:pt x="7487" y="4795"/>
                  </a:lnTo>
                  <a:lnTo>
                    <a:pt x="7487" y="6478"/>
                  </a:lnTo>
                  <a:lnTo>
                    <a:pt x="7487" y="8177"/>
                  </a:lnTo>
                  <a:lnTo>
                    <a:pt x="7487" y="9875"/>
                  </a:lnTo>
                  <a:lnTo>
                    <a:pt x="7487" y="11559"/>
                  </a:lnTo>
                  <a:lnTo>
                    <a:pt x="7487" y="13242"/>
                  </a:lnTo>
                  <a:lnTo>
                    <a:pt x="7487" y="14911"/>
                  </a:lnTo>
                  <a:lnTo>
                    <a:pt x="7487" y="15046"/>
                  </a:lnTo>
                  <a:lnTo>
                    <a:pt x="7451" y="15182"/>
                  </a:lnTo>
                  <a:lnTo>
                    <a:pt x="7414" y="15302"/>
                  </a:lnTo>
                  <a:lnTo>
                    <a:pt x="7306" y="15392"/>
                  </a:lnTo>
                  <a:lnTo>
                    <a:pt x="7161" y="15497"/>
                  </a:lnTo>
                  <a:lnTo>
                    <a:pt x="6944" y="15557"/>
                  </a:lnTo>
                  <a:lnTo>
                    <a:pt x="6691" y="15602"/>
                  </a:lnTo>
                  <a:lnTo>
                    <a:pt x="6402" y="15602"/>
                  </a:lnTo>
                  <a:lnTo>
                    <a:pt x="0" y="15602"/>
                  </a:lnTo>
                  <a:lnTo>
                    <a:pt x="0" y="16384"/>
                  </a:lnTo>
                  <a:lnTo>
                    <a:pt x="16384" y="16384"/>
                  </a:lnTo>
                  <a:lnTo>
                    <a:pt x="16384" y="15602"/>
                  </a:lnTo>
                  <a:lnTo>
                    <a:pt x="10380" y="15602"/>
                  </a:lnTo>
                  <a:lnTo>
                    <a:pt x="9946" y="15602"/>
                  </a:lnTo>
                  <a:lnTo>
                    <a:pt x="9657" y="15572"/>
                  </a:lnTo>
                  <a:lnTo>
                    <a:pt x="9440" y="15497"/>
                  </a:lnTo>
                  <a:lnTo>
                    <a:pt x="9259" y="15422"/>
                  </a:lnTo>
                  <a:lnTo>
                    <a:pt x="9150" y="15302"/>
                  </a:lnTo>
                  <a:lnTo>
                    <a:pt x="9114" y="15182"/>
                  </a:lnTo>
                  <a:lnTo>
                    <a:pt x="9078" y="15046"/>
                  </a:lnTo>
                  <a:lnTo>
                    <a:pt x="9078" y="14911"/>
                  </a:lnTo>
                  <a:lnTo>
                    <a:pt x="9078" y="13273"/>
                  </a:lnTo>
                  <a:lnTo>
                    <a:pt x="9078" y="11589"/>
                  </a:lnTo>
                  <a:lnTo>
                    <a:pt x="9078" y="9891"/>
                  </a:lnTo>
                  <a:lnTo>
                    <a:pt x="9078" y="8177"/>
                  </a:lnTo>
                  <a:lnTo>
                    <a:pt x="9078" y="6463"/>
                  </a:lnTo>
                  <a:lnTo>
                    <a:pt x="9078" y="4750"/>
                  </a:lnTo>
                  <a:lnTo>
                    <a:pt x="9078" y="3081"/>
                  </a:lnTo>
                  <a:lnTo>
                    <a:pt x="9078" y="1428"/>
                  </a:lnTo>
                  <a:lnTo>
                    <a:pt x="9078" y="1263"/>
                  </a:lnTo>
                  <a:lnTo>
                    <a:pt x="9114" y="1127"/>
                  </a:lnTo>
                  <a:lnTo>
                    <a:pt x="9150" y="1037"/>
                  </a:lnTo>
                  <a:lnTo>
                    <a:pt x="9259" y="947"/>
                  </a:lnTo>
                  <a:lnTo>
                    <a:pt x="9404" y="857"/>
                  </a:lnTo>
                  <a:lnTo>
                    <a:pt x="9621" y="827"/>
                  </a:lnTo>
                  <a:lnTo>
                    <a:pt x="9946" y="782"/>
                  </a:lnTo>
                  <a:lnTo>
                    <a:pt x="10380" y="767"/>
                  </a:lnTo>
                  <a:lnTo>
                    <a:pt x="16384" y="767"/>
                  </a:lnTo>
                </a:path>
              </a:pathLst>
            </a:custGeom>
            <a:pattFill prst="ltUpDiag">
              <a:fgClr>
                <a:srgbClr val="000000"/>
              </a:fgClr>
              <a:bgClr>
                <a:srgbClr val="FFFFFF"/>
              </a:bgClr>
            </a:pattFill>
            <a:ln w="6350" cap="flat" cmpd="sng">
              <a:solidFill>
                <a:srgbClr val="333300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4915" name="Group 3891">
              <a:extLst>
                <a:ext uri="{FF2B5EF4-FFF2-40B4-BE49-F238E27FC236}">
                  <a16:creationId xmlns:a16="http://schemas.microsoft.com/office/drawing/2014/main" id="{00000000-0008-0000-0000-0000331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69" y="8"/>
              <a:ext cx="43" cy="86"/>
              <a:chOff x="469" y="8"/>
              <a:chExt cx="43" cy="86"/>
            </a:xfrm>
          </xdr:grpSpPr>
          <xdr:sp macro="[0]!Двутавр2" textlink="">
            <xdr:nvSpPr>
              <xdr:cNvPr id="3835" name="Line 2811">
                <a:extLst>
                  <a:ext uri="{FF2B5EF4-FFF2-40B4-BE49-F238E27FC236}">
                    <a16:creationId xmlns:a16="http://schemas.microsoft.com/office/drawing/2014/main" id="{00000000-0008-0000-0000-0000FB0E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92" y="8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[0]!Двутавр2" textlink="">
            <xdr:nvSpPr>
              <xdr:cNvPr id="3836" name="Line 2812">
                <a:extLst>
                  <a:ext uri="{FF2B5EF4-FFF2-40B4-BE49-F238E27FC236}">
                    <a16:creationId xmlns:a16="http://schemas.microsoft.com/office/drawing/2014/main" id="{00000000-0008-0000-0000-0000FC0E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69" y="50"/>
                <a:ext cx="43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</xdr:grpSp>
      </xdr:grpSp>
      <xdr:sp macro="[0]!Двутавр2" textlink="">
        <xdr:nvSpPr>
          <xdr:cNvPr id="4399" name="Текст 3375">
            <a:extLst>
              <a:ext uri="{FF2B5EF4-FFF2-40B4-BE49-F238E27FC236}">
                <a16:creationId xmlns:a16="http://schemas.microsoft.com/office/drawing/2014/main" id="{00000000-0008-0000-0000-00002F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2" y="15"/>
            <a:ext cx="19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7</a:t>
            </a:r>
          </a:p>
        </xdr:txBody>
      </xdr:sp>
      <xdr:sp macro="[0]!Двутавр2" textlink="">
        <xdr:nvSpPr>
          <xdr:cNvPr id="4917" name="Text Box 3893">
            <a:extLst>
              <a:ext uri="{FF2B5EF4-FFF2-40B4-BE49-F238E27FC236}">
                <a16:creationId xmlns:a16="http://schemas.microsoft.com/office/drawing/2014/main" id="{00000000-0008-0000-0000-00003513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56"/>
            <a:ext cx="64" cy="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двутавры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нормальные</a:t>
            </a:r>
          </a:p>
        </xdr:txBody>
      </xdr:sp>
    </xdr:grpSp>
    <xdr:clientData fPrintsWithSheet="0"/>
  </xdr:twoCellAnchor>
  <xdr:twoCellAnchor editAs="oneCell">
    <xdr:from>
      <xdr:col>7</xdr:col>
      <xdr:colOff>304800</xdr:colOff>
      <xdr:row>0</xdr:row>
      <xdr:rowOff>76200</xdr:rowOff>
    </xdr:from>
    <xdr:to>
      <xdr:col>8</xdr:col>
      <xdr:colOff>295275</xdr:colOff>
      <xdr:row>6</xdr:row>
      <xdr:rowOff>28575</xdr:rowOff>
    </xdr:to>
    <xdr:grpSp>
      <xdr:nvGrpSpPr>
        <xdr:cNvPr id="4966" name="Group 3942">
          <a:extLst>
            <a:ext uri="{FF2B5EF4-FFF2-40B4-BE49-F238E27FC236}">
              <a16:creationId xmlns:a16="http://schemas.microsoft.com/office/drawing/2014/main" id="{00000000-0008-0000-0000-000066130000}"/>
            </a:ext>
          </a:extLst>
        </xdr:cNvPr>
        <xdr:cNvGrpSpPr>
          <a:grpSpLocks/>
        </xdr:cNvGrpSpPr>
      </xdr:nvGrpSpPr>
      <xdr:grpSpPr bwMode="auto">
        <a:xfrm>
          <a:off x="4572000" y="76200"/>
          <a:ext cx="600075" cy="923925"/>
          <a:chOff x="554" y="6"/>
          <a:chExt cx="66" cy="95"/>
        </a:xfrm>
      </xdr:grpSpPr>
      <xdr:sp macro="[0]!Двутавр3" textlink="">
        <xdr:nvSpPr>
          <xdr:cNvPr id="4071" name="Rectangle 3047">
            <a:extLst>
              <a:ext uri="{FF2B5EF4-FFF2-40B4-BE49-F238E27FC236}">
                <a16:creationId xmlns:a16="http://schemas.microsoft.com/office/drawing/2014/main" id="{00000000-0008-0000-0000-0000E70F0000}"/>
              </a:ext>
            </a:extLst>
          </xdr:cNvPr>
          <xdr:cNvSpPr>
            <a:spLocks noChangeArrowheads="1"/>
          </xdr:cNvSpPr>
        </xdr:nvSpPr>
        <xdr:spPr bwMode="auto">
          <a:xfrm>
            <a:off x="555" y="6"/>
            <a:ext cx="64" cy="95"/>
          </a:xfrm>
          <a:prstGeom prst="rect">
            <a:avLst/>
          </a:prstGeom>
          <a:solidFill>
            <a:srgbClr val="FFFF9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964" name="Group 3940">
            <a:extLst>
              <a:ext uri="{FF2B5EF4-FFF2-40B4-BE49-F238E27FC236}">
                <a16:creationId xmlns:a16="http://schemas.microsoft.com/office/drawing/2014/main" id="{00000000-0008-0000-0000-000064130000}"/>
              </a:ext>
            </a:extLst>
          </xdr:cNvPr>
          <xdr:cNvGrpSpPr>
            <a:grpSpLocks/>
          </xdr:cNvGrpSpPr>
        </xdr:nvGrpSpPr>
        <xdr:grpSpPr bwMode="auto">
          <a:xfrm>
            <a:off x="563" y="9"/>
            <a:ext cx="23" cy="43"/>
            <a:chOff x="574" y="8"/>
            <a:chExt cx="45" cy="86"/>
          </a:xfrm>
        </xdr:grpSpPr>
        <xdr:sp macro="[0]!Двутавр3" textlink="">
          <xdr:nvSpPr>
            <xdr:cNvPr id="4074" name="Объект 1973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EA0F0000}"/>
                </a:ext>
              </a:extLst>
            </xdr:cNvPr>
            <xdr:cNvSpPr>
              <a:spLocks/>
            </xdr:cNvSpPr>
          </xdr:nvSpPr>
          <xdr:spPr bwMode="auto">
            <a:xfrm>
              <a:off x="574" y="14"/>
              <a:ext cx="45" cy="74"/>
            </a:xfrm>
            <a:custGeom>
              <a:avLst/>
              <a:gdLst/>
              <a:ahLst/>
              <a:cxnLst>
                <a:cxn ang="0">
                  <a:pos x="16384" y="767"/>
                </a:cxn>
                <a:cxn ang="0">
                  <a:pos x="16384" y="0"/>
                </a:cxn>
                <a:cxn ang="0">
                  <a:pos x="0" y="0"/>
                </a:cxn>
                <a:cxn ang="0">
                  <a:pos x="0" y="767"/>
                </a:cxn>
                <a:cxn ang="0">
                  <a:pos x="6076" y="767"/>
                </a:cxn>
                <a:cxn ang="0">
                  <a:pos x="6510" y="782"/>
                </a:cxn>
                <a:cxn ang="0">
                  <a:pos x="6836" y="827"/>
                </a:cxn>
                <a:cxn ang="0">
                  <a:pos x="7125" y="887"/>
                </a:cxn>
                <a:cxn ang="0">
                  <a:pos x="7270" y="962"/>
                </a:cxn>
                <a:cxn ang="0">
                  <a:pos x="7414" y="1037"/>
                </a:cxn>
                <a:cxn ang="0">
                  <a:pos x="7451" y="1157"/>
                </a:cxn>
                <a:cxn ang="0">
                  <a:pos x="7487" y="1293"/>
                </a:cxn>
                <a:cxn ang="0">
                  <a:pos x="7487" y="1428"/>
                </a:cxn>
                <a:cxn ang="0">
                  <a:pos x="7487" y="3096"/>
                </a:cxn>
                <a:cxn ang="0">
                  <a:pos x="7487" y="4795"/>
                </a:cxn>
                <a:cxn ang="0">
                  <a:pos x="7487" y="6478"/>
                </a:cxn>
                <a:cxn ang="0">
                  <a:pos x="7487" y="8177"/>
                </a:cxn>
                <a:cxn ang="0">
                  <a:pos x="7487" y="9875"/>
                </a:cxn>
                <a:cxn ang="0">
                  <a:pos x="7487" y="11559"/>
                </a:cxn>
                <a:cxn ang="0">
                  <a:pos x="7487" y="13242"/>
                </a:cxn>
                <a:cxn ang="0">
                  <a:pos x="7487" y="14911"/>
                </a:cxn>
                <a:cxn ang="0">
                  <a:pos x="7487" y="15046"/>
                </a:cxn>
                <a:cxn ang="0">
                  <a:pos x="7451" y="15182"/>
                </a:cxn>
                <a:cxn ang="0">
                  <a:pos x="7414" y="15302"/>
                </a:cxn>
                <a:cxn ang="0">
                  <a:pos x="7306" y="15392"/>
                </a:cxn>
                <a:cxn ang="0">
                  <a:pos x="7161" y="15497"/>
                </a:cxn>
                <a:cxn ang="0">
                  <a:pos x="6944" y="15557"/>
                </a:cxn>
                <a:cxn ang="0">
                  <a:pos x="6691" y="15602"/>
                </a:cxn>
                <a:cxn ang="0">
                  <a:pos x="6402" y="15602"/>
                </a:cxn>
                <a:cxn ang="0">
                  <a:pos x="0" y="15602"/>
                </a:cxn>
                <a:cxn ang="0">
                  <a:pos x="0" y="16384"/>
                </a:cxn>
                <a:cxn ang="0">
                  <a:pos x="16384" y="16384"/>
                </a:cxn>
                <a:cxn ang="0">
                  <a:pos x="16384" y="15602"/>
                </a:cxn>
                <a:cxn ang="0">
                  <a:pos x="10380" y="15602"/>
                </a:cxn>
                <a:cxn ang="0">
                  <a:pos x="9946" y="15602"/>
                </a:cxn>
                <a:cxn ang="0">
                  <a:pos x="9657" y="15572"/>
                </a:cxn>
                <a:cxn ang="0">
                  <a:pos x="9440" y="15497"/>
                </a:cxn>
                <a:cxn ang="0">
                  <a:pos x="9259" y="15422"/>
                </a:cxn>
                <a:cxn ang="0">
                  <a:pos x="9150" y="15302"/>
                </a:cxn>
                <a:cxn ang="0">
                  <a:pos x="9114" y="15182"/>
                </a:cxn>
                <a:cxn ang="0">
                  <a:pos x="9078" y="15046"/>
                </a:cxn>
                <a:cxn ang="0">
                  <a:pos x="9078" y="14911"/>
                </a:cxn>
                <a:cxn ang="0">
                  <a:pos x="9078" y="13273"/>
                </a:cxn>
                <a:cxn ang="0">
                  <a:pos x="9078" y="11589"/>
                </a:cxn>
                <a:cxn ang="0">
                  <a:pos x="9078" y="9891"/>
                </a:cxn>
                <a:cxn ang="0">
                  <a:pos x="9078" y="8177"/>
                </a:cxn>
                <a:cxn ang="0">
                  <a:pos x="9078" y="6463"/>
                </a:cxn>
                <a:cxn ang="0">
                  <a:pos x="9078" y="4750"/>
                </a:cxn>
                <a:cxn ang="0">
                  <a:pos x="9078" y="3081"/>
                </a:cxn>
                <a:cxn ang="0">
                  <a:pos x="9078" y="1428"/>
                </a:cxn>
                <a:cxn ang="0">
                  <a:pos x="9078" y="1263"/>
                </a:cxn>
                <a:cxn ang="0">
                  <a:pos x="9114" y="1127"/>
                </a:cxn>
                <a:cxn ang="0">
                  <a:pos x="9150" y="1037"/>
                </a:cxn>
                <a:cxn ang="0">
                  <a:pos x="9259" y="947"/>
                </a:cxn>
                <a:cxn ang="0">
                  <a:pos x="9404" y="857"/>
                </a:cxn>
                <a:cxn ang="0">
                  <a:pos x="9621" y="827"/>
                </a:cxn>
                <a:cxn ang="0">
                  <a:pos x="9946" y="782"/>
                </a:cxn>
                <a:cxn ang="0">
                  <a:pos x="10380" y="767"/>
                </a:cxn>
                <a:cxn ang="0">
                  <a:pos x="16384" y="767"/>
                </a:cxn>
              </a:cxnLst>
              <a:rect l="0" t="0" r="r" b="b"/>
              <a:pathLst>
                <a:path w="16384" h="16384">
                  <a:moveTo>
                    <a:pt x="16384" y="767"/>
                  </a:moveTo>
                  <a:lnTo>
                    <a:pt x="16384" y="0"/>
                  </a:lnTo>
                  <a:lnTo>
                    <a:pt x="0" y="0"/>
                  </a:lnTo>
                  <a:lnTo>
                    <a:pt x="0" y="767"/>
                  </a:lnTo>
                  <a:lnTo>
                    <a:pt x="6076" y="767"/>
                  </a:lnTo>
                  <a:lnTo>
                    <a:pt x="6510" y="782"/>
                  </a:lnTo>
                  <a:lnTo>
                    <a:pt x="6836" y="827"/>
                  </a:lnTo>
                  <a:lnTo>
                    <a:pt x="7125" y="887"/>
                  </a:lnTo>
                  <a:lnTo>
                    <a:pt x="7270" y="962"/>
                  </a:lnTo>
                  <a:lnTo>
                    <a:pt x="7414" y="1037"/>
                  </a:lnTo>
                  <a:lnTo>
                    <a:pt x="7451" y="1157"/>
                  </a:lnTo>
                  <a:lnTo>
                    <a:pt x="7487" y="1293"/>
                  </a:lnTo>
                  <a:lnTo>
                    <a:pt x="7487" y="1428"/>
                  </a:lnTo>
                  <a:lnTo>
                    <a:pt x="7487" y="3096"/>
                  </a:lnTo>
                  <a:lnTo>
                    <a:pt x="7487" y="4795"/>
                  </a:lnTo>
                  <a:lnTo>
                    <a:pt x="7487" y="6478"/>
                  </a:lnTo>
                  <a:lnTo>
                    <a:pt x="7487" y="8177"/>
                  </a:lnTo>
                  <a:lnTo>
                    <a:pt x="7487" y="9875"/>
                  </a:lnTo>
                  <a:lnTo>
                    <a:pt x="7487" y="11559"/>
                  </a:lnTo>
                  <a:lnTo>
                    <a:pt x="7487" y="13242"/>
                  </a:lnTo>
                  <a:lnTo>
                    <a:pt x="7487" y="14911"/>
                  </a:lnTo>
                  <a:lnTo>
                    <a:pt x="7487" y="15046"/>
                  </a:lnTo>
                  <a:lnTo>
                    <a:pt x="7451" y="15182"/>
                  </a:lnTo>
                  <a:lnTo>
                    <a:pt x="7414" y="15302"/>
                  </a:lnTo>
                  <a:lnTo>
                    <a:pt x="7306" y="15392"/>
                  </a:lnTo>
                  <a:lnTo>
                    <a:pt x="7161" y="15497"/>
                  </a:lnTo>
                  <a:lnTo>
                    <a:pt x="6944" y="15557"/>
                  </a:lnTo>
                  <a:lnTo>
                    <a:pt x="6691" y="15602"/>
                  </a:lnTo>
                  <a:lnTo>
                    <a:pt x="6402" y="15602"/>
                  </a:lnTo>
                  <a:lnTo>
                    <a:pt x="0" y="15602"/>
                  </a:lnTo>
                  <a:lnTo>
                    <a:pt x="0" y="16384"/>
                  </a:lnTo>
                  <a:lnTo>
                    <a:pt x="16384" y="16384"/>
                  </a:lnTo>
                  <a:lnTo>
                    <a:pt x="16384" y="15602"/>
                  </a:lnTo>
                  <a:lnTo>
                    <a:pt x="10380" y="15602"/>
                  </a:lnTo>
                  <a:lnTo>
                    <a:pt x="9946" y="15602"/>
                  </a:lnTo>
                  <a:lnTo>
                    <a:pt x="9657" y="15572"/>
                  </a:lnTo>
                  <a:lnTo>
                    <a:pt x="9440" y="15497"/>
                  </a:lnTo>
                  <a:lnTo>
                    <a:pt x="9259" y="15422"/>
                  </a:lnTo>
                  <a:lnTo>
                    <a:pt x="9150" y="15302"/>
                  </a:lnTo>
                  <a:lnTo>
                    <a:pt x="9114" y="15182"/>
                  </a:lnTo>
                  <a:lnTo>
                    <a:pt x="9078" y="15046"/>
                  </a:lnTo>
                  <a:lnTo>
                    <a:pt x="9078" y="14911"/>
                  </a:lnTo>
                  <a:lnTo>
                    <a:pt x="9078" y="13273"/>
                  </a:lnTo>
                  <a:lnTo>
                    <a:pt x="9078" y="11589"/>
                  </a:lnTo>
                  <a:lnTo>
                    <a:pt x="9078" y="9891"/>
                  </a:lnTo>
                  <a:lnTo>
                    <a:pt x="9078" y="8177"/>
                  </a:lnTo>
                  <a:lnTo>
                    <a:pt x="9078" y="6463"/>
                  </a:lnTo>
                  <a:lnTo>
                    <a:pt x="9078" y="4750"/>
                  </a:lnTo>
                  <a:lnTo>
                    <a:pt x="9078" y="3081"/>
                  </a:lnTo>
                  <a:lnTo>
                    <a:pt x="9078" y="1428"/>
                  </a:lnTo>
                  <a:lnTo>
                    <a:pt x="9078" y="1263"/>
                  </a:lnTo>
                  <a:lnTo>
                    <a:pt x="9114" y="1127"/>
                  </a:lnTo>
                  <a:lnTo>
                    <a:pt x="9150" y="1037"/>
                  </a:lnTo>
                  <a:lnTo>
                    <a:pt x="9259" y="947"/>
                  </a:lnTo>
                  <a:lnTo>
                    <a:pt x="9404" y="857"/>
                  </a:lnTo>
                  <a:lnTo>
                    <a:pt x="9621" y="827"/>
                  </a:lnTo>
                  <a:lnTo>
                    <a:pt x="9946" y="782"/>
                  </a:lnTo>
                  <a:lnTo>
                    <a:pt x="10380" y="767"/>
                  </a:lnTo>
                  <a:lnTo>
                    <a:pt x="16384" y="767"/>
                  </a:lnTo>
                </a:path>
              </a:pathLst>
            </a:custGeom>
            <a:pattFill prst="ltUpDiag">
              <a:fgClr>
                <a:srgbClr val="000000"/>
              </a:fgClr>
              <a:bgClr>
                <a:srgbClr val="FFFFFF"/>
              </a:bgClr>
            </a:pattFill>
            <a:ln w="6350" cap="flat" cmpd="sng">
              <a:solidFill>
                <a:srgbClr val="333300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4963" name="Group 3939">
              <a:extLst>
                <a:ext uri="{FF2B5EF4-FFF2-40B4-BE49-F238E27FC236}">
                  <a16:creationId xmlns:a16="http://schemas.microsoft.com/office/drawing/2014/main" id="{00000000-0008-0000-0000-0000631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74" y="8"/>
              <a:ext cx="43" cy="86"/>
              <a:chOff x="574" y="8"/>
              <a:chExt cx="43" cy="86"/>
            </a:xfrm>
          </xdr:grpSpPr>
          <xdr:sp macro="[0]!Двутавр3" textlink="">
            <xdr:nvSpPr>
              <xdr:cNvPr id="4104" name="Line 3080">
                <a:extLst>
                  <a:ext uri="{FF2B5EF4-FFF2-40B4-BE49-F238E27FC236}">
                    <a16:creationId xmlns:a16="http://schemas.microsoft.com/office/drawing/2014/main" id="{00000000-0008-0000-0000-0000081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97" y="8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[0]!Двутавр3" textlink="">
            <xdr:nvSpPr>
              <xdr:cNvPr id="4105" name="Line 3081">
                <a:extLs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74" y="50"/>
                <a:ext cx="43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</xdr:grpSp>
      </xdr:grpSp>
      <xdr:sp macro="[0]!Двутавр3" textlink="">
        <xdr:nvSpPr>
          <xdr:cNvPr id="4402" name="Текст 3378">
            <a:extLst>
              <a:ext uri="{FF2B5EF4-FFF2-40B4-BE49-F238E27FC236}">
                <a16:creationId xmlns:a16="http://schemas.microsoft.com/office/drawing/2014/main" id="{00000000-0008-0000-0000-000032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98" y="12"/>
            <a:ext cx="20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8</a:t>
            </a:r>
          </a:p>
        </xdr:txBody>
      </xdr:sp>
      <xdr:sp macro="[0]!Двутавр3" textlink="">
        <xdr:nvSpPr>
          <xdr:cNvPr id="4965" name="Text Box 3941">
            <a:extLst>
              <a:ext uri="{FF2B5EF4-FFF2-40B4-BE49-F238E27FC236}">
                <a16:creationId xmlns:a16="http://schemas.microsoft.com/office/drawing/2014/main" id="{00000000-0008-0000-0000-00006513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54" y="53"/>
            <a:ext cx="66" cy="4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двутавры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широко-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полочные</a:t>
            </a:r>
          </a:p>
        </xdr:txBody>
      </xdr:sp>
    </xdr:grpSp>
    <xdr:clientData fPrintsWithSheet="0"/>
  </xdr:twoCellAnchor>
  <xdr:twoCellAnchor editAs="oneCell">
    <xdr:from>
      <xdr:col>8</xdr:col>
      <xdr:colOff>323850</xdr:colOff>
      <xdr:row>0</xdr:row>
      <xdr:rowOff>76200</xdr:rowOff>
    </xdr:from>
    <xdr:to>
      <xdr:col>9</xdr:col>
      <xdr:colOff>314325</xdr:colOff>
      <xdr:row>6</xdr:row>
      <xdr:rowOff>28575</xdr:rowOff>
    </xdr:to>
    <xdr:grpSp>
      <xdr:nvGrpSpPr>
        <xdr:cNvPr id="5014" name="Group 3990">
          <a:extLst>
            <a:ext uri="{FF2B5EF4-FFF2-40B4-BE49-F238E27FC236}">
              <a16:creationId xmlns:a16="http://schemas.microsoft.com/office/drawing/2014/main" id="{00000000-0008-0000-0000-000096130000}"/>
            </a:ext>
          </a:extLst>
        </xdr:cNvPr>
        <xdr:cNvGrpSpPr>
          <a:grpSpLocks/>
        </xdr:cNvGrpSpPr>
      </xdr:nvGrpSpPr>
      <xdr:grpSpPr bwMode="auto">
        <a:xfrm>
          <a:off x="5200650" y="76200"/>
          <a:ext cx="600075" cy="923925"/>
          <a:chOff x="71" y="111"/>
          <a:chExt cx="63" cy="79"/>
        </a:xfrm>
      </xdr:grpSpPr>
      <xdr:sp macro="[0]!Двутавр4" textlink="">
        <xdr:nvSpPr>
          <xdr:cNvPr id="4114" name="Rectangle 3090">
            <a:extLst>
              <a:ext uri="{FF2B5EF4-FFF2-40B4-BE49-F238E27FC236}">
                <a16:creationId xmlns:a16="http://schemas.microsoft.com/office/drawing/2014/main" id="{00000000-0008-0000-0000-000012100000}"/>
              </a:ext>
            </a:extLst>
          </xdr:cNvPr>
          <xdr:cNvSpPr>
            <a:spLocks noChangeArrowheads="1"/>
          </xdr:cNvSpPr>
        </xdr:nvSpPr>
        <xdr:spPr bwMode="auto">
          <a:xfrm>
            <a:off x="71" y="111"/>
            <a:ext cx="61" cy="7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5012" name="Group 3988">
            <a:extLst>
              <a:ext uri="{FF2B5EF4-FFF2-40B4-BE49-F238E27FC236}">
                <a16:creationId xmlns:a16="http://schemas.microsoft.com/office/drawing/2014/main" id="{00000000-0008-0000-0000-000094130000}"/>
              </a:ext>
            </a:extLst>
          </xdr:cNvPr>
          <xdr:cNvGrpSpPr>
            <a:grpSpLocks/>
          </xdr:cNvGrpSpPr>
        </xdr:nvGrpSpPr>
        <xdr:grpSpPr bwMode="auto">
          <a:xfrm>
            <a:off x="75" y="113"/>
            <a:ext cx="21" cy="40"/>
            <a:chOff x="93" y="119"/>
            <a:chExt cx="45" cy="86"/>
          </a:xfrm>
        </xdr:grpSpPr>
        <xdr:sp macro="[0]!Двутавр4" textlink="">
          <xdr:nvSpPr>
            <xdr:cNvPr id="4117" name="Объект 1973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>
              <a:spLocks/>
            </xdr:cNvSpPr>
          </xdr:nvSpPr>
          <xdr:spPr bwMode="auto">
            <a:xfrm>
              <a:off x="93" y="123"/>
              <a:ext cx="45" cy="76"/>
            </a:xfrm>
            <a:custGeom>
              <a:avLst/>
              <a:gdLst/>
              <a:ahLst/>
              <a:cxnLst>
                <a:cxn ang="0">
                  <a:pos x="16384" y="767"/>
                </a:cxn>
                <a:cxn ang="0">
                  <a:pos x="16384" y="0"/>
                </a:cxn>
                <a:cxn ang="0">
                  <a:pos x="0" y="0"/>
                </a:cxn>
                <a:cxn ang="0">
                  <a:pos x="0" y="767"/>
                </a:cxn>
                <a:cxn ang="0">
                  <a:pos x="6076" y="767"/>
                </a:cxn>
                <a:cxn ang="0">
                  <a:pos x="6510" y="782"/>
                </a:cxn>
                <a:cxn ang="0">
                  <a:pos x="6836" y="827"/>
                </a:cxn>
                <a:cxn ang="0">
                  <a:pos x="7125" y="887"/>
                </a:cxn>
                <a:cxn ang="0">
                  <a:pos x="7270" y="962"/>
                </a:cxn>
                <a:cxn ang="0">
                  <a:pos x="7414" y="1037"/>
                </a:cxn>
                <a:cxn ang="0">
                  <a:pos x="7451" y="1157"/>
                </a:cxn>
                <a:cxn ang="0">
                  <a:pos x="7487" y="1293"/>
                </a:cxn>
                <a:cxn ang="0">
                  <a:pos x="7487" y="1428"/>
                </a:cxn>
                <a:cxn ang="0">
                  <a:pos x="7487" y="3096"/>
                </a:cxn>
                <a:cxn ang="0">
                  <a:pos x="7487" y="4795"/>
                </a:cxn>
                <a:cxn ang="0">
                  <a:pos x="7487" y="6478"/>
                </a:cxn>
                <a:cxn ang="0">
                  <a:pos x="7487" y="8177"/>
                </a:cxn>
                <a:cxn ang="0">
                  <a:pos x="7487" y="9875"/>
                </a:cxn>
                <a:cxn ang="0">
                  <a:pos x="7487" y="11559"/>
                </a:cxn>
                <a:cxn ang="0">
                  <a:pos x="7487" y="13242"/>
                </a:cxn>
                <a:cxn ang="0">
                  <a:pos x="7487" y="14911"/>
                </a:cxn>
                <a:cxn ang="0">
                  <a:pos x="7487" y="15046"/>
                </a:cxn>
                <a:cxn ang="0">
                  <a:pos x="7451" y="15182"/>
                </a:cxn>
                <a:cxn ang="0">
                  <a:pos x="7414" y="15302"/>
                </a:cxn>
                <a:cxn ang="0">
                  <a:pos x="7306" y="15392"/>
                </a:cxn>
                <a:cxn ang="0">
                  <a:pos x="7161" y="15497"/>
                </a:cxn>
                <a:cxn ang="0">
                  <a:pos x="6944" y="15557"/>
                </a:cxn>
                <a:cxn ang="0">
                  <a:pos x="6691" y="15602"/>
                </a:cxn>
                <a:cxn ang="0">
                  <a:pos x="6402" y="15602"/>
                </a:cxn>
                <a:cxn ang="0">
                  <a:pos x="0" y="15602"/>
                </a:cxn>
                <a:cxn ang="0">
                  <a:pos x="0" y="16384"/>
                </a:cxn>
                <a:cxn ang="0">
                  <a:pos x="16384" y="16384"/>
                </a:cxn>
                <a:cxn ang="0">
                  <a:pos x="16384" y="15602"/>
                </a:cxn>
                <a:cxn ang="0">
                  <a:pos x="10380" y="15602"/>
                </a:cxn>
                <a:cxn ang="0">
                  <a:pos x="9946" y="15602"/>
                </a:cxn>
                <a:cxn ang="0">
                  <a:pos x="9657" y="15572"/>
                </a:cxn>
                <a:cxn ang="0">
                  <a:pos x="9440" y="15497"/>
                </a:cxn>
                <a:cxn ang="0">
                  <a:pos x="9259" y="15422"/>
                </a:cxn>
                <a:cxn ang="0">
                  <a:pos x="9150" y="15302"/>
                </a:cxn>
                <a:cxn ang="0">
                  <a:pos x="9114" y="15182"/>
                </a:cxn>
                <a:cxn ang="0">
                  <a:pos x="9078" y="15046"/>
                </a:cxn>
                <a:cxn ang="0">
                  <a:pos x="9078" y="14911"/>
                </a:cxn>
                <a:cxn ang="0">
                  <a:pos x="9078" y="13273"/>
                </a:cxn>
                <a:cxn ang="0">
                  <a:pos x="9078" y="11589"/>
                </a:cxn>
                <a:cxn ang="0">
                  <a:pos x="9078" y="9891"/>
                </a:cxn>
                <a:cxn ang="0">
                  <a:pos x="9078" y="8177"/>
                </a:cxn>
                <a:cxn ang="0">
                  <a:pos x="9078" y="6463"/>
                </a:cxn>
                <a:cxn ang="0">
                  <a:pos x="9078" y="4750"/>
                </a:cxn>
                <a:cxn ang="0">
                  <a:pos x="9078" y="3081"/>
                </a:cxn>
                <a:cxn ang="0">
                  <a:pos x="9078" y="1428"/>
                </a:cxn>
                <a:cxn ang="0">
                  <a:pos x="9078" y="1263"/>
                </a:cxn>
                <a:cxn ang="0">
                  <a:pos x="9114" y="1127"/>
                </a:cxn>
                <a:cxn ang="0">
                  <a:pos x="9150" y="1037"/>
                </a:cxn>
                <a:cxn ang="0">
                  <a:pos x="9259" y="947"/>
                </a:cxn>
                <a:cxn ang="0">
                  <a:pos x="9404" y="857"/>
                </a:cxn>
                <a:cxn ang="0">
                  <a:pos x="9621" y="827"/>
                </a:cxn>
                <a:cxn ang="0">
                  <a:pos x="9946" y="782"/>
                </a:cxn>
                <a:cxn ang="0">
                  <a:pos x="10380" y="767"/>
                </a:cxn>
                <a:cxn ang="0">
                  <a:pos x="16384" y="767"/>
                </a:cxn>
              </a:cxnLst>
              <a:rect l="0" t="0" r="r" b="b"/>
              <a:pathLst>
                <a:path w="16384" h="16384">
                  <a:moveTo>
                    <a:pt x="16384" y="767"/>
                  </a:moveTo>
                  <a:lnTo>
                    <a:pt x="16384" y="0"/>
                  </a:lnTo>
                  <a:lnTo>
                    <a:pt x="0" y="0"/>
                  </a:lnTo>
                  <a:lnTo>
                    <a:pt x="0" y="767"/>
                  </a:lnTo>
                  <a:lnTo>
                    <a:pt x="6076" y="767"/>
                  </a:lnTo>
                  <a:lnTo>
                    <a:pt x="6510" y="782"/>
                  </a:lnTo>
                  <a:lnTo>
                    <a:pt x="6836" y="827"/>
                  </a:lnTo>
                  <a:lnTo>
                    <a:pt x="7125" y="887"/>
                  </a:lnTo>
                  <a:lnTo>
                    <a:pt x="7270" y="962"/>
                  </a:lnTo>
                  <a:lnTo>
                    <a:pt x="7414" y="1037"/>
                  </a:lnTo>
                  <a:lnTo>
                    <a:pt x="7451" y="1157"/>
                  </a:lnTo>
                  <a:lnTo>
                    <a:pt x="7487" y="1293"/>
                  </a:lnTo>
                  <a:lnTo>
                    <a:pt x="7487" y="1428"/>
                  </a:lnTo>
                  <a:lnTo>
                    <a:pt x="7487" y="3096"/>
                  </a:lnTo>
                  <a:lnTo>
                    <a:pt x="7487" y="4795"/>
                  </a:lnTo>
                  <a:lnTo>
                    <a:pt x="7487" y="6478"/>
                  </a:lnTo>
                  <a:lnTo>
                    <a:pt x="7487" y="8177"/>
                  </a:lnTo>
                  <a:lnTo>
                    <a:pt x="7487" y="9875"/>
                  </a:lnTo>
                  <a:lnTo>
                    <a:pt x="7487" y="11559"/>
                  </a:lnTo>
                  <a:lnTo>
                    <a:pt x="7487" y="13242"/>
                  </a:lnTo>
                  <a:lnTo>
                    <a:pt x="7487" y="14911"/>
                  </a:lnTo>
                  <a:lnTo>
                    <a:pt x="7487" y="15046"/>
                  </a:lnTo>
                  <a:lnTo>
                    <a:pt x="7451" y="15182"/>
                  </a:lnTo>
                  <a:lnTo>
                    <a:pt x="7414" y="15302"/>
                  </a:lnTo>
                  <a:lnTo>
                    <a:pt x="7306" y="15392"/>
                  </a:lnTo>
                  <a:lnTo>
                    <a:pt x="7161" y="15497"/>
                  </a:lnTo>
                  <a:lnTo>
                    <a:pt x="6944" y="15557"/>
                  </a:lnTo>
                  <a:lnTo>
                    <a:pt x="6691" y="15602"/>
                  </a:lnTo>
                  <a:lnTo>
                    <a:pt x="6402" y="15602"/>
                  </a:lnTo>
                  <a:lnTo>
                    <a:pt x="0" y="15602"/>
                  </a:lnTo>
                  <a:lnTo>
                    <a:pt x="0" y="16384"/>
                  </a:lnTo>
                  <a:lnTo>
                    <a:pt x="16384" y="16384"/>
                  </a:lnTo>
                  <a:lnTo>
                    <a:pt x="16384" y="15602"/>
                  </a:lnTo>
                  <a:lnTo>
                    <a:pt x="10380" y="15602"/>
                  </a:lnTo>
                  <a:lnTo>
                    <a:pt x="9946" y="15602"/>
                  </a:lnTo>
                  <a:lnTo>
                    <a:pt x="9657" y="15572"/>
                  </a:lnTo>
                  <a:lnTo>
                    <a:pt x="9440" y="15497"/>
                  </a:lnTo>
                  <a:lnTo>
                    <a:pt x="9259" y="15422"/>
                  </a:lnTo>
                  <a:lnTo>
                    <a:pt x="9150" y="15302"/>
                  </a:lnTo>
                  <a:lnTo>
                    <a:pt x="9114" y="15182"/>
                  </a:lnTo>
                  <a:lnTo>
                    <a:pt x="9078" y="15046"/>
                  </a:lnTo>
                  <a:lnTo>
                    <a:pt x="9078" y="14911"/>
                  </a:lnTo>
                  <a:lnTo>
                    <a:pt x="9078" y="13273"/>
                  </a:lnTo>
                  <a:lnTo>
                    <a:pt x="9078" y="11589"/>
                  </a:lnTo>
                  <a:lnTo>
                    <a:pt x="9078" y="9891"/>
                  </a:lnTo>
                  <a:lnTo>
                    <a:pt x="9078" y="8177"/>
                  </a:lnTo>
                  <a:lnTo>
                    <a:pt x="9078" y="6463"/>
                  </a:lnTo>
                  <a:lnTo>
                    <a:pt x="9078" y="4750"/>
                  </a:lnTo>
                  <a:lnTo>
                    <a:pt x="9078" y="3081"/>
                  </a:lnTo>
                  <a:lnTo>
                    <a:pt x="9078" y="1428"/>
                  </a:lnTo>
                  <a:lnTo>
                    <a:pt x="9078" y="1263"/>
                  </a:lnTo>
                  <a:lnTo>
                    <a:pt x="9114" y="1127"/>
                  </a:lnTo>
                  <a:lnTo>
                    <a:pt x="9150" y="1037"/>
                  </a:lnTo>
                  <a:lnTo>
                    <a:pt x="9259" y="947"/>
                  </a:lnTo>
                  <a:lnTo>
                    <a:pt x="9404" y="857"/>
                  </a:lnTo>
                  <a:lnTo>
                    <a:pt x="9621" y="827"/>
                  </a:lnTo>
                  <a:lnTo>
                    <a:pt x="9946" y="782"/>
                  </a:lnTo>
                  <a:lnTo>
                    <a:pt x="10380" y="767"/>
                  </a:lnTo>
                  <a:lnTo>
                    <a:pt x="16384" y="767"/>
                  </a:lnTo>
                </a:path>
              </a:pathLst>
            </a:custGeom>
            <a:pattFill prst="ltUpDiag">
              <a:fgClr>
                <a:srgbClr val="000000"/>
              </a:fgClr>
              <a:bgClr>
                <a:srgbClr val="FFFFFF"/>
              </a:bgClr>
            </a:pattFill>
            <a:ln w="6350" cap="flat" cmpd="sng">
              <a:solidFill>
                <a:srgbClr val="333300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5011" name="Group 3987">
              <a:extLst>
                <a:ext uri="{FF2B5EF4-FFF2-40B4-BE49-F238E27FC236}">
                  <a16:creationId xmlns:a16="http://schemas.microsoft.com/office/drawing/2014/main" id="{00000000-0008-0000-0000-0000931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93" y="119"/>
              <a:ext cx="43" cy="86"/>
              <a:chOff x="93" y="119"/>
              <a:chExt cx="43" cy="86"/>
            </a:xfrm>
          </xdr:grpSpPr>
          <xdr:sp macro="[0]!Двутавр4" textlink="">
            <xdr:nvSpPr>
              <xdr:cNvPr id="4147" name="Line 3123">
                <a:extLst>
                  <a:ext uri="{FF2B5EF4-FFF2-40B4-BE49-F238E27FC236}">
                    <a16:creationId xmlns:a16="http://schemas.microsoft.com/office/drawing/2014/main" id="{00000000-0008-0000-0000-0000331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6" y="119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[0]!Двутавр4" textlink="">
            <xdr:nvSpPr>
              <xdr:cNvPr id="4148" name="Line 3124">
                <a:extLst>
                  <a:ext uri="{FF2B5EF4-FFF2-40B4-BE49-F238E27FC236}">
                    <a16:creationId xmlns:a16="http://schemas.microsoft.com/office/drawing/2014/main" id="{00000000-0008-0000-0000-0000341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3" y="161"/>
                <a:ext cx="43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</xdr:grpSp>
      </xdr:grpSp>
      <xdr:sp macro="[0]!Двутавр4" textlink="">
        <xdr:nvSpPr>
          <xdr:cNvPr id="4405" name="Текст 3381">
            <a:extLst>
              <a:ext uri="{FF2B5EF4-FFF2-40B4-BE49-F238E27FC236}">
                <a16:creationId xmlns:a16="http://schemas.microsoft.com/office/drawing/2014/main" id="{00000000-0008-0000-0000-000035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5" y="116"/>
            <a:ext cx="19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9</a:t>
            </a:r>
          </a:p>
        </xdr:txBody>
      </xdr:sp>
      <xdr:sp macro="[0]!Двутавр4" textlink="">
        <xdr:nvSpPr>
          <xdr:cNvPr id="5013" name="Text Box 3989">
            <a:extLst>
              <a:ext uri="{FF2B5EF4-FFF2-40B4-BE49-F238E27FC236}">
                <a16:creationId xmlns:a16="http://schemas.microsoft.com/office/drawing/2014/main" id="{00000000-0008-0000-0000-00009513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" y="156"/>
            <a:ext cx="59" cy="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двутавры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колонные</a:t>
            </a:r>
          </a:p>
        </xdr:txBody>
      </xdr:sp>
    </xdr:grpSp>
    <xdr:clientData fPrintsWithSheet="0"/>
  </xdr:twoCellAnchor>
  <xdr:twoCellAnchor editAs="oneCell">
    <xdr:from>
      <xdr:col>9</xdr:col>
      <xdr:colOff>333375</xdr:colOff>
      <xdr:row>0</xdr:row>
      <xdr:rowOff>76200</xdr:rowOff>
    </xdr:from>
    <xdr:to>
      <xdr:col>10</xdr:col>
      <xdr:colOff>381000</xdr:colOff>
      <xdr:row>6</xdr:row>
      <xdr:rowOff>28575</xdr:rowOff>
    </xdr:to>
    <xdr:grpSp>
      <xdr:nvGrpSpPr>
        <xdr:cNvPr id="5062" name="Group 4038">
          <a:extLst>
            <a:ext uri="{FF2B5EF4-FFF2-40B4-BE49-F238E27FC236}">
              <a16:creationId xmlns:a16="http://schemas.microsoft.com/office/drawing/2014/main" id="{00000000-0008-0000-0000-0000C6130000}"/>
            </a:ext>
          </a:extLst>
        </xdr:cNvPr>
        <xdr:cNvGrpSpPr>
          <a:grpSpLocks/>
        </xdr:cNvGrpSpPr>
      </xdr:nvGrpSpPr>
      <xdr:grpSpPr bwMode="auto">
        <a:xfrm>
          <a:off x="5819775" y="76200"/>
          <a:ext cx="657225" cy="923925"/>
          <a:chOff x="97" y="119"/>
          <a:chExt cx="69" cy="77"/>
        </a:xfrm>
      </xdr:grpSpPr>
      <xdr:sp macro="[0]!Двутавр5" textlink="">
        <xdr:nvSpPr>
          <xdr:cNvPr id="4157" name="Rectangle 3133">
            <a:extLst>
              <a:ext uri="{FF2B5EF4-FFF2-40B4-BE49-F238E27FC236}">
                <a16:creationId xmlns:a16="http://schemas.microsoft.com/office/drawing/2014/main" id="{00000000-0008-0000-0000-00003D100000}"/>
              </a:ext>
            </a:extLst>
          </xdr:cNvPr>
          <xdr:cNvSpPr>
            <a:spLocks noChangeArrowheads="1"/>
          </xdr:cNvSpPr>
        </xdr:nvSpPr>
        <xdr:spPr bwMode="auto">
          <a:xfrm>
            <a:off x="97" y="119"/>
            <a:ext cx="67" cy="77"/>
          </a:xfrm>
          <a:prstGeom prst="rect">
            <a:avLst/>
          </a:prstGeom>
          <a:solidFill>
            <a:srgbClr val="CC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5059" name="Group 4035">
            <a:extLst>
              <a:ext uri="{FF2B5EF4-FFF2-40B4-BE49-F238E27FC236}">
                <a16:creationId xmlns:a16="http://schemas.microsoft.com/office/drawing/2014/main" id="{00000000-0008-0000-0000-0000C3130000}"/>
              </a:ext>
            </a:extLst>
          </xdr:cNvPr>
          <xdr:cNvGrpSpPr>
            <a:grpSpLocks/>
          </xdr:cNvGrpSpPr>
        </xdr:nvGrpSpPr>
        <xdr:grpSpPr bwMode="auto">
          <a:xfrm>
            <a:off x="103" y="123"/>
            <a:ext cx="21" cy="38"/>
            <a:chOff x="315" y="128"/>
            <a:chExt cx="45" cy="86"/>
          </a:xfrm>
        </xdr:grpSpPr>
        <xdr:sp macro="[0]!Двутавр5" textlink="">
          <xdr:nvSpPr>
            <xdr:cNvPr id="4160" name="Объект 1973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>
              <a:spLocks/>
            </xdr:cNvSpPr>
          </xdr:nvSpPr>
          <xdr:spPr bwMode="auto">
            <a:xfrm>
              <a:off x="315" y="132"/>
              <a:ext cx="45" cy="76"/>
            </a:xfrm>
            <a:custGeom>
              <a:avLst/>
              <a:gdLst/>
              <a:ahLst/>
              <a:cxnLst>
                <a:cxn ang="0">
                  <a:pos x="16384" y="767"/>
                </a:cxn>
                <a:cxn ang="0">
                  <a:pos x="16384" y="0"/>
                </a:cxn>
                <a:cxn ang="0">
                  <a:pos x="0" y="0"/>
                </a:cxn>
                <a:cxn ang="0">
                  <a:pos x="0" y="767"/>
                </a:cxn>
                <a:cxn ang="0">
                  <a:pos x="6076" y="767"/>
                </a:cxn>
                <a:cxn ang="0">
                  <a:pos x="6510" y="782"/>
                </a:cxn>
                <a:cxn ang="0">
                  <a:pos x="6836" y="827"/>
                </a:cxn>
                <a:cxn ang="0">
                  <a:pos x="7125" y="887"/>
                </a:cxn>
                <a:cxn ang="0">
                  <a:pos x="7270" y="962"/>
                </a:cxn>
                <a:cxn ang="0">
                  <a:pos x="7414" y="1037"/>
                </a:cxn>
                <a:cxn ang="0">
                  <a:pos x="7451" y="1157"/>
                </a:cxn>
                <a:cxn ang="0">
                  <a:pos x="7487" y="1293"/>
                </a:cxn>
                <a:cxn ang="0">
                  <a:pos x="7487" y="1428"/>
                </a:cxn>
                <a:cxn ang="0">
                  <a:pos x="7487" y="3096"/>
                </a:cxn>
                <a:cxn ang="0">
                  <a:pos x="7487" y="4795"/>
                </a:cxn>
                <a:cxn ang="0">
                  <a:pos x="7487" y="6478"/>
                </a:cxn>
                <a:cxn ang="0">
                  <a:pos x="7487" y="8177"/>
                </a:cxn>
                <a:cxn ang="0">
                  <a:pos x="7487" y="9875"/>
                </a:cxn>
                <a:cxn ang="0">
                  <a:pos x="7487" y="11559"/>
                </a:cxn>
                <a:cxn ang="0">
                  <a:pos x="7487" y="13242"/>
                </a:cxn>
                <a:cxn ang="0">
                  <a:pos x="7487" y="14911"/>
                </a:cxn>
                <a:cxn ang="0">
                  <a:pos x="7487" y="15046"/>
                </a:cxn>
                <a:cxn ang="0">
                  <a:pos x="7451" y="15182"/>
                </a:cxn>
                <a:cxn ang="0">
                  <a:pos x="7414" y="15302"/>
                </a:cxn>
                <a:cxn ang="0">
                  <a:pos x="7306" y="15392"/>
                </a:cxn>
                <a:cxn ang="0">
                  <a:pos x="7161" y="15497"/>
                </a:cxn>
                <a:cxn ang="0">
                  <a:pos x="6944" y="15557"/>
                </a:cxn>
                <a:cxn ang="0">
                  <a:pos x="6691" y="15602"/>
                </a:cxn>
                <a:cxn ang="0">
                  <a:pos x="6402" y="15602"/>
                </a:cxn>
                <a:cxn ang="0">
                  <a:pos x="0" y="15602"/>
                </a:cxn>
                <a:cxn ang="0">
                  <a:pos x="0" y="16384"/>
                </a:cxn>
                <a:cxn ang="0">
                  <a:pos x="16384" y="16384"/>
                </a:cxn>
                <a:cxn ang="0">
                  <a:pos x="16384" y="15602"/>
                </a:cxn>
                <a:cxn ang="0">
                  <a:pos x="10380" y="15602"/>
                </a:cxn>
                <a:cxn ang="0">
                  <a:pos x="9946" y="15602"/>
                </a:cxn>
                <a:cxn ang="0">
                  <a:pos x="9657" y="15572"/>
                </a:cxn>
                <a:cxn ang="0">
                  <a:pos x="9440" y="15497"/>
                </a:cxn>
                <a:cxn ang="0">
                  <a:pos x="9259" y="15422"/>
                </a:cxn>
                <a:cxn ang="0">
                  <a:pos x="9150" y="15302"/>
                </a:cxn>
                <a:cxn ang="0">
                  <a:pos x="9114" y="15182"/>
                </a:cxn>
                <a:cxn ang="0">
                  <a:pos x="9078" y="15046"/>
                </a:cxn>
                <a:cxn ang="0">
                  <a:pos x="9078" y="14911"/>
                </a:cxn>
                <a:cxn ang="0">
                  <a:pos x="9078" y="13273"/>
                </a:cxn>
                <a:cxn ang="0">
                  <a:pos x="9078" y="11589"/>
                </a:cxn>
                <a:cxn ang="0">
                  <a:pos x="9078" y="9891"/>
                </a:cxn>
                <a:cxn ang="0">
                  <a:pos x="9078" y="8177"/>
                </a:cxn>
                <a:cxn ang="0">
                  <a:pos x="9078" y="6463"/>
                </a:cxn>
                <a:cxn ang="0">
                  <a:pos x="9078" y="4750"/>
                </a:cxn>
                <a:cxn ang="0">
                  <a:pos x="9078" y="3081"/>
                </a:cxn>
                <a:cxn ang="0">
                  <a:pos x="9078" y="1428"/>
                </a:cxn>
                <a:cxn ang="0">
                  <a:pos x="9078" y="1263"/>
                </a:cxn>
                <a:cxn ang="0">
                  <a:pos x="9114" y="1127"/>
                </a:cxn>
                <a:cxn ang="0">
                  <a:pos x="9150" y="1037"/>
                </a:cxn>
                <a:cxn ang="0">
                  <a:pos x="9259" y="947"/>
                </a:cxn>
                <a:cxn ang="0">
                  <a:pos x="9404" y="857"/>
                </a:cxn>
                <a:cxn ang="0">
                  <a:pos x="9621" y="827"/>
                </a:cxn>
                <a:cxn ang="0">
                  <a:pos x="9946" y="782"/>
                </a:cxn>
                <a:cxn ang="0">
                  <a:pos x="10380" y="767"/>
                </a:cxn>
                <a:cxn ang="0">
                  <a:pos x="16384" y="767"/>
                </a:cxn>
              </a:cxnLst>
              <a:rect l="0" t="0" r="r" b="b"/>
              <a:pathLst>
                <a:path w="16384" h="16384">
                  <a:moveTo>
                    <a:pt x="16384" y="767"/>
                  </a:moveTo>
                  <a:lnTo>
                    <a:pt x="16384" y="0"/>
                  </a:lnTo>
                  <a:lnTo>
                    <a:pt x="0" y="0"/>
                  </a:lnTo>
                  <a:lnTo>
                    <a:pt x="0" y="767"/>
                  </a:lnTo>
                  <a:lnTo>
                    <a:pt x="6076" y="767"/>
                  </a:lnTo>
                  <a:lnTo>
                    <a:pt x="6510" y="782"/>
                  </a:lnTo>
                  <a:lnTo>
                    <a:pt x="6836" y="827"/>
                  </a:lnTo>
                  <a:lnTo>
                    <a:pt x="7125" y="887"/>
                  </a:lnTo>
                  <a:lnTo>
                    <a:pt x="7270" y="962"/>
                  </a:lnTo>
                  <a:lnTo>
                    <a:pt x="7414" y="1037"/>
                  </a:lnTo>
                  <a:lnTo>
                    <a:pt x="7451" y="1157"/>
                  </a:lnTo>
                  <a:lnTo>
                    <a:pt x="7487" y="1293"/>
                  </a:lnTo>
                  <a:lnTo>
                    <a:pt x="7487" y="1428"/>
                  </a:lnTo>
                  <a:lnTo>
                    <a:pt x="7487" y="3096"/>
                  </a:lnTo>
                  <a:lnTo>
                    <a:pt x="7487" y="4795"/>
                  </a:lnTo>
                  <a:lnTo>
                    <a:pt x="7487" y="6478"/>
                  </a:lnTo>
                  <a:lnTo>
                    <a:pt x="7487" y="8177"/>
                  </a:lnTo>
                  <a:lnTo>
                    <a:pt x="7487" y="9875"/>
                  </a:lnTo>
                  <a:lnTo>
                    <a:pt x="7487" y="11559"/>
                  </a:lnTo>
                  <a:lnTo>
                    <a:pt x="7487" y="13242"/>
                  </a:lnTo>
                  <a:lnTo>
                    <a:pt x="7487" y="14911"/>
                  </a:lnTo>
                  <a:lnTo>
                    <a:pt x="7487" y="15046"/>
                  </a:lnTo>
                  <a:lnTo>
                    <a:pt x="7451" y="15182"/>
                  </a:lnTo>
                  <a:lnTo>
                    <a:pt x="7414" y="15302"/>
                  </a:lnTo>
                  <a:lnTo>
                    <a:pt x="7306" y="15392"/>
                  </a:lnTo>
                  <a:lnTo>
                    <a:pt x="7161" y="15497"/>
                  </a:lnTo>
                  <a:lnTo>
                    <a:pt x="6944" y="15557"/>
                  </a:lnTo>
                  <a:lnTo>
                    <a:pt x="6691" y="15602"/>
                  </a:lnTo>
                  <a:lnTo>
                    <a:pt x="6402" y="15602"/>
                  </a:lnTo>
                  <a:lnTo>
                    <a:pt x="0" y="15602"/>
                  </a:lnTo>
                  <a:lnTo>
                    <a:pt x="0" y="16384"/>
                  </a:lnTo>
                  <a:lnTo>
                    <a:pt x="16384" y="16384"/>
                  </a:lnTo>
                  <a:lnTo>
                    <a:pt x="16384" y="15602"/>
                  </a:lnTo>
                  <a:lnTo>
                    <a:pt x="10380" y="15602"/>
                  </a:lnTo>
                  <a:lnTo>
                    <a:pt x="9946" y="15602"/>
                  </a:lnTo>
                  <a:lnTo>
                    <a:pt x="9657" y="15572"/>
                  </a:lnTo>
                  <a:lnTo>
                    <a:pt x="9440" y="15497"/>
                  </a:lnTo>
                  <a:lnTo>
                    <a:pt x="9259" y="15422"/>
                  </a:lnTo>
                  <a:lnTo>
                    <a:pt x="9150" y="15302"/>
                  </a:lnTo>
                  <a:lnTo>
                    <a:pt x="9114" y="15182"/>
                  </a:lnTo>
                  <a:lnTo>
                    <a:pt x="9078" y="15046"/>
                  </a:lnTo>
                  <a:lnTo>
                    <a:pt x="9078" y="14911"/>
                  </a:lnTo>
                  <a:lnTo>
                    <a:pt x="9078" y="13273"/>
                  </a:lnTo>
                  <a:lnTo>
                    <a:pt x="9078" y="11589"/>
                  </a:lnTo>
                  <a:lnTo>
                    <a:pt x="9078" y="9891"/>
                  </a:lnTo>
                  <a:lnTo>
                    <a:pt x="9078" y="8177"/>
                  </a:lnTo>
                  <a:lnTo>
                    <a:pt x="9078" y="6463"/>
                  </a:lnTo>
                  <a:lnTo>
                    <a:pt x="9078" y="4750"/>
                  </a:lnTo>
                  <a:lnTo>
                    <a:pt x="9078" y="3081"/>
                  </a:lnTo>
                  <a:lnTo>
                    <a:pt x="9078" y="1428"/>
                  </a:lnTo>
                  <a:lnTo>
                    <a:pt x="9078" y="1263"/>
                  </a:lnTo>
                  <a:lnTo>
                    <a:pt x="9114" y="1127"/>
                  </a:lnTo>
                  <a:lnTo>
                    <a:pt x="9150" y="1037"/>
                  </a:lnTo>
                  <a:lnTo>
                    <a:pt x="9259" y="947"/>
                  </a:lnTo>
                  <a:lnTo>
                    <a:pt x="9404" y="857"/>
                  </a:lnTo>
                  <a:lnTo>
                    <a:pt x="9621" y="827"/>
                  </a:lnTo>
                  <a:lnTo>
                    <a:pt x="9946" y="782"/>
                  </a:lnTo>
                  <a:lnTo>
                    <a:pt x="10380" y="767"/>
                  </a:lnTo>
                  <a:lnTo>
                    <a:pt x="16384" y="767"/>
                  </a:lnTo>
                </a:path>
              </a:pathLst>
            </a:custGeom>
            <a:pattFill prst="ltUpDiag">
              <a:fgClr>
                <a:srgbClr val="000000"/>
              </a:fgClr>
              <a:bgClr>
                <a:srgbClr val="FFFFFF"/>
              </a:bgClr>
            </a:pattFill>
            <a:ln w="6350" cap="flat" cmpd="sng">
              <a:solidFill>
                <a:srgbClr val="333300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5058" name="Group 4034">
              <a:extLst>
                <a:ext uri="{FF2B5EF4-FFF2-40B4-BE49-F238E27FC236}">
                  <a16:creationId xmlns:a16="http://schemas.microsoft.com/office/drawing/2014/main" id="{00000000-0008-0000-0000-0000C21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15" y="128"/>
              <a:ext cx="43" cy="86"/>
              <a:chOff x="315" y="128"/>
              <a:chExt cx="43" cy="86"/>
            </a:xfrm>
          </xdr:grpSpPr>
          <xdr:sp macro="[0]!Двутавр5" textlink="">
            <xdr:nvSpPr>
              <xdr:cNvPr id="4190" name="Line 3166">
                <a:extLst>
                  <a:ext uri="{FF2B5EF4-FFF2-40B4-BE49-F238E27FC236}">
                    <a16:creationId xmlns:a16="http://schemas.microsoft.com/office/drawing/2014/main" id="{00000000-0008-0000-0000-00005E1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38" y="128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[0]!Двутавр5" textlink="">
            <xdr:nvSpPr>
              <xdr:cNvPr id="4191" name="Line 3167">
                <a:extLst>
                  <a:ext uri="{FF2B5EF4-FFF2-40B4-BE49-F238E27FC236}">
                    <a16:creationId xmlns:a16="http://schemas.microsoft.com/office/drawing/2014/main" id="{00000000-0008-0000-0000-00005F1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5" y="170"/>
                <a:ext cx="43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</xdr:grpSp>
      </xdr:grpSp>
      <xdr:sp macro="[0]!Двутавр5" textlink="">
        <xdr:nvSpPr>
          <xdr:cNvPr id="4406" name="Текст 3382">
            <a:extLst>
              <a:ext uri="{FF2B5EF4-FFF2-40B4-BE49-F238E27FC236}">
                <a16:creationId xmlns:a16="http://schemas.microsoft.com/office/drawing/2014/main" id="{00000000-0008-0000-0000-000036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" y="125"/>
            <a:ext cx="28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10</a:t>
            </a:r>
          </a:p>
        </xdr:txBody>
      </xdr:sp>
      <xdr:sp macro="[0]!Двутавр5" textlink="">
        <xdr:nvSpPr>
          <xdr:cNvPr id="5060" name="Text Box 4036">
            <a:extLst>
              <a:ext uri="{FF2B5EF4-FFF2-40B4-BE49-F238E27FC236}">
                <a16:creationId xmlns:a16="http://schemas.microsoft.com/office/drawing/2014/main" id="{00000000-0008-0000-0000-0000C413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" y="160"/>
            <a:ext cx="66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двутавры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дополн-ные</a:t>
            </a:r>
          </a:p>
        </xdr:txBody>
      </xdr:sp>
    </xdr:grpSp>
    <xdr:clientData fPrintsWithSheet="0"/>
  </xdr:twoCellAnchor>
  <xdr:twoCellAnchor editAs="oneCell">
    <xdr:from>
      <xdr:col>10</xdr:col>
      <xdr:colOff>409575</xdr:colOff>
      <xdr:row>0</xdr:row>
      <xdr:rowOff>76200</xdr:rowOff>
    </xdr:from>
    <xdr:to>
      <xdr:col>11</xdr:col>
      <xdr:colOff>419100</xdr:colOff>
      <xdr:row>6</xdr:row>
      <xdr:rowOff>28575</xdr:rowOff>
    </xdr:to>
    <xdr:grpSp>
      <xdr:nvGrpSpPr>
        <xdr:cNvPr id="5115" name="Group 4091">
          <a:extLst>
            <a:ext uri="{FF2B5EF4-FFF2-40B4-BE49-F238E27FC236}">
              <a16:creationId xmlns:a16="http://schemas.microsoft.com/office/drawing/2014/main" id="{00000000-0008-0000-0000-0000FB130000}"/>
            </a:ext>
          </a:extLst>
        </xdr:cNvPr>
        <xdr:cNvGrpSpPr>
          <a:grpSpLocks/>
        </xdr:cNvGrpSpPr>
      </xdr:nvGrpSpPr>
      <xdr:grpSpPr bwMode="auto">
        <a:xfrm>
          <a:off x="6505575" y="76200"/>
          <a:ext cx="619125" cy="923925"/>
          <a:chOff x="182" y="119"/>
          <a:chExt cx="65" cy="77"/>
        </a:xfrm>
      </xdr:grpSpPr>
      <xdr:sp macro="[0]!Двутавр6" textlink="">
        <xdr:nvSpPr>
          <xdr:cNvPr id="4200" name="Rectangle 3176">
            <a:extLst>
              <a:ext uri="{FF2B5EF4-FFF2-40B4-BE49-F238E27FC236}">
                <a16:creationId xmlns:a16="http://schemas.microsoft.com/office/drawing/2014/main" id="{00000000-0008-0000-0000-000068100000}"/>
              </a:ext>
            </a:extLst>
          </xdr:cNvPr>
          <xdr:cNvSpPr>
            <a:spLocks noChangeArrowheads="1"/>
          </xdr:cNvSpPr>
        </xdr:nvSpPr>
        <xdr:spPr bwMode="auto">
          <a:xfrm>
            <a:off x="182" y="119"/>
            <a:ext cx="63" cy="77"/>
          </a:xfrm>
          <a:prstGeom prst="rect">
            <a:avLst/>
          </a:prstGeom>
          <a:solidFill>
            <a:srgbClr val="FFFF99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5112" name="Group 4088">
            <a:extLst>
              <a:ext uri="{FF2B5EF4-FFF2-40B4-BE49-F238E27FC236}">
                <a16:creationId xmlns:a16="http://schemas.microsoft.com/office/drawing/2014/main" id="{00000000-0008-0000-0000-0000F8130000}"/>
              </a:ext>
            </a:extLst>
          </xdr:cNvPr>
          <xdr:cNvGrpSpPr>
            <a:grpSpLocks/>
          </xdr:cNvGrpSpPr>
        </xdr:nvGrpSpPr>
        <xdr:grpSpPr bwMode="auto">
          <a:xfrm>
            <a:off x="190" y="124"/>
            <a:ext cx="24" cy="41"/>
            <a:chOff x="294" y="134"/>
            <a:chExt cx="42" cy="86"/>
          </a:xfrm>
        </xdr:grpSpPr>
        <xdr:sp macro="[0]!Двутавр6" textlink="">
          <xdr:nvSpPr>
            <xdr:cNvPr id="4203" name="Объект 1680" descr="Светлый диагональный 2">
              <a:extLs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>
              <a:spLocks/>
            </xdr:cNvSpPr>
          </xdr:nvSpPr>
          <xdr:spPr bwMode="auto">
            <a:xfrm>
              <a:off x="295" y="140"/>
              <a:ext cx="40" cy="74"/>
            </a:xfrm>
            <a:custGeom>
              <a:avLst/>
              <a:gdLst/>
              <a:ahLst/>
              <a:cxnLst>
                <a:cxn ang="0">
                  <a:pos x="15484" y="752"/>
                </a:cxn>
                <a:cxn ang="0">
                  <a:pos x="15988" y="646"/>
                </a:cxn>
                <a:cxn ang="0">
                  <a:pos x="16240" y="451"/>
                </a:cxn>
                <a:cxn ang="0">
                  <a:pos x="16312" y="165"/>
                </a:cxn>
                <a:cxn ang="0">
                  <a:pos x="0" y="0"/>
                </a:cxn>
                <a:cxn ang="0">
                  <a:pos x="108" y="316"/>
                </a:cxn>
                <a:cxn ang="0">
                  <a:pos x="324" y="541"/>
                </a:cxn>
                <a:cxn ang="0">
                  <a:pos x="684" y="721"/>
                </a:cxn>
                <a:cxn ang="0">
                  <a:pos x="1296" y="782"/>
                </a:cxn>
                <a:cxn ang="0">
                  <a:pos x="2485" y="857"/>
                </a:cxn>
                <a:cxn ang="0">
                  <a:pos x="3709" y="932"/>
                </a:cxn>
                <a:cxn ang="0">
                  <a:pos x="4897" y="1007"/>
                </a:cxn>
                <a:cxn ang="0">
                  <a:pos x="6085" y="1082"/>
                </a:cxn>
                <a:cxn ang="0">
                  <a:pos x="6698" y="1233"/>
                </a:cxn>
                <a:cxn ang="0">
                  <a:pos x="7166" y="1413"/>
                </a:cxn>
                <a:cxn ang="0">
                  <a:pos x="7382" y="1608"/>
                </a:cxn>
                <a:cxn ang="0">
                  <a:pos x="7490" y="1879"/>
                </a:cxn>
                <a:cxn ang="0">
                  <a:pos x="7490" y="5081"/>
                </a:cxn>
                <a:cxn ang="0">
                  <a:pos x="7490" y="8162"/>
                </a:cxn>
                <a:cxn ang="0">
                  <a:pos x="7490" y="11228"/>
                </a:cxn>
                <a:cxn ang="0">
                  <a:pos x="7490" y="14445"/>
                </a:cxn>
                <a:cxn ang="0">
                  <a:pos x="7490" y="14685"/>
                </a:cxn>
                <a:cxn ang="0">
                  <a:pos x="7382" y="14911"/>
                </a:cxn>
                <a:cxn ang="0">
                  <a:pos x="7022" y="15061"/>
                </a:cxn>
                <a:cxn ang="0">
                  <a:pos x="6374" y="15212"/>
                </a:cxn>
                <a:cxn ang="0">
                  <a:pos x="5077" y="15347"/>
                </a:cxn>
                <a:cxn ang="0">
                  <a:pos x="3709" y="15467"/>
                </a:cxn>
                <a:cxn ang="0">
                  <a:pos x="2305" y="15542"/>
                </a:cxn>
                <a:cxn ang="0">
                  <a:pos x="864" y="15617"/>
                </a:cxn>
                <a:cxn ang="0">
                  <a:pos x="432" y="15768"/>
                </a:cxn>
                <a:cxn ang="0">
                  <a:pos x="144" y="15918"/>
                </a:cxn>
                <a:cxn ang="0">
                  <a:pos x="36" y="16113"/>
                </a:cxn>
                <a:cxn ang="0">
                  <a:pos x="0" y="16384"/>
                </a:cxn>
                <a:cxn ang="0">
                  <a:pos x="16312" y="16234"/>
                </a:cxn>
                <a:cxn ang="0">
                  <a:pos x="16276" y="15978"/>
                </a:cxn>
                <a:cxn ang="0">
                  <a:pos x="16096" y="15813"/>
                </a:cxn>
                <a:cxn ang="0">
                  <a:pos x="15772" y="15693"/>
                </a:cxn>
                <a:cxn ang="0">
                  <a:pos x="14692" y="15572"/>
                </a:cxn>
                <a:cxn ang="0">
                  <a:pos x="13359" y="15497"/>
                </a:cxn>
                <a:cxn ang="0">
                  <a:pos x="12171" y="15407"/>
                </a:cxn>
                <a:cxn ang="0">
                  <a:pos x="10983" y="15287"/>
                </a:cxn>
                <a:cxn ang="0">
                  <a:pos x="9974" y="15136"/>
                </a:cxn>
                <a:cxn ang="0">
                  <a:pos x="9470" y="14986"/>
                </a:cxn>
                <a:cxn ang="0">
                  <a:pos x="9182" y="14806"/>
                </a:cxn>
                <a:cxn ang="0">
                  <a:pos x="9074" y="14580"/>
                </a:cxn>
                <a:cxn ang="0">
                  <a:pos x="9038" y="12852"/>
                </a:cxn>
                <a:cxn ang="0">
                  <a:pos x="9038" y="9710"/>
                </a:cxn>
                <a:cxn ang="0">
                  <a:pos x="9038" y="6614"/>
                </a:cxn>
                <a:cxn ang="0">
                  <a:pos x="9038" y="3472"/>
                </a:cxn>
                <a:cxn ang="0">
                  <a:pos x="9074" y="1714"/>
                </a:cxn>
                <a:cxn ang="0">
                  <a:pos x="9254" y="1488"/>
                </a:cxn>
                <a:cxn ang="0">
                  <a:pos x="9542" y="1308"/>
                </a:cxn>
                <a:cxn ang="0">
                  <a:pos x="10010" y="1157"/>
                </a:cxn>
                <a:cxn ang="0">
                  <a:pos x="15088" y="782"/>
                </a:cxn>
              </a:cxnLst>
              <a:rect l="0" t="0" r="r" b="b"/>
              <a:pathLst>
                <a:path w="16384" h="16384">
                  <a:moveTo>
                    <a:pt x="15088" y="782"/>
                  </a:moveTo>
                  <a:lnTo>
                    <a:pt x="15484" y="752"/>
                  </a:lnTo>
                  <a:lnTo>
                    <a:pt x="15772" y="691"/>
                  </a:lnTo>
                  <a:lnTo>
                    <a:pt x="15988" y="646"/>
                  </a:lnTo>
                  <a:lnTo>
                    <a:pt x="16132" y="541"/>
                  </a:lnTo>
                  <a:lnTo>
                    <a:pt x="16240" y="451"/>
                  </a:lnTo>
                  <a:lnTo>
                    <a:pt x="16312" y="316"/>
                  </a:lnTo>
                  <a:lnTo>
                    <a:pt x="16312" y="165"/>
                  </a:lnTo>
                  <a:lnTo>
                    <a:pt x="16384" y="0"/>
                  </a:lnTo>
                  <a:lnTo>
                    <a:pt x="0" y="0"/>
                  </a:lnTo>
                  <a:lnTo>
                    <a:pt x="36" y="165"/>
                  </a:lnTo>
                  <a:lnTo>
                    <a:pt x="108" y="316"/>
                  </a:lnTo>
                  <a:lnTo>
                    <a:pt x="180" y="436"/>
                  </a:lnTo>
                  <a:lnTo>
                    <a:pt x="324" y="541"/>
                  </a:lnTo>
                  <a:lnTo>
                    <a:pt x="468" y="646"/>
                  </a:lnTo>
                  <a:lnTo>
                    <a:pt x="684" y="721"/>
                  </a:lnTo>
                  <a:lnTo>
                    <a:pt x="972" y="752"/>
                  </a:lnTo>
                  <a:lnTo>
                    <a:pt x="1296" y="782"/>
                  </a:lnTo>
                  <a:lnTo>
                    <a:pt x="1908" y="812"/>
                  </a:lnTo>
                  <a:lnTo>
                    <a:pt x="2485" y="857"/>
                  </a:lnTo>
                  <a:lnTo>
                    <a:pt x="3097" y="887"/>
                  </a:lnTo>
                  <a:lnTo>
                    <a:pt x="3709" y="932"/>
                  </a:lnTo>
                  <a:lnTo>
                    <a:pt x="4285" y="962"/>
                  </a:lnTo>
                  <a:lnTo>
                    <a:pt x="4897" y="1007"/>
                  </a:lnTo>
                  <a:lnTo>
                    <a:pt x="5473" y="1052"/>
                  </a:lnTo>
                  <a:lnTo>
                    <a:pt x="6085" y="1082"/>
                  </a:lnTo>
                  <a:lnTo>
                    <a:pt x="6410" y="1157"/>
                  </a:lnTo>
                  <a:lnTo>
                    <a:pt x="6698" y="1233"/>
                  </a:lnTo>
                  <a:lnTo>
                    <a:pt x="6914" y="1308"/>
                  </a:lnTo>
                  <a:lnTo>
                    <a:pt x="7166" y="1413"/>
                  </a:lnTo>
                  <a:lnTo>
                    <a:pt x="7274" y="1503"/>
                  </a:lnTo>
                  <a:lnTo>
                    <a:pt x="7382" y="1608"/>
                  </a:lnTo>
                  <a:lnTo>
                    <a:pt x="7490" y="1714"/>
                  </a:lnTo>
                  <a:lnTo>
                    <a:pt x="7490" y="1879"/>
                  </a:lnTo>
                  <a:lnTo>
                    <a:pt x="7490" y="3502"/>
                  </a:lnTo>
                  <a:lnTo>
                    <a:pt x="7490" y="5081"/>
                  </a:lnTo>
                  <a:lnTo>
                    <a:pt x="7490" y="6629"/>
                  </a:lnTo>
                  <a:lnTo>
                    <a:pt x="7490" y="8162"/>
                  </a:lnTo>
                  <a:lnTo>
                    <a:pt x="7490" y="9695"/>
                  </a:lnTo>
                  <a:lnTo>
                    <a:pt x="7490" y="11228"/>
                  </a:lnTo>
                  <a:lnTo>
                    <a:pt x="7490" y="12807"/>
                  </a:lnTo>
                  <a:lnTo>
                    <a:pt x="7490" y="14445"/>
                  </a:lnTo>
                  <a:lnTo>
                    <a:pt x="7490" y="14580"/>
                  </a:lnTo>
                  <a:lnTo>
                    <a:pt x="7490" y="14685"/>
                  </a:lnTo>
                  <a:lnTo>
                    <a:pt x="7418" y="14806"/>
                  </a:lnTo>
                  <a:lnTo>
                    <a:pt x="7382" y="14911"/>
                  </a:lnTo>
                  <a:lnTo>
                    <a:pt x="7238" y="14986"/>
                  </a:lnTo>
                  <a:lnTo>
                    <a:pt x="7022" y="15061"/>
                  </a:lnTo>
                  <a:lnTo>
                    <a:pt x="6734" y="15136"/>
                  </a:lnTo>
                  <a:lnTo>
                    <a:pt x="6374" y="15212"/>
                  </a:lnTo>
                  <a:lnTo>
                    <a:pt x="5725" y="15287"/>
                  </a:lnTo>
                  <a:lnTo>
                    <a:pt x="5077" y="15347"/>
                  </a:lnTo>
                  <a:lnTo>
                    <a:pt x="4393" y="15407"/>
                  </a:lnTo>
                  <a:lnTo>
                    <a:pt x="3709" y="15467"/>
                  </a:lnTo>
                  <a:lnTo>
                    <a:pt x="2989" y="15497"/>
                  </a:lnTo>
                  <a:lnTo>
                    <a:pt x="2305" y="15542"/>
                  </a:lnTo>
                  <a:lnTo>
                    <a:pt x="1584" y="15572"/>
                  </a:lnTo>
                  <a:lnTo>
                    <a:pt x="864" y="15617"/>
                  </a:lnTo>
                  <a:lnTo>
                    <a:pt x="612" y="15693"/>
                  </a:lnTo>
                  <a:lnTo>
                    <a:pt x="432" y="15768"/>
                  </a:lnTo>
                  <a:lnTo>
                    <a:pt x="252" y="15828"/>
                  </a:lnTo>
                  <a:lnTo>
                    <a:pt x="144" y="15918"/>
                  </a:lnTo>
                  <a:lnTo>
                    <a:pt x="108" y="16023"/>
                  </a:lnTo>
                  <a:lnTo>
                    <a:pt x="36" y="16113"/>
                  </a:lnTo>
                  <a:lnTo>
                    <a:pt x="0" y="16234"/>
                  </a:lnTo>
                  <a:lnTo>
                    <a:pt x="0" y="16384"/>
                  </a:lnTo>
                  <a:lnTo>
                    <a:pt x="16384" y="16384"/>
                  </a:lnTo>
                  <a:lnTo>
                    <a:pt x="16312" y="16234"/>
                  </a:lnTo>
                  <a:lnTo>
                    <a:pt x="16276" y="16098"/>
                  </a:lnTo>
                  <a:lnTo>
                    <a:pt x="16276" y="15978"/>
                  </a:lnTo>
                  <a:lnTo>
                    <a:pt x="16168" y="15888"/>
                  </a:lnTo>
                  <a:lnTo>
                    <a:pt x="16096" y="15813"/>
                  </a:lnTo>
                  <a:lnTo>
                    <a:pt x="15952" y="15753"/>
                  </a:lnTo>
                  <a:lnTo>
                    <a:pt x="15772" y="15693"/>
                  </a:lnTo>
                  <a:lnTo>
                    <a:pt x="15484" y="15617"/>
                  </a:lnTo>
                  <a:lnTo>
                    <a:pt x="14692" y="15572"/>
                  </a:lnTo>
                  <a:lnTo>
                    <a:pt x="14007" y="15542"/>
                  </a:lnTo>
                  <a:lnTo>
                    <a:pt x="13359" y="15497"/>
                  </a:lnTo>
                  <a:lnTo>
                    <a:pt x="12783" y="15467"/>
                  </a:lnTo>
                  <a:lnTo>
                    <a:pt x="12171" y="15407"/>
                  </a:lnTo>
                  <a:lnTo>
                    <a:pt x="11559" y="15362"/>
                  </a:lnTo>
                  <a:lnTo>
                    <a:pt x="10983" y="15287"/>
                  </a:lnTo>
                  <a:lnTo>
                    <a:pt x="10335" y="15212"/>
                  </a:lnTo>
                  <a:lnTo>
                    <a:pt x="9974" y="15136"/>
                  </a:lnTo>
                  <a:lnTo>
                    <a:pt x="9650" y="15076"/>
                  </a:lnTo>
                  <a:lnTo>
                    <a:pt x="9470" y="14986"/>
                  </a:lnTo>
                  <a:lnTo>
                    <a:pt x="9326" y="14911"/>
                  </a:lnTo>
                  <a:lnTo>
                    <a:pt x="9182" y="14806"/>
                  </a:lnTo>
                  <a:lnTo>
                    <a:pt x="9146" y="14685"/>
                  </a:lnTo>
                  <a:lnTo>
                    <a:pt x="9074" y="14580"/>
                  </a:lnTo>
                  <a:lnTo>
                    <a:pt x="9038" y="14445"/>
                  </a:lnTo>
                  <a:lnTo>
                    <a:pt x="9038" y="12852"/>
                  </a:lnTo>
                  <a:lnTo>
                    <a:pt x="9038" y="11273"/>
                  </a:lnTo>
                  <a:lnTo>
                    <a:pt x="9038" y="9710"/>
                  </a:lnTo>
                  <a:lnTo>
                    <a:pt x="9038" y="8162"/>
                  </a:lnTo>
                  <a:lnTo>
                    <a:pt x="9038" y="6614"/>
                  </a:lnTo>
                  <a:lnTo>
                    <a:pt x="9038" y="5050"/>
                  </a:lnTo>
                  <a:lnTo>
                    <a:pt x="9038" y="3472"/>
                  </a:lnTo>
                  <a:lnTo>
                    <a:pt x="9038" y="1879"/>
                  </a:lnTo>
                  <a:lnTo>
                    <a:pt x="9074" y="1714"/>
                  </a:lnTo>
                  <a:lnTo>
                    <a:pt x="9182" y="1608"/>
                  </a:lnTo>
                  <a:lnTo>
                    <a:pt x="9254" y="1488"/>
                  </a:lnTo>
                  <a:lnTo>
                    <a:pt x="9398" y="1398"/>
                  </a:lnTo>
                  <a:lnTo>
                    <a:pt x="9542" y="1308"/>
                  </a:lnTo>
                  <a:lnTo>
                    <a:pt x="9758" y="1233"/>
                  </a:lnTo>
                  <a:lnTo>
                    <a:pt x="10010" y="1157"/>
                  </a:lnTo>
                  <a:lnTo>
                    <a:pt x="10335" y="1082"/>
                  </a:lnTo>
                  <a:lnTo>
                    <a:pt x="15088" y="782"/>
                  </a:lnTo>
                </a:path>
              </a:pathLst>
            </a:custGeom>
            <a:pattFill prst="ltUpDiag">
              <a:fgClr>
                <a:srgbClr val="000000"/>
              </a:fgClr>
              <a:bgClr>
                <a:srgbClr val="FFFFFF"/>
              </a:bgClr>
            </a:pattFill>
            <a:ln w="6350" cap="flat" cmpd="sng">
              <a:solidFill>
                <a:srgbClr val="333300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5111" name="Group 4087">
              <a:extLst>
                <a:ext uri="{FF2B5EF4-FFF2-40B4-BE49-F238E27FC236}">
                  <a16:creationId xmlns:a16="http://schemas.microsoft.com/office/drawing/2014/main" id="{00000000-0008-0000-0000-0000F71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94" y="134"/>
              <a:ext cx="42" cy="86"/>
              <a:chOff x="294" y="134"/>
              <a:chExt cx="42" cy="86"/>
            </a:xfrm>
          </xdr:grpSpPr>
          <xdr:sp macro="[0]!Двутавр6" textlink="">
            <xdr:nvSpPr>
              <xdr:cNvPr id="4235" name="Line 3211">
                <a:extLst>
                  <a:ext uri="{FF2B5EF4-FFF2-40B4-BE49-F238E27FC236}">
                    <a16:creationId xmlns:a16="http://schemas.microsoft.com/office/drawing/2014/main" id="{00000000-0008-0000-0000-00008B1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5" y="134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[0]!Двутавр6" textlink="">
            <xdr:nvSpPr>
              <xdr:cNvPr id="4236" name="Line 3212">
                <a:extLst>
                  <a:ext uri="{FF2B5EF4-FFF2-40B4-BE49-F238E27FC236}">
                    <a16:creationId xmlns:a16="http://schemas.microsoft.com/office/drawing/2014/main" id="{00000000-0008-0000-0000-00008C1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94" y="174"/>
                <a:ext cx="42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</xdr:grpSp>
      </xdr:grpSp>
      <xdr:sp macro="[0]!Двутавр6" textlink="">
        <xdr:nvSpPr>
          <xdr:cNvPr id="4408" name="Текст 3384">
            <a:extLst>
              <a:ext uri="{FF2B5EF4-FFF2-40B4-BE49-F238E27FC236}">
                <a16:creationId xmlns:a16="http://schemas.microsoft.com/office/drawing/2014/main" id="{00000000-0008-0000-0000-0000381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9" y="125"/>
            <a:ext cx="28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11</a:t>
            </a:r>
          </a:p>
        </xdr:txBody>
      </xdr:sp>
      <xdr:sp macro="[0]!Двутавр6" textlink="">
        <xdr:nvSpPr>
          <xdr:cNvPr id="5113" name="Text Box 4089">
            <a:extLst>
              <a:ext uri="{FF2B5EF4-FFF2-40B4-BE49-F238E27FC236}">
                <a16:creationId xmlns:a16="http://schemas.microsoft.com/office/drawing/2014/main" id="{00000000-0008-0000-0000-0000F913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2" y="164"/>
            <a:ext cx="62" cy="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двутавры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спец-ные</a:t>
            </a:r>
          </a:p>
        </xdr:txBody>
      </xdr:sp>
    </xdr:grpSp>
    <xdr:clientData fPrintsWithSheet="0"/>
  </xdr:twoCellAnchor>
  <xdr:twoCellAnchor editAs="oneCell">
    <xdr:from>
      <xdr:col>7</xdr:col>
      <xdr:colOff>457200</xdr:colOff>
      <xdr:row>6</xdr:row>
      <xdr:rowOff>66675</xdr:rowOff>
    </xdr:from>
    <xdr:to>
      <xdr:col>9</xdr:col>
      <xdr:colOff>314325</xdr:colOff>
      <xdr:row>10</xdr:row>
      <xdr:rowOff>9525</xdr:rowOff>
    </xdr:to>
    <xdr:grpSp>
      <xdr:nvGrpSpPr>
        <xdr:cNvPr id="32794" name="Group 4122">
          <a:extLst>
            <a:ext uri="{FF2B5EF4-FFF2-40B4-BE49-F238E27FC236}">
              <a16:creationId xmlns:a16="http://schemas.microsoft.com/office/drawing/2014/main" id="{00000000-0008-0000-0000-00001A800000}"/>
            </a:ext>
          </a:extLst>
        </xdr:cNvPr>
        <xdr:cNvGrpSpPr>
          <a:grpSpLocks/>
        </xdr:cNvGrpSpPr>
      </xdr:nvGrpSpPr>
      <xdr:grpSpPr bwMode="auto">
        <a:xfrm>
          <a:off x="4724400" y="1038225"/>
          <a:ext cx="1076325" cy="590550"/>
          <a:chOff x="522" y="114"/>
          <a:chExt cx="113" cy="62"/>
        </a:xfrm>
      </xdr:grpSpPr>
      <xdr:sp macro="[0]!Трубаквадрсвар" textlink="">
        <xdr:nvSpPr>
          <xdr:cNvPr id="32785" name="Rectangle 4113">
            <a:extLst>
              <a:ext uri="{FF2B5EF4-FFF2-40B4-BE49-F238E27FC236}">
                <a16:creationId xmlns:a16="http://schemas.microsoft.com/office/drawing/2014/main" id="{00000000-0008-0000-0000-000011800000}"/>
              </a:ext>
            </a:extLst>
          </xdr:cNvPr>
          <xdr:cNvSpPr>
            <a:spLocks noChangeArrowheads="1"/>
          </xdr:cNvSpPr>
        </xdr:nvSpPr>
        <xdr:spPr bwMode="auto">
          <a:xfrm>
            <a:off x="522" y="114"/>
            <a:ext cx="113" cy="62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5119" name="Group 4095">
            <a:extLst>
              <a:ext uri="{FF2B5EF4-FFF2-40B4-BE49-F238E27FC236}">
                <a16:creationId xmlns:a16="http://schemas.microsoft.com/office/drawing/2014/main" id="{00000000-0008-0000-0000-0000FF130000}"/>
              </a:ext>
            </a:extLst>
          </xdr:cNvPr>
          <xdr:cNvGrpSpPr>
            <a:grpSpLocks/>
          </xdr:cNvGrpSpPr>
        </xdr:nvGrpSpPr>
        <xdr:grpSpPr bwMode="auto">
          <a:xfrm>
            <a:off x="527" y="119"/>
            <a:ext cx="45" cy="45"/>
            <a:chOff x="42" y="40"/>
            <a:chExt cx="149" cy="149"/>
          </a:xfrm>
        </xdr:grpSpPr>
        <xdr:grpSp>
          <xdr:nvGrpSpPr>
            <xdr:cNvPr id="32768" name="Group 4096">
              <a:extLst>
                <a:ext uri="{FF2B5EF4-FFF2-40B4-BE49-F238E27FC236}">
                  <a16:creationId xmlns:a16="http://schemas.microsoft.com/office/drawing/2014/main" id="{00000000-0008-0000-0000-000000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1" y="59"/>
              <a:ext cx="112" cy="113"/>
              <a:chOff x="209" y="122"/>
              <a:chExt cx="74" cy="74"/>
            </a:xfrm>
          </xdr:grpSpPr>
          <xdr:sp macro="[0]!Трубаквадрсвар" textlink="">
            <xdr:nvSpPr>
              <xdr:cNvPr id="32769" name="AutoShape 4097" descr="Светлый диагональный 2">
                <a:extLst>
                  <a:ext uri="{FF2B5EF4-FFF2-40B4-BE49-F238E27FC236}">
                    <a16:creationId xmlns:a16="http://schemas.microsoft.com/office/drawing/2014/main" id="{00000000-0008-0000-0000-0000018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09" y="122"/>
                <a:ext cx="74" cy="74"/>
              </a:xfrm>
              <a:prstGeom prst="roundRect">
                <a:avLst>
                  <a:gd name="adj" fmla="val 16667"/>
                </a:avLst>
              </a:prstGeom>
              <a:pattFill prst="ltUpDiag">
                <a:fgClr>
                  <a:srgbClr val="000000"/>
                </a:fgClr>
                <a:bgClr>
                  <a:srgbClr val="FFFFFF"/>
                </a:bgClr>
              </a:patt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Трубаквадрсвар" textlink="">
            <xdr:nvSpPr>
              <xdr:cNvPr id="32770" name="AutoShape 4098">
                <a:extLst>
                  <a:ext uri="{FF2B5EF4-FFF2-40B4-BE49-F238E27FC236}">
                    <a16:creationId xmlns:a16="http://schemas.microsoft.com/office/drawing/2014/main" id="{00000000-0008-0000-0000-0000028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9" y="132"/>
                <a:ext cx="54" cy="54"/>
              </a:xfrm>
              <a:prstGeom prst="roundRect">
                <a:avLst>
                  <a:gd name="adj" fmla="val 16667"/>
                </a:avLst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32771" name="Group 4099">
              <a:extLs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2" y="40"/>
              <a:ext cx="149" cy="149"/>
              <a:chOff x="170" y="101"/>
              <a:chExt cx="170" cy="170"/>
            </a:xfrm>
          </xdr:grpSpPr>
          <xdr:sp macro="[0]!Трубаквадрсвар" textlink="">
            <xdr:nvSpPr>
              <xdr:cNvPr id="32772" name="Line 4100">
                <a:extLst>
                  <a:ext uri="{FF2B5EF4-FFF2-40B4-BE49-F238E27FC236}">
                    <a16:creationId xmlns:a16="http://schemas.microsoft.com/office/drawing/2014/main" id="{00000000-0008-0000-0000-0000048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0" y="187"/>
                <a:ext cx="170" cy="0"/>
              </a:xfrm>
              <a:prstGeom prst="line">
                <a:avLst/>
              </a:prstGeom>
              <a:noFill/>
              <a:ln w="12700">
                <a:solidFill>
                  <a:srgbClr val="FF0000"/>
                </a:solidFill>
                <a:prstDash val="lgDash"/>
                <a:round/>
                <a:headEnd/>
                <a:tailEnd/>
              </a:ln>
            </xdr:spPr>
          </xdr:sp>
          <xdr:sp macro="[0]!Трубаквадрсвар" textlink="">
            <xdr:nvSpPr>
              <xdr:cNvPr id="32773" name="Line 4101">
                <a:extLst>
                  <a:ext uri="{FF2B5EF4-FFF2-40B4-BE49-F238E27FC236}">
                    <a16:creationId xmlns:a16="http://schemas.microsoft.com/office/drawing/2014/main" id="{00000000-0008-0000-0000-0000058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56" y="101"/>
                <a:ext cx="0" cy="170"/>
              </a:xfrm>
              <a:prstGeom prst="line">
                <a:avLst/>
              </a:prstGeom>
              <a:noFill/>
              <a:ln w="12700">
                <a:solidFill>
                  <a:srgbClr val="FF0000"/>
                </a:solidFill>
                <a:prstDash val="lgDash"/>
                <a:round/>
                <a:headEnd/>
                <a:tailEnd/>
              </a:ln>
            </xdr:spPr>
          </xdr:sp>
        </xdr:grpSp>
        <xdr:sp macro="[0]!Трубаквадрсвар" textlink="">
          <xdr:nvSpPr>
            <xdr:cNvPr id="32774" name="Rectangle 4102" descr="Светлый диагональный 1">
              <a:extLs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" y="111"/>
              <a:ext cx="14" cy="9"/>
            </a:xfrm>
            <a:prstGeom prst="rect">
              <a:avLst/>
            </a:prstGeom>
            <a:pattFill prst="ltDnDiag">
              <a:fgClr>
                <a:srgbClr val="000000"/>
              </a:fgClr>
              <a:bgClr>
                <a:srgbClr val="C0C0C0"/>
              </a:bgClr>
            </a:patt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[0]!Трубаквадрсвар" textlink="">
        <xdr:nvSpPr>
          <xdr:cNvPr id="32786" name="Text Box 4114">
            <a:extLst>
              <a:ext uri="{FF2B5EF4-FFF2-40B4-BE49-F238E27FC236}">
                <a16:creationId xmlns:a16="http://schemas.microsoft.com/office/drawing/2014/main" id="{00000000-0008-0000-0000-0000128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4" y="116"/>
            <a:ext cx="28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16</a:t>
            </a:r>
          </a:p>
        </xdr:txBody>
      </xdr:sp>
      <xdr:sp macro="[0]!Трубаквадрсвар" textlink="">
        <xdr:nvSpPr>
          <xdr:cNvPr id="32787" name="Text Box 4115">
            <a:extLst>
              <a:ext uri="{FF2B5EF4-FFF2-40B4-BE49-F238E27FC236}">
                <a16:creationId xmlns:a16="http://schemas.microsoft.com/office/drawing/2014/main" id="{00000000-0008-0000-0000-0000138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1" y="140"/>
            <a:ext cx="61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ru-RU" sz="9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Труба кв.</a:t>
            </a:r>
          </a:p>
          <a:p>
            <a:pPr algn="l" rtl="0">
              <a:defRPr sz="1000"/>
            </a:pPr>
            <a:r>
              <a:rPr lang="ru-RU" sz="9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сварная</a:t>
            </a:r>
          </a:p>
        </xdr:txBody>
      </xdr:sp>
    </xdr:grpSp>
    <xdr:clientData fPrintsWithSheet="0"/>
  </xdr:twoCellAnchor>
  <xdr:twoCellAnchor editAs="oneCell">
    <xdr:from>
      <xdr:col>9</xdr:col>
      <xdr:colOff>352425</xdr:colOff>
      <xdr:row>6</xdr:row>
      <xdr:rowOff>66675</xdr:rowOff>
    </xdr:from>
    <xdr:to>
      <xdr:col>11</xdr:col>
      <xdr:colOff>485775</xdr:colOff>
      <xdr:row>10</xdr:row>
      <xdr:rowOff>19050</xdr:rowOff>
    </xdr:to>
    <xdr:grpSp>
      <xdr:nvGrpSpPr>
        <xdr:cNvPr id="32793" name="Group 4121">
          <a:extLst>
            <a:ext uri="{FF2B5EF4-FFF2-40B4-BE49-F238E27FC236}">
              <a16:creationId xmlns:a16="http://schemas.microsoft.com/office/drawing/2014/main" id="{00000000-0008-0000-0000-000019800000}"/>
            </a:ext>
          </a:extLst>
        </xdr:cNvPr>
        <xdr:cNvGrpSpPr>
          <a:grpSpLocks/>
        </xdr:cNvGrpSpPr>
      </xdr:nvGrpSpPr>
      <xdr:grpSpPr bwMode="auto">
        <a:xfrm>
          <a:off x="5838825" y="1038225"/>
          <a:ext cx="1352550" cy="600075"/>
          <a:chOff x="558" y="178"/>
          <a:chExt cx="150" cy="64"/>
        </a:xfrm>
      </xdr:grpSpPr>
      <xdr:sp macro="[0]!Трубапрямоугсвар" textlink="">
        <xdr:nvSpPr>
          <xdr:cNvPr id="32775" name="Rectangle 4103">
            <a:extLst>
              <a:ext uri="{FF2B5EF4-FFF2-40B4-BE49-F238E27FC236}">
                <a16:creationId xmlns:a16="http://schemas.microsoft.com/office/drawing/2014/main" id="{00000000-0008-0000-0000-000007800000}"/>
              </a:ext>
            </a:extLst>
          </xdr:cNvPr>
          <xdr:cNvSpPr>
            <a:spLocks noChangeArrowheads="1"/>
          </xdr:cNvSpPr>
        </xdr:nvSpPr>
        <xdr:spPr bwMode="auto">
          <a:xfrm>
            <a:off x="558" y="178"/>
            <a:ext cx="139" cy="60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2792" name="Group 4120">
            <a:extLst>
              <a:ext uri="{FF2B5EF4-FFF2-40B4-BE49-F238E27FC236}">
                <a16:creationId xmlns:a16="http://schemas.microsoft.com/office/drawing/2014/main" id="{00000000-0008-0000-0000-000018800000}"/>
              </a:ext>
            </a:extLst>
          </xdr:cNvPr>
          <xdr:cNvGrpSpPr>
            <a:grpSpLocks/>
          </xdr:cNvGrpSpPr>
        </xdr:nvGrpSpPr>
        <xdr:grpSpPr bwMode="auto">
          <a:xfrm>
            <a:off x="562" y="183"/>
            <a:ext cx="146" cy="59"/>
            <a:chOff x="562" y="183"/>
            <a:chExt cx="146" cy="59"/>
          </a:xfrm>
        </xdr:grpSpPr>
        <xdr:grpSp>
          <xdr:nvGrpSpPr>
            <xdr:cNvPr id="32776" name="Group 4104">
              <a:extLs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62" y="183"/>
              <a:ext cx="39" cy="52"/>
              <a:chOff x="450" y="43"/>
              <a:chExt cx="170" cy="202"/>
            </a:xfrm>
          </xdr:grpSpPr>
          <xdr:grpSp>
            <xdr:nvGrpSpPr>
              <xdr:cNvPr id="32777" name="Group 4105">
                <a:extLst>
                  <a:ext uri="{FF2B5EF4-FFF2-40B4-BE49-F238E27FC236}">
                    <a16:creationId xmlns:a16="http://schemas.microsoft.com/office/drawing/2014/main" id="{00000000-0008-0000-0000-0000098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71" y="57"/>
                <a:ext cx="129" cy="169"/>
                <a:chOff x="521" y="84"/>
                <a:chExt cx="129" cy="169"/>
              </a:xfrm>
            </xdr:grpSpPr>
            <xdr:sp macro="[0]!Трубапрямоугсвар" textlink="">
              <xdr:nvSpPr>
                <xdr:cNvPr id="32778" name="AutoShape 4106" descr="Светлый диагональный 2">
                  <a:extLst>
                    <a:ext uri="{FF2B5EF4-FFF2-40B4-BE49-F238E27FC236}">
                      <a16:creationId xmlns:a16="http://schemas.microsoft.com/office/drawing/2014/main" id="{00000000-0008-0000-0000-00000A8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521" y="84"/>
                  <a:ext cx="129" cy="169"/>
                </a:xfrm>
                <a:prstGeom prst="roundRect">
                  <a:avLst>
                    <a:gd name="adj" fmla="val 16667"/>
                  </a:avLst>
                </a:prstGeom>
                <a:pattFill prst="ltUpDiag">
                  <a:fgClr>
                    <a:srgbClr val="000000"/>
                  </a:fgClr>
                  <a:bgClr>
                    <a:srgbClr val="FFFFFF"/>
                  </a:bgClr>
                </a:patt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Трубапрямоугсвар" textlink="">
              <xdr:nvSpPr>
                <xdr:cNvPr id="32779" name="AutoShape 4107">
                  <a:extLst>
                    <a:ext uri="{FF2B5EF4-FFF2-40B4-BE49-F238E27FC236}">
                      <a16:creationId xmlns:a16="http://schemas.microsoft.com/office/drawing/2014/main" id="{00000000-0008-0000-0000-00000B8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538" y="101"/>
                  <a:ext cx="95" cy="136"/>
                </a:xfrm>
                <a:prstGeom prst="roundRect">
                  <a:avLst>
                    <a:gd name="adj" fmla="val 16667"/>
                  </a:avLst>
                </a:pr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sp macro="[0]!Трубапрямоугсвар" textlink="">
            <xdr:nvSpPr>
              <xdr:cNvPr id="32780" name="Rectangle 4108" descr="Светлый диагональный 1">
                <a:extLst>
                  <a:ext uri="{FF2B5EF4-FFF2-40B4-BE49-F238E27FC236}">
                    <a16:creationId xmlns:a16="http://schemas.microsoft.com/office/drawing/2014/main" id="{00000000-0008-0000-0000-00000C8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71" y="136"/>
                <a:ext cx="16" cy="10"/>
              </a:xfrm>
              <a:prstGeom prst="rect">
                <a:avLst/>
              </a:prstGeom>
              <a:pattFill prst="ltDnDiag">
                <a:fgClr>
                  <a:srgbClr val="000000"/>
                </a:fgClr>
                <a:bgClr>
                  <a:srgbClr val="C0C0C0"/>
                </a:bgClr>
              </a:patt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grpSp>
            <xdr:nvGrpSpPr>
              <xdr:cNvPr id="32781" name="Group 4109">
                <a:extLst>
                  <a:ext uri="{FF2B5EF4-FFF2-40B4-BE49-F238E27FC236}">
                    <a16:creationId xmlns:a16="http://schemas.microsoft.com/office/drawing/2014/main" id="{00000000-0008-0000-0000-00000D8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50" y="43"/>
                <a:ext cx="170" cy="202"/>
                <a:chOff x="500" y="47"/>
                <a:chExt cx="170" cy="202"/>
              </a:xfrm>
            </xdr:grpSpPr>
            <xdr:sp macro="[0]!Трубапрямоугсвар" textlink="">
              <xdr:nvSpPr>
                <xdr:cNvPr id="32782" name="Line 4110">
                  <a:extLst>
                    <a:ext uri="{FF2B5EF4-FFF2-40B4-BE49-F238E27FC236}">
                      <a16:creationId xmlns:a16="http://schemas.microsoft.com/office/drawing/2014/main" id="{00000000-0008-0000-0000-00000E8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500" y="145"/>
                  <a:ext cx="170" cy="0"/>
                </a:xfrm>
                <a:prstGeom prst="line">
                  <a:avLst/>
                </a:prstGeom>
                <a:noFill/>
                <a:ln w="12700">
                  <a:solidFill>
                    <a:srgbClr val="FF0000"/>
                  </a:solidFill>
                  <a:prstDash val="lgDash"/>
                  <a:round/>
                  <a:headEnd/>
                  <a:tailEnd/>
                </a:ln>
              </xdr:spPr>
            </xdr:sp>
            <xdr:sp macro="[0]!Трубапрямоугсвар" textlink="">
              <xdr:nvSpPr>
                <xdr:cNvPr id="32783" name="Line 4111">
                  <a:extLst>
                    <a:ext uri="{FF2B5EF4-FFF2-40B4-BE49-F238E27FC236}">
                      <a16:creationId xmlns:a16="http://schemas.microsoft.com/office/drawing/2014/main" id="{00000000-0008-0000-0000-00000F8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586" y="47"/>
                  <a:ext cx="0" cy="202"/>
                </a:xfrm>
                <a:prstGeom prst="line">
                  <a:avLst/>
                </a:prstGeom>
                <a:noFill/>
                <a:ln w="12700">
                  <a:solidFill>
                    <a:srgbClr val="FF0000"/>
                  </a:solidFill>
                  <a:prstDash val="lgDash"/>
                  <a:round/>
                  <a:headEnd/>
                  <a:tailEnd/>
                </a:ln>
              </xdr:spPr>
            </xdr:sp>
          </xdr:grpSp>
        </xdr:grpSp>
        <xdr:sp macro="[0]!Трубапрямоугсвар" textlink="">
          <xdr:nvSpPr>
            <xdr:cNvPr id="32790" name="Text Box 4118">
              <a:extLst>
                <a:ext uri="{FF2B5EF4-FFF2-40B4-BE49-F238E27FC236}">
                  <a16:creationId xmlns:a16="http://schemas.microsoft.com/office/drawing/2014/main" id="{00000000-0008-0000-0000-0000168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63" y="183"/>
              <a:ext cx="29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17</a:t>
              </a:r>
            </a:p>
          </xdr:txBody>
        </xdr:sp>
        <xdr:sp macro="[0]!Трубапрямоугсвар" textlink="">
          <xdr:nvSpPr>
            <xdr:cNvPr id="32791" name="Text Box 4119">
              <a:extLst>
                <a:ext uri="{FF2B5EF4-FFF2-40B4-BE49-F238E27FC236}">
                  <a16:creationId xmlns:a16="http://schemas.microsoft.com/office/drawing/2014/main" id="{00000000-0008-0000-0000-0000178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07" y="205"/>
              <a:ext cx="102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Труба прямоуг.</a:t>
              </a:r>
            </a:p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сварная</a:t>
              </a:r>
            </a:p>
          </xdr:txBody>
        </xdr:sp>
      </xdr:grpSp>
    </xdr:grpSp>
    <xdr:clientData fPrintsWithSheet="0"/>
  </xdr:twoCellAnchor>
  <xdr:twoCellAnchor editAs="oneCell">
    <xdr:from>
      <xdr:col>0</xdr:col>
      <xdr:colOff>85725</xdr:colOff>
      <xdr:row>11</xdr:row>
      <xdr:rowOff>28575</xdr:rowOff>
    </xdr:from>
    <xdr:to>
      <xdr:col>2</xdr:col>
      <xdr:colOff>38100</xdr:colOff>
      <xdr:row>15</xdr:row>
      <xdr:rowOff>0</xdr:rowOff>
    </xdr:to>
    <xdr:grpSp>
      <xdr:nvGrpSpPr>
        <xdr:cNvPr id="33137" name="Group 4465">
          <a:extLst>
            <a:ext uri="{FF2B5EF4-FFF2-40B4-BE49-F238E27FC236}">
              <a16:creationId xmlns:a16="http://schemas.microsoft.com/office/drawing/2014/main" id="{00000000-0008-0000-0000-000071810000}"/>
            </a:ext>
          </a:extLst>
        </xdr:cNvPr>
        <xdr:cNvGrpSpPr>
          <a:grpSpLocks/>
        </xdr:cNvGrpSpPr>
      </xdr:nvGrpSpPr>
      <xdr:grpSpPr bwMode="auto">
        <a:xfrm>
          <a:off x="85725" y="1809750"/>
          <a:ext cx="1171575" cy="619125"/>
          <a:chOff x="9" y="181"/>
          <a:chExt cx="123" cy="60"/>
        </a:xfrm>
      </xdr:grpSpPr>
      <xdr:sp macro="[0]!Трубквадр" textlink="">
        <xdr:nvSpPr>
          <xdr:cNvPr id="32796" name="Rectangle 4124">
            <a:extLst>
              <a:ext uri="{FF2B5EF4-FFF2-40B4-BE49-F238E27FC236}">
                <a16:creationId xmlns:a16="http://schemas.microsoft.com/office/drawing/2014/main" id="{00000000-0008-0000-0000-00001C800000}"/>
              </a:ext>
            </a:extLst>
          </xdr:cNvPr>
          <xdr:cNvSpPr>
            <a:spLocks noChangeArrowheads="1"/>
          </xdr:cNvSpPr>
        </xdr:nvSpPr>
        <xdr:spPr bwMode="auto">
          <a:xfrm>
            <a:off x="9" y="181"/>
            <a:ext cx="120" cy="60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2851" name="Group 4179">
            <a:extLst>
              <a:ext uri="{FF2B5EF4-FFF2-40B4-BE49-F238E27FC236}">
                <a16:creationId xmlns:a16="http://schemas.microsoft.com/office/drawing/2014/main" id="{00000000-0008-0000-0000-000053800000}"/>
              </a:ext>
            </a:extLst>
          </xdr:cNvPr>
          <xdr:cNvGrpSpPr>
            <a:grpSpLocks/>
          </xdr:cNvGrpSpPr>
        </xdr:nvGrpSpPr>
        <xdr:grpSpPr bwMode="auto">
          <a:xfrm>
            <a:off x="14" y="183"/>
            <a:ext cx="45" cy="43"/>
            <a:chOff x="353" y="190"/>
            <a:chExt cx="112" cy="107"/>
          </a:xfrm>
        </xdr:grpSpPr>
        <xdr:grpSp>
          <xdr:nvGrpSpPr>
            <xdr:cNvPr id="32797" name="Group 4125">
              <a:extLst>
                <a:ext uri="{FF2B5EF4-FFF2-40B4-BE49-F238E27FC236}">
                  <a16:creationId xmlns:a16="http://schemas.microsoft.com/office/drawing/2014/main" id="{00000000-0008-0000-0000-00001D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7" y="203"/>
              <a:ext cx="85" cy="81"/>
              <a:chOff x="209" y="122"/>
              <a:chExt cx="74" cy="74"/>
            </a:xfrm>
          </xdr:grpSpPr>
          <xdr:sp macro="[0]!Трубквадр" textlink="">
            <xdr:nvSpPr>
              <xdr:cNvPr id="32798" name="AutoShape 4126" descr="Светлый диагональный 2">
                <a:extLst>
                  <a:ext uri="{FF2B5EF4-FFF2-40B4-BE49-F238E27FC236}">
                    <a16:creationId xmlns:a16="http://schemas.microsoft.com/office/drawing/2014/main" id="{00000000-0008-0000-0000-00001E8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09" y="122"/>
                <a:ext cx="74" cy="74"/>
              </a:xfrm>
              <a:prstGeom prst="roundRect">
                <a:avLst>
                  <a:gd name="adj" fmla="val 16667"/>
                </a:avLst>
              </a:prstGeom>
              <a:pattFill prst="ltUpDiag">
                <a:fgClr>
                  <a:srgbClr val="000000"/>
                </a:fgClr>
                <a:bgClr>
                  <a:srgbClr val="FFFFFF"/>
                </a:bgClr>
              </a:patt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Трубквадр" textlink="">
            <xdr:nvSpPr>
              <xdr:cNvPr id="32799" name="AutoShape 4127">
                <a:extLst>
                  <a:ext uri="{FF2B5EF4-FFF2-40B4-BE49-F238E27FC236}">
                    <a16:creationId xmlns:a16="http://schemas.microsoft.com/office/drawing/2014/main" id="{00000000-0008-0000-0000-00001F8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9" y="132"/>
                <a:ext cx="54" cy="54"/>
              </a:xfrm>
              <a:prstGeom prst="roundRect">
                <a:avLst>
                  <a:gd name="adj" fmla="val 16667"/>
                </a:avLst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32804" name="Group 4132">
              <a:extLst>
                <a:ext uri="{FF2B5EF4-FFF2-40B4-BE49-F238E27FC236}">
                  <a16:creationId xmlns:a16="http://schemas.microsoft.com/office/drawing/2014/main" id="{00000000-0008-0000-0000-000024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53" y="190"/>
              <a:ext cx="112" cy="107"/>
              <a:chOff x="170" y="101"/>
              <a:chExt cx="170" cy="170"/>
            </a:xfrm>
          </xdr:grpSpPr>
          <xdr:sp macro="[0]!Трубквадр" textlink="">
            <xdr:nvSpPr>
              <xdr:cNvPr id="32805" name="Line 4133">
                <a:extLst>
                  <a:ext uri="{FF2B5EF4-FFF2-40B4-BE49-F238E27FC236}">
                    <a16:creationId xmlns:a16="http://schemas.microsoft.com/office/drawing/2014/main" id="{00000000-0008-0000-0000-0000258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0" y="187"/>
                <a:ext cx="170" cy="0"/>
              </a:xfrm>
              <a:prstGeom prst="line">
                <a:avLst/>
              </a:prstGeom>
              <a:noFill/>
              <a:ln w="12700">
                <a:solidFill>
                  <a:srgbClr val="FF0000"/>
                </a:solidFill>
                <a:prstDash val="lgDash"/>
                <a:round/>
                <a:headEnd/>
                <a:tailEnd/>
              </a:ln>
            </xdr:spPr>
          </xdr:sp>
          <xdr:sp macro="[0]!Трубквадр" textlink="">
            <xdr:nvSpPr>
              <xdr:cNvPr id="32806" name="Line 4134">
                <a:extLst>
                  <a:ext uri="{FF2B5EF4-FFF2-40B4-BE49-F238E27FC236}">
                    <a16:creationId xmlns:a16="http://schemas.microsoft.com/office/drawing/2014/main" id="{00000000-0008-0000-0000-0000268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56" y="101"/>
                <a:ext cx="0" cy="170"/>
              </a:xfrm>
              <a:prstGeom prst="line">
                <a:avLst/>
              </a:prstGeom>
              <a:noFill/>
              <a:ln w="12700">
                <a:solidFill>
                  <a:srgbClr val="FF0000"/>
                </a:solidFill>
                <a:prstDash val="lgDash"/>
                <a:round/>
                <a:headEnd/>
                <a:tailEnd/>
              </a:ln>
            </xdr:spPr>
          </xdr:sp>
        </xdr:grpSp>
      </xdr:grpSp>
      <xdr:sp macro="[0]!Трубквадр" textlink="">
        <xdr:nvSpPr>
          <xdr:cNvPr id="32852" name="Text Box 4180">
            <a:extLst>
              <a:ext uri="{FF2B5EF4-FFF2-40B4-BE49-F238E27FC236}">
                <a16:creationId xmlns:a16="http://schemas.microsoft.com/office/drawing/2014/main" id="{00000000-0008-0000-0000-0000548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" y="206"/>
            <a:ext cx="76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ru-RU" sz="9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Труба</a:t>
            </a:r>
          </a:p>
          <a:p>
            <a:pPr algn="ctr" rtl="0">
              <a:defRPr sz="1000"/>
            </a:pPr>
            <a:r>
              <a:rPr lang="ru-RU" sz="9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квадратная</a:t>
            </a:r>
          </a:p>
        </xdr:txBody>
      </xdr:sp>
      <xdr:sp macro="[0]!Трубквадр" textlink="">
        <xdr:nvSpPr>
          <xdr:cNvPr id="32853" name="Text Box 4181">
            <a:extLst>
              <a:ext uri="{FF2B5EF4-FFF2-40B4-BE49-F238E27FC236}">
                <a16:creationId xmlns:a16="http://schemas.microsoft.com/office/drawing/2014/main" id="{00000000-0008-0000-0000-0000558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187"/>
            <a:ext cx="28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18</a:t>
            </a:r>
          </a:p>
        </xdr:txBody>
      </xdr:sp>
    </xdr:grpSp>
    <xdr:clientData fPrintsWithSheet="0"/>
  </xdr:twoCellAnchor>
  <xdr:twoCellAnchor editAs="oneCell">
    <xdr:from>
      <xdr:col>2</xdr:col>
      <xdr:colOff>95250</xdr:colOff>
      <xdr:row>11</xdr:row>
      <xdr:rowOff>28575</xdr:rowOff>
    </xdr:from>
    <xdr:to>
      <xdr:col>4</xdr:col>
      <xdr:colOff>333375</xdr:colOff>
      <xdr:row>15</xdr:row>
      <xdr:rowOff>9525</xdr:rowOff>
    </xdr:to>
    <xdr:grpSp>
      <xdr:nvGrpSpPr>
        <xdr:cNvPr id="33138" name="Group 4466">
          <a:extLst>
            <a:ext uri="{FF2B5EF4-FFF2-40B4-BE49-F238E27FC236}">
              <a16:creationId xmlns:a16="http://schemas.microsoft.com/office/drawing/2014/main" id="{00000000-0008-0000-0000-000072810000}"/>
            </a:ext>
          </a:extLst>
        </xdr:cNvPr>
        <xdr:cNvGrpSpPr>
          <a:grpSpLocks/>
        </xdr:cNvGrpSpPr>
      </xdr:nvGrpSpPr>
      <xdr:grpSpPr bwMode="auto">
        <a:xfrm>
          <a:off x="1314450" y="1809750"/>
          <a:ext cx="1457325" cy="628650"/>
          <a:chOff x="138" y="182"/>
          <a:chExt cx="153" cy="56"/>
        </a:xfrm>
      </xdr:grpSpPr>
      <xdr:sp macro="[0]!Трубпрямоуг" textlink="">
        <xdr:nvSpPr>
          <xdr:cNvPr id="32856" name="Rectangle 4184">
            <a:extLst>
              <a:ext uri="{FF2B5EF4-FFF2-40B4-BE49-F238E27FC236}">
                <a16:creationId xmlns:a16="http://schemas.microsoft.com/office/drawing/2014/main" id="{00000000-0008-0000-0000-0000588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2"/>
            <a:ext cx="153" cy="56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2917" name="Group 4245">
            <a:extLst>
              <a:ext uri="{FF2B5EF4-FFF2-40B4-BE49-F238E27FC236}">
                <a16:creationId xmlns:a16="http://schemas.microsoft.com/office/drawing/2014/main" id="{00000000-0008-0000-0000-000095800000}"/>
              </a:ext>
            </a:extLst>
          </xdr:cNvPr>
          <xdr:cNvGrpSpPr>
            <a:grpSpLocks/>
          </xdr:cNvGrpSpPr>
        </xdr:nvGrpSpPr>
        <xdr:grpSpPr bwMode="auto">
          <a:xfrm>
            <a:off x="140" y="185"/>
            <a:ext cx="67" cy="38"/>
            <a:chOff x="395" y="192"/>
            <a:chExt cx="131" cy="101"/>
          </a:xfrm>
        </xdr:grpSpPr>
        <xdr:grpSp>
          <xdr:nvGrpSpPr>
            <xdr:cNvPr id="32858" name="Group 4186">
              <a:extLst>
                <a:ext uri="{FF2B5EF4-FFF2-40B4-BE49-F238E27FC236}">
                  <a16:creationId xmlns:a16="http://schemas.microsoft.com/office/drawing/2014/main" id="{00000000-0008-0000-0000-00005A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11" y="210"/>
              <a:ext cx="100" cy="70"/>
              <a:chOff x="53" y="39"/>
              <a:chExt cx="119" cy="70"/>
            </a:xfrm>
          </xdr:grpSpPr>
          <xdr:sp macro="[0]!Трубпрямоуг" textlink="">
            <xdr:nvSpPr>
              <xdr:cNvPr id="32859" name="AutoShape 4187" descr="Светлый диагональный 2">
                <a:extLst>
                  <a:ext uri="{FF2B5EF4-FFF2-40B4-BE49-F238E27FC236}">
                    <a16:creationId xmlns:a16="http://schemas.microsoft.com/office/drawing/2014/main" id="{00000000-0008-0000-0000-00005B8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53" y="39"/>
                <a:ext cx="119" cy="70"/>
              </a:xfrm>
              <a:prstGeom prst="roundRect">
                <a:avLst>
                  <a:gd name="adj" fmla="val 16667"/>
                </a:avLst>
              </a:prstGeom>
              <a:pattFill prst="ltUpDiag">
                <a:fgClr>
                  <a:srgbClr val="000000"/>
                </a:fgClr>
                <a:bgClr>
                  <a:srgbClr val="FFFFFF"/>
                </a:bgClr>
              </a:patt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Трубпрямоуг" textlink="">
            <xdr:nvSpPr>
              <xdr:cNvPr id="32860" name="AutoShape 4188">
                <a:extLst>
                  <a:ext uri="{FF2B5EF4-FFF2-40B4-BE49-F238E27FC236}">
                    <a16:creationId xmlns:a16="http://schemas.microsoft.com/office/drawing/2014/main" id="{00000000-0008-0000-0000-00005C8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62" y="46"/>
                <a:ext cx="102" cy="56"/>
              </a:xfrm>
              <a:prstGeom prst="roundRect">
                <a:avLst>
                  <a:gd name="adj" fmla="val 16667"/>
                </a:avLst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32861" name="Group 4189">
              <a:extLst>
                <a:ext uri="{FF2B5EF4-FFF2-40B4-BE49-F238E27FC236}">
                  <a16:creationId xmlns:a16="http://schemas.microsoft.com/office/drawing/2014/main" id="{00000000-0008-0000-0000-00005D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95" y="192"/>
              <a:ext cx="131" cy="101"/>
              <a:chOff x="34" y="37"/>
              <a:chExt cx="156" cy="101"/>
            </a:xfrm>
          </xdr:grpSpPr>
          <xdr:sp macro="[0]!Трубпрямоуг" textlink="">
            <xdr:nvSpPr>
              <xdr:cNvPr id="32862" name="Line 4190">
                <a:extLst>
                  <a:ext uri="{FF2B5EF4-FFF2-40B4-BE49-F238E27FC236}">
                    <a16:creationId xmlns:a16="http://schemas.microsoft.com/office/drawing/2014/main" id="{00000000-0008-0000-0000-00005E8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4" y="90"/>
                <a:ext cx="156" cy="0"/>
              </a:xfrm>
              <a:prstGeom prst="line">
                <a:avLst/>
              </a:prstGeom>
              <a:noFill/>
              <a:ln w="12700">
                <a:solidFill>
                  <a:srgbClr val="FF0000"/>
                </a:solidFill>
                <a:prstDash val="lgDash"/>
                <a:round/>
                <a:headEnd/>
                <a:tailEnd/>
              </a:ln>
            </xdr:spPr>
          </xdr:sp>
          <xdr:sp macro="[0]!Трубпрямоуг" textlink="">
            <xdr:nvSpPr>
              <xdr:cNvPr id="32863" name="Line 4191">
                <a:extLst>
                  <a:ext uri="{FF2B5EF4-FFF2-40B4-BE49-F238E27FC236}">
                    <a16:creationId xmlns:a16="http://schemas.microsoft.com/office/drawing/2014/main" id="{00000000-0008-0000-0000-00005F8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3" y="37"/>
                <a:ext cx="0" cy="101"/>
              </a:xfrm>
              <a:prstGeom prst="line">
                <a:avLst/>
              </a:prstGeom>
              <a:noFill/>
              <a:ln w="12700">
                <a:solidFill>
                  <a:srgbClr val="FF0000"/>
                </a:solidFill>
                <a:prstDash val="lgDash"/>
                <a:round/>
                <a:headEnd/>
                <a:tailEnd/>
              </a:ln>
            </xdr:spPr>
          </xdr:sp>
        </xdr:grpSp>
      </xdr:grpSp>
      <xdr:sp macro="[0]!Трубпрямоуг" textlink="">
        <xdr:nvSpPr>
          <xdr:cNvPr id="32918" name="Text Box 4246">
            <a:extLst>
              <a:ext uri="{FF2B5EF4-FFF2-40B4-BE49-F238E27FC236}">
                <a16:creationId xmlns:a16="http://schemas.microsoft.com/office/drawing/2014/main" id="{00000000-0008-0000-0000-0000968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60" y="184"/>
            <a:ext cx="28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19</a:t>
            </a:r>
          </a:p>
        </xdr:txBody>
      </xdr:sp>
      <xdr:sp macro="[0]!Трубпрямоуг" textlink="">
        <xdr:nvSpPr>
          <xdr:cNvPr id="32919" name="Text Box 4247">
            <a:extLst>
              <a:ext uri="{FF2B5EF4-FFF2-40B4-BE49-F238E27FC236}">
                <a16:creationId xmlns:a16="http://schemas.microsoft.com/office/drawing/2014/main" id="{00000000-0008-0000-0000-0000978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2" y="199"/>
            <a:ext cx="98" cy="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ru-RU" sz="9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Труба</a:t>
            </a:r>
          </a:p>
          <a:p>
            <a:pPr algn="ctr" rtl="0">
              <a:defRPr sz="1000"/>
            </a:pPr>
            <a:r>
              <a:rPr lang="ru-RU" sz="9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прямоугольная</a:t>
            </a:r>
          </a:p>
        </xdr:txBody>
      </xdr:sp>
    </xdr:grpSp>
    <xdr:clientData fPrintsWithSheet="0"/>
  </xdr:twoCellAnchor>
  <xdr:twoCellAnchor editAs="oneCell">
    <xdr:from>
      <xdr:col>7</xdr:col>
      <xdr:colOff>400050</xdr:colOff>
      <xdr:row>11</xdr:row>
      <xdr:rowOff>47625</xdr:rowOff>
    </xdr:from>
    <xdr:to>
      <xdr:col>9</xdr:col>
      <xdr:colOff>285750</xdr:colOff>
      <xdr:row>16</xdr:row>
      <xdr:rowOff>47625</xdr:rowOff>
    </xdr:to>
    <xdr:grpSp>
      <xdr:nvGrpSpPr>
        <xdr:cNvPr id="33198" name="Group 4526">
          <a:extLst>
            <a:ext uri="{FF2B5EF4-FFF2-40B4-BE49-F238E27FC236}">
              <a16:creationId xmlns:a16="http://schemas.microsoft.com/office/drawing/2014/main" id="{00000000-0008-0000-0000-0000AE810000}"/>
            </a:ext>
          </a:extLst>
        </xdr:cNvPr>
        <xdr:cNvGrpSpPr>
          <a:grpSpLocks/>
        </xdr:cNvGrpSpPr>
      </xdr:nvGrpSpPr>
      <xdr:grpSpPr bwMode="auto">
        <a:xfrm>
          <a:off x="4667250" y="1828800"/>
          <a:ext cx="1104900" cy="809625"/>
          <a:chOff x="495" y="178"/>
          <a:chExt cx="116" cy="85"/>
        </a:xfrm>
      </xdr:grpSpPr>
      <xdr:sp macro="[0]!Арматура1" textlink="">
        <xdr:nvSpPr>
          <xdr:cNvPr id="33048" name="Rectangle 4376">
            <a:extLst>
              <a:ext uri="{FF2B5EF4-FFF2-40B4-BE49-F238E27FC236}">
                <a16:creationId xmlns:a16="http://schemas.microsoft.com/office/drawing/2014/main" id="{00000000-0008-0000-0000-000018810000}"/>
              </a:ext>
            </a:extLst>
          </xdr:cNvPr>
          <xdr:cNvSpPr>
            <a:spLocks noChangeArrowheads="1"/>
          </xdr:cNvSpPr>
        </xdr:nvSpPr>
        <xdr:spPr bwMode="auto">
          <a:xfrm>
            <a:off x="495" y="178"/>
            <a:ext cx="114" cy="8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  <a:effectLst/>
          <a:scene3d>
            <a:camera prst="legacyObliqueTopRight"/>
            <a:lightRig rig="legacyFlat1" dir="t"/>
          </a:scene3d>
          <a:sp3d extrusionH="227000" prstMaterial="legacyMatte">
            <a:bevelT w="13500" h="13500" prst="angle"/>
            <a:bevelB w="13500" h="13500" prst="angle"/>
            <a:extrusionClr>
              <a:srgbClr val="FFFFFF"/>
            </a:extrusionClr>
          </a:sp3d>
        </xdr:spPr>
      </xdr:sp>
      <xdr:grpSp>
        <xdr:nvGrpSpPr>
          <xdr:cNvPr id="32923" name="Group 4251">
            <a:extLst>
              <a:ext uri="{FF2B5EF4-FFF2-40B4-BE49-F238E27FC236}">
                <a16:creationId xmlns:a16="http://schemas.microsoft.com/office/drawing/2014/main" id="{00000000-0008-0000-0000-00009B800000}"/>
              </a:ext>
            </a:extLst>
          </xdr:cNvPr>
          <xdr:cNvGrpSpPr>
            <a:grpSpLocks/>
          </xdr:cNvGrpSpPr>
        </xdr:nvGrpSpPr>
        <xdr:grpSpPr bwMode="auto">
          <a:xfrm>
            <a:off x="497" y="185"/>
            <a:ext cx="81" cy="26"/>
            <a:chOff x="399" y="65"/>
            <a:chExt cx="334" cy="103"/>
          </a:xfrm>
        </xdr:grpSpPr>
        <xdr:grpSp>
          <xdr:nvGrpSpPr>
            <xdr:cNvPr id="32924" name="Group 4252">
              <a:extLst>
                <a:ext uri="{FF2B5EF4-FFF2-40B4-BE49-F238E27FC236}">
                  <a16:creationId xmlns:a16="http://schemas.microsoft.com/office/drawing/2014/main" id="{00000000-0008-0000-0000-00009C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03" y="65"/>
              <a:ext cx="314" cy="103"/>
              <a:chOff x="425" y="52"/>
              <a:chExt cx="314" cy="103"/>
            </a:xfrm>
          </xdr:grpSpPr>
          <xdr:sp macro="[0]!Арматура1" textlink="">
            <xdr:nvSpPr>
              <xdr:cNvPr id="32925" name="Freeform 4253">
                <a:extLst>
                  <a:ext uri="{FF2B5EF4-FFF2-40B4-BE49-F238E27FC236}">
                    <a16:creationId xmlns:a16="http://schemas.microsoft.com/office/drawing/2014/main" id="{00000000-0008-0000-0000-00009D8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5" y="52"/>
                <a:ext cx="304" cy="103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296" y="0"/>
                  </a:cxn>
                  <a:cxn ang="0">
                    <a:pos x="296" y="22"/>
                  </a:cxn>
                  <a:cxn ang="0">
                    <a:pos x="290" y="40"/>
                  </a:cxn>
                  <a:cxn ang="0">
                    <a:pos x="297" y="54"/>
                  </a:cxn>
                  <a:cxn ang="0">
                    <a:pos x="304" y="71"/>
                  </a:cxn>
                  <a:cxn ang="0">
                    <a:pos x="301" y="83"/>
                  </a:cxn>
                  <a:cxn ang="0">
                    <a:pos x="294" y="91"/>
                  </a:cxn>
                  <a:cxn ang="0">
                    <a:pos x="294" y="103"/>
                  </a:cxn>
                  <a:cxn ang="0">
                    <a:pos x="6" y="103"/>
                  </a:cxn>
                  <a:cxn ang="0">
                    <a:pos x="6" y="89"/>
                  </a:cxn>
                  <a:cxn ang="0">
                    <a:pos x="8" y="80"/>
                  </a:cxn>
                  <a:cxn ang="0">
                    <a:pos x="12" y="69"/>
                  </a:cxn>
                  <a:cxn ang="0">
                    <a:pos x="1" y="59"/>
                  </a:cxn>
                  <a:cxn ang="0">
                    <a:pos x="1" y="39"/>
                  </a:cxn>
                  <a:cxn ang="0">
                    <a:pos x="0" y="23"/>
                  </a:cxn>
                  <a:cxn ang="0">
                    <a:pos x="0" y="10"/>
                  </a:cxn>
                  <a:cxn ang="0">
                    <a:pos x="0" y="0"/>
                  </a:cxn>
                </a:cxnLst>
                <a:rect l="0" t="0" r="r" b="b"/>
                <a:pathLst>
                  <a:path w="304" h="103">
                    <a:moveTo>
                      <a:pt x="0" y="0"/>
                    </a:moveTo>
                    <a:cubicBezTo>
                      <a:pt x="10" y="0"/>
                      <a:pt x="295" y="0"/>
                      <a:pt x="296" y="0"/>
                    </a:cubicBezTo>
                    <a:cubicBezTo>
                      <a:pt x="296" y="19"/>
                      <a:pt x="296" y="11"/>
                      <a:pt x="296" y="22"/>
                    </a:cubicBezTo>
                    <a:cubicBezTo>
                      <a:pt x="297" y="29"/>
                      <a:pt x="293" y="27"/>
                      <a:pt x="290" y="40"/>
                    </a:cubicBezTo>
                    <a:cubicBezTo>
                      <a:pt x="292" y="45"/>
                      <a:pt x="291" y="45"/>
                      <a:pt x="297" y="54"/>
                    </a:cubicBezTo>
                    <a:cubicBezTo>
                      <a:pt x="297" y="60"/>
                      <a:pt x="304" y="55"/>
                      <a:pt x="304" y="71"/>
                    </a:cubicBezTo>
                    <a:cubicBezTo>
                      <a:pt x="300" y="79"/>
                      <a:pt x="300" y="76"/>
                      <a:pt x="301" y="83"/>
                    </a:cubicBezTo>
                    <a:cubicBezTo>
                      <a:pt x="292" y="89"/>
                      <a:pt x="292" y="83"/>
                      <a:pt x="294" y="91"/>
                    </a:cubicBezTo>
                    <a:cubicBezTo>
                      <a:pt x="293" y="99"/>
                      <a:pt x="294" y="93"/>
                      <a:pt x="294" y="103"/>
                    </a:cubicBezTo>
                    <a:cubicBezTo>
                      <a:pt x="272" y="103"/>
                      <a:pt x="56" y="103"/>
                      <a:pt x="6" y="103"/>
                    </a:cubicBezTo>
                    <a:cubicBezTo>
                      <a:pt x="6" y="93"/>
                      <a:pt x="6" y="93"/>
                      <a:pt x="6" y="89"/>
                    </a:cubicBezTo>
                    <a:cubicBezTo>
                      <a:pt x="6" y="85"/>
                      <a:pt x="7" y="83"/>
                      <a:pt x="8" y="80"/>
                    </a:cubicBezTo>
                    <a:cubicBezTo>
                      <a:pt x="12" y="74"/>
                      <a:pt x="9" y="75"/>
                      <a:pt x="12" y="69"/>
                    </a:cubicBezTo>
                    <a:cubicBezTo>
                      <a:pt x="18" y="59"/>
                      <a:pt x="1" y="59"/>
                      <a:pt x="1" y="59"/>
                    </a:cubicBezTo>
                    <a:cubicBezTo>
                      <a:pt x="1" y="49"/>
                      <a:pt x="9" y="44"/>
                      <a:pt x="1" y="39"/>
                    </a:cubicBezTo>
                    <a:cubicBezTo>
                      <a:pt x="0" y="31"/>
                      <a:pt x="4" y="25"/>
                      <a:pt x="0" y="23"/>
                    </a:cubicBezTo>
                    <a:cubicBezTo>
                      <a:pt x="0" y="16"/>
                      <a:pt x="0" y="10"/>
                      <a:pt x="0" y="10"/>
                    </a:cubicBezTo>
                    <a:cubicBezTo>
                      <a:pt x="0" y="6"/>
                      <a:pt x="0" y="0"/>
                      <a:pt x="0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w="9525" cap="flat" cmpd="sng">
                <a:noFill/>
                <a:prstDash val="solid"/>
                <a:round/>
                <a:headEnd/>
                <a:tailEnd/>
              </a:ln>
            </xdr:spPr>
          </xdr:sp>
          <xdr:grpSp>
            <xdr:nvGrpSpPr>
              <xdr:cNvPr id="32926" name="Group 4254">
                <a:extLst>
                  <a:ext uri="{FF2B5EF4-FFF2-40B4-BE49-F238E27FC236}">
                    <a16:creationId xmlns:a16="http://schemas.microsoft.com/office/drawing/2014/main" id="{00000000-0008-0000-0000-00009E8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25" y="52"/>
                <a:ext cx="313" cy="102"/>
                <a:chOff x="425" y="52"/>
                <a:chExt cx="313" cy="102"/>
              </a:xfrm>
            </xdr:grpSpPr>
            <xdr:grpSp>
              <xdr:nvGrpSpPr>
                <xdr:cNvPr id="32927" name="Group 4255">
                  <a:extLst>
                    <a:ext uri="{FF2B5EF4-FFF2-40B4-BE49-F238E27FC236}">
                      <a16:creationId xmlns:a16="http://schemas.microsoft.com/office/drawing/2014/main" id="{00000000-0008-0000-0000-00009F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35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28" name="Arc 4256">
                    <a:extLst>
                      <a:ext uri="{FF2B5EF4-FFF2-40B4-BE49-F238E27FC236}">
                        <a16:creationId xmlns:a16="http://schemas.microsoft.com/office/drawing/2014/main" id="{00000000-0008-0000-0000-0000A0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29" name="Arc 4257">
                    <a:extLst>
                      <a:ext uri="{FF2B5EF4-FFF2-40B4-BE49-F238E27FC236}">
                        <a16:creationId xmlns:a16="http://schemas.microsoft.com/office/drawing/2014/main" id="{00000000-0008-0000-0000-0000A1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30" name="Arc 4258">
                    <a:extLst>
                      <a:ext uri="{FF2B5EF4-FFF2-40B4-BE49-F238E27FC236}">
                        <a16:creationId xmlns:a16="http://schemas.microsoft.com/office/drawing/2014/main" id="{00000000-0008-0000-0000-0000A2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31" name="Group 4259">
                  <a:extLst>
                    <a:ext uri="{FF2B5EF4-FFF2-40B4-BE49-F238E27FC236}">
                      <a16:creationId xmlns:a16="http://schemas.microsoft.com/office/drawing/2014/main" id="{00000000-0008-0000-0000-0000A3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83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32" name="Arc 4260">
                    <a:extLst>
                      <a:ext uri="{FF2B5EF4-FFF2-40B4-BE49-F238E27FC236}">
                        <a16:creationId xmlns:a16="http://schemas.microsoft.com/office/drawing/2014/main" id="{00000000-0008-0000-0000-0000A4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33" name="Arc 4261">
                    <a:extLst>
                      <a:ext uri="{FF2B5EF4-FFF2-40B4-BE49-F238E27FC236}">
                        <a16:creationId xmlns:a16="http://schemas.microsoft.com/office/drawing/2014/main" id="{00000000-0008-0000-0000-0000A5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34" name="Arc 4262">
                    <a:extLst>
                      <a:ext uri="{FF2B5EF4-FFF2-40B4-BE49-F238E27FC236}">
                        <a16:creationId xmlns:a16="http://schemas.microsoft.com/office/drawing/2014/main" id="{00000000-0008-0000-0000-0000A6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35" name="Group 4263">
                  <a:extLst>
                    <a:ext uri="{FF2B5EF4-FFF2-40B4-BE49-F238E27FC236}">
                      <a16:creationId xmlns:a16="http://schemas.microsoft.com/office/drawing/2014/main" id="{00000000-0008-0000-0000-0000A7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31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36" name="Arc 4264">
                    <a:extLst>
                      <a:ext uri="{FF2B5EF4-FFF2-40B4-BE49-F238E27FC236}">
                        <a16:creationId xmlns:a16="http://schemas.microsoft.com/office/drawing/2014/main" id="{00000000-0008-0000-0000-0000A8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37" name="Arc 4265">
                    <a:extLst>
                      <a:ext uri="{FF2B5EF4-FFF2-40B4-BE49-F238E27FC236}">
                        <a16:creationId xmlns:a16="http://schemas.microsoft.com/office/drawing/2014/main" id="{00000000-0008-0000-0000-0000A9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38" name="Arc 4266">
                    <a:extLst>
                      <a:ext uri="{FF2B5EF4-FFF2-40B4-BE49-F238E27FC236}">
                        <a16:creationId xmlns:a16="http://schemas.microsoft.com/office/drawing/2014/main" id="{00000000-0008-0000-0000-0000AA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39" name="Group 4267">
                  <a:extLst>
                    <a:ext uri="{FF2B5EF4-FFF2-40B4-BE49-F238E27FC236}">
                      <a16:creationId xmlns:a16="http://schemas.microsoft.com/office/drawing/2014/main" id="{00000000-0008-0000-0000-0000AB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79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40" name="Arc 4268">
                    <a:extLst>
                      <a:ext uri="{FF2B5EF4-FFF2-40B4-BE49-F238E27FC236}">
                        <a16:creationId xmlns:a16="http://schemas.microsoft.com/office/drawing/2014/main" id="{00000000-0008-0000-0000-0000AC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41" name="Arc 4269">
                    <a:extLst>
                      <a:ext uri="{FF2B5EF4-FFF2-40B4-BE49-F238E27FC236}">
                        <a16:creationId xmlns:a16="http://schemas.microsoft.com/office/drawing/2014/main" id="{00000000-0008-0000-0000-0000AD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42" name="Arc 4270">
                    <a:extLst>
                      <a:ext uri="{FF2B5EF4-FFF2-40B4-BE49-F238E27FC236}">
                        <a16:creationId xmlns:a16="http://schemas.microsoft.com/office/drawing/2014/main" id="{00000000-0008-0000-0000-0000AE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43" name="Group 4271">
                  <a:extLst>
                    <a:ext uri="{FF2B5EF4-FFF2-40B4-BE49-F238E27FC236}">
                      <a16:creationId xmlns:a16="http://schemas.microsoft.com/office/drawing/2014/main" id="{00000000-0008-0000-0000-0000AF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27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44" name="Arc 4272">
                    <a:extLst>
                      <a:ext uri="{FF2B5EF4-FFF2-40B4-BE49-F238E27FC236}">
                        <a16:creationId xmlns:a16="http://schemas.microsoft.com/office/drawing/2014/main" id="{00000000-0008-0000-0000-0000B0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45" name="Arc 4273">
                    <a:extLst>
                      <a:ext uri="{FF2B5EF4-FFF2-40B4-BE49-F238E27FC236}">
                        <a16:creationId xmlns:a16="http://schemas.microsoft.com/office/drawing/2014/main" id="{00000000-0008-0000-0000-0000B1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46" name="Arc 4274">
                    <a:extLst>
                      <a:ext uri="{FF2B5EF4-FFF2-40B4-BE49-F238E27FC236}">
                        <a16:creationId xmlns:a16="http://schemas.microsoft.com/office/drawing/2014/main" id="{00000000-0008-0000-0000-0000B2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47" name="Group 4275">
                  <a:extLst>
                    <a:ext uri="{FF2B5EF4-FFF2-40B4-BE49-F238E27FC236}">
                      <a16:creationId xmlns:a16="http://schemas.microsoft.com/office/drawing/2014/main" id="{00000000-0008-0000-0000-0000B3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75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48" name="Arc 4276">
                    <a:extLst>
                      <a:ext uri="{FF2B5EF4-FFF2-40B4-BE49-F238E27FC236}">
                        <a16:creationId xmlns:a16="http://schemas.microsoft.com/office/drawing/2014/main" id="{00000000-0008-0000-0000-0000B4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49" name="Arc 4277">
                    <a:extLst>
                      <a:ext uri="{FF2B5EF4-FFF2-40B4-BE49-F238E27FC236}">
                        <a16:creationId xmlns:a16="http://schemas.microsoft.com/office/drawing/2014/main" id="{00000000-0008-0000-0000-0000B5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50" name="Arc 4278">
                    <a:extLst>
                      <a:ext uri="{FF2B5EF4-FFF2-40B4-BE49-F238E27FC236}">
                        <a16:creationId xmlns:a16="http://schemas.microsoft.com/office/drawing/2014/main" id="{00000000-0008-0000-0000-0000B6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51" name="Group 4279">
                  <a:extLst>
                    <a:ext uri="{FF2B5EF4-FFF2-40B4-BE49-F238E27FC236}">
                      <a16:creationId xmlns:a16="http://schemas.microsoft.com/office/drawing/2014/main" id="{00000000-0008-0000-0000-0000B7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682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52" name="Arc 4280">
                    <a:extLst>
                      <a:ext uri="{FF2B5EF4-FFF2-40B4-BE49-F238E27FC236}">
                        <a16:creationId xmlns:a16="http://schemas.microsoft.com/office/drawing/2014/main" id="{00000000-0008-0000-0000-0000B8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53" name="Arc 4281">
                    <a:extLst>
                      <a:ext uri="{FF2B5EF4-FFF2-40B4-BE49-F238E27FC236}">
                        <a16:creationId xmlns:a16="http://schemas.microsoft.com/office/drawing/2014/main" id="{00000000-0008-0000-0000-0000B9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54" name="Arc 4282">
                    <a:extLst>
                      <a:ext uri="{FF2B5EF4-FFF2-40B4-BE49-F238E27FC236}">
                        <a16:creationId xmlns:a16="http://schemas.microsoft.com/office/drawing/2014/main" id="{00000000-0008-0000-0000-0000BA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55" name="Group 4283">
                  <a:extLst>
                    <a:ext uri="{FF2B5EF4-FFF2-40B4-BE49-F238E27FC236}">
                      <a16:creationId xmlns:a16="http://schemas.microsoft.com/office/drawing/2014/main" id="{00000000-0008-0000-0000-0000BB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634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56" name="Arc 4284">
                    <a:extLst>
                      <a:ext uri="{FF2B5EF4-FFF2-40B4-BE49-F238E27FC236}">
                        <a16:creationId xmlns:a16="http://schemas.microsoft.com/office/drawing/2014/main" id="{00000000-0008-0000-0000-0000BC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57" name="Arc 4285">
                    <a:extLst>
                      <a:ext uri="{FF2B5EF4-FFF2-40B4-BE49-F238E27FC236}">
                        <a16:creationId xmlns:a16="http://schemas.microsoft.com/office/drawing/2014/main" id="{00000000-0008-0000-0000-0000BD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58" name="Arc 4286">
                    <a:extLst>
                      <a:ext uri="{FF2B5EF4-FFF2-40B4-BE49-F238E27FC236}">
                        <a16:creationId xmlns:a16="http://schemas.microsoft.com/office/drawing/2014/main" id="{00000000-0008-0000-0000-0000BE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59" name="Group 4287">
                  <a:extLst>
                    <a:ext uri="{FF2B5EF4-FFF2-40B4-BE49-F238E27FC236}">
                      <a16:creationId xmlns:a16="http://schemas.microsoft.com/office/drawing/2014/main" id="{00000000-0008-0000-0000-0000BF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586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60" name="Arc 4288">
                    <a:extLst>
                      <a:ext uri="{FF2B5EF4-FFF2-40B4-BE49-F238E27FC236}">
                        <a16:creationId xmlns:a16="http://schemas.microsoft.com/office/drawing/2014/main" id="{00000000-0008-0000-0000-0000C0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61" name="Arc 4289">
                    <a:extLst>
                      <a:ext uri="{FF2B5EF4-FFF2-40B4-BE49-F238E27FC236}">
                        <a16:creationId xmlns:a16="http://schemas.microsoft.com/office/drawing/2014/main" id="{00000000-0008-0000-0000-0000C1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62" name="Arc 4290">
                    <a:extLst>
                      <a:ext uri="{FF2B5EF4-FFF2-40B4-BE49-F238E27FC236}">
                        <a16:creationId xmlns:a16="http://schemas.microsoft.com/office/drawing/2014/main" id="{00000000-0008-0000-0000-0000C2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63" name="Group 4291">
                  <a:extLst>
                    <a:ext uri="{FF2B5EF4-FFF2-40B4-BE49-F238E27FC236}">
                      <a16:creationId xmlns:a16="http://schemas.microsoft.com/office/drawing/2014/main" id="{00000000-0008-0000-0000-0000C3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538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64" name="Arc 4292">
                    <a:extLst>
                      <a:ext uri="{FF2B5EF4-FFF2-40B4-BE49-F238E27FC236}">
                        <a16:creationId xmlns:a16="http://schemas.microsoft.com/office/drawing/2014/main" id="{00000000-0008-0000-0000-0000C4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65" name="Arc 4293">
                    <a:extLst>
                      <a:ext uri="{FF2B5EF4-FFF2-40B4-BE49-F238E27FC236}">
                        <a16:creationId xmlns:a16="http://schemas.microsoft.com/office/drawing/2014/main" id="{00000000-0008-0000-0000-0000C5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66" name="Arc 4294">
                    <a:extLst>
                      <a:ext uri="{FF2B5EF4-FFF2-40B4-BE49-F238E27FC236}">
                        <a16:creationId xmlns:a16="http://schemas.microsoft.com/office/drawing/2014/main" id="{00000000-0008-0000-0000-0000C6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67" name="Group 4295">
                  <a:extLst>
                    <a:ext uri="{FF2B5EF4-FFF2-40B4-BE49-F238E27FC236}">
                      <a16:creationId xmlns:a16="http://schemas.microsoft.com/office/drawing/2014/main" id="{00000000-0008-0000-0000-0000C7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490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68" name="Arc 4296">
                    <a:extLst>
                      <a:ext uri="{FF2B5EF4-FFF2-40B4-BE49-F238E27FC236}">
                        <a16:creationId xmlns:a16="http://schemas.microsoft.com/office/drawing/2014/main" id="{00000000-0008-0000-0000-0000C8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69" name="Arc 4297">
                    <a:extLst>
                      <a:ext uri="{FF2B5EF4-FFF2-40B4-BE49-F238E27FC236}">
                        <a16:creationId xmlns:a16="http://schemas.microsoft.com/office/drawing/2014/main" id="{00000000-0008-0000-0000-0000C9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70" name="Arc 4298">
                    <a:extLst>
                      <a:ext uri="{FF2B5EF4-FFF2-40B4-BE49-F238E27FC236}">
                        <a16:creationId xmlns:a16="http://schemas.microsoft.com/office/drawing/2014/main" id="{00000000-0008-0000-0000-0000CA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71" name="Group 4299">
                  <a:extLst>
                    <a:ext uri="{FF2B5EF4-FFF2-40B4-BE49-F238E27FC236}">
                      <a16:creationId xmlns:a16="http://schemas.microsoft.com/office/drawing/2014/main" id="{00000000-0008-0000-0000-0000CB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442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72" name="Arc 4300">
                    <a:extLst>
                      <a:ext uri="{FF2B5EF4-FFF2-40B4-BE49-F238E27FC236}">
                        <a16:creationId xmlns:a16="http://schemas.microsoft.com/office/drawing/2014/main" id="{00000000-0008-0000-0000-0000CC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73" name="Arc 4301">
                    <a:extLst>
                      <a:ext uri="{FF2B5EF4-FFF2-40B4-BE49-F238E27FC236}">
                        <a16:creationId xmlns:a16="http://schemas.microsoft.com/office/drawing/2014/main" id="{00000000-0008-0000-0000-0000CD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74" name="Arc 4302">
                    <a:extLst>
                      <a:ext uri="{FF2B5EF4-FFF2-40B4-BE49-F238E27FC236}">
                        <a16:creationId xmlns:a16="http://schemas.microsoft.com/office/drawing/2014/main" id="{00000000-0008-0000-0000-0000CE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Арматура1" textlink="">
              <xdr:nvSpPr>
                <xdr:cNvPr id="32975" name="Freeform 4303">
                  <a:extLst>
                    <a:ext uri="{FF2B5EF4-FFF2-40B4-BE49-F238E27FC236}">
                      <a16:creationId xmlns:a16="http://schemas.microsoft.com/office/drawing/2014/main" id="{00000000-0008-0000-0000-0000CF8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5" y="94"/>
                  <a:ext cx="312" cy="19"/>
                </a:xfrm>
                <a:custGeom>
                  <a:avLst/>
                  <a:gdLst/>
                  <a:ahLst/>
                  <a:cxnLst>
                    <a:cxn ang="0">
                      <a:pos x="310" y="18"/>
                    </a:cxn>
                    <a:cxn ang="0">
                      <a:pos x="12" y="18"/>
                    </a:cxn>
                    <a:cxn ang="0">
                      <a:pos x="12" y="8"/>
                    </a:cxn>
                    <a:cxn ang="0">
                      <a:pos x="10" y="0"/>
                    </a:cxn>
                    <a:cxn ang="0">
                      <a:pos x="306" y="0"/>
                    </a:cxn>
                    <a:cxn ang="0">
                      <a:pos x="305" y="9"/>
                    </a:cxn>
                    <a:cxn ang="0">
                      <a:pos x="310" y="18"/>
                    </a:cxn>
                  </a:cxnLst>
                  <a:rect l="0" t="0" r="r" b="b"/>
                  <a:pathLst>
                    <a:path w="312" h="18">
                      <a:moveTo>
                        <a:pt x="310" y="18"/>
                      </a:moveTo>
                      <a:cubicBezTo>
                        <a:pt x="264" y="18"/>
                        <a:pt x="60" y="18"/>
                        <a:pt x="12" y="18"/>
                      </a:cubicBezTo>
                      <a:cubicBezTo>
                        <a:pt x="9" y="11"/>
                        <a:pt x="0" y="16"/>
                        <a:pt x="12" y="8"/>
                      </a:cubicBezTo>
                      <a:cubicBezTo>
                        <a:pt x="3" y="5"/>
                        <a:pt x="5" y="7"/>
                        <a:pt x="10" y="0"/>
                      </a:cubicBezTo>
                      <a:cubicBezTo>
                        <a:pt x="150" y="0"/>
                        <a:pt x="258" y="0"/>
                        <a:pt x="306" y="0"/>
                      </a:cubicBezTo>
                      <a:cubicBezTo>
                        <a:pt x="312" y="5"/>
                        <a:pt x="306" y="6"/>
                        <a:pt x="305" y="9"/>
                      </a:cubicBezTo>
                      <a:cubicBezTo>
                        <a:pt x="303" y="12"/>
                        <a:pt x="310" y="12"/>
                        <a:pt x="310" y="18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</xdr:grpSp>
        </xdr:grpSp>
        <xdr:sp macro="[0]!Арматура1" textlink="">
          <xdr:nvSpPr>
            <xdr:cNvPr id="32976" name="Line 4304">
              <a:extLst>
                <a:ext uri="{FF2B5EF4-FFF2-40B4-BE49-F238E27FC236}">
                  <a16:creationId xmlns:a16="http://schemas.microsoft.com/office/drawing/2014/main" id="{00000000-0008-0000-0000-0000D08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99" y="117"/>
              <a:ext cx="334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"/>
              <a:round/>
              <a:headEnd/>
              <a:tailEnd/>
            </a:ln>
          </xdr:spPr>
        </xdr:sp>
      </xdr:grpSp>
      <xdr:grpSp>
        <xdr:nvGrpSpPr>
          <xdr:cNvPr id="32983" name="Group 4311">
            <a:extLst>
              <a:ext uri="{FF2B5EF4-FFF2-40B4-BE49-F238E27FC236}">
                <a16:creationId xmlns:a16="http://schemas.microsoft.com/office/drawing/2014/main" id="{00000000-0008-0000-0000-0000D7800000}"/>
              </a:ext>
            </a:extLst>
          </xdr:cNvPr>
          <xdr:cNvGrpSpPr>
            <a:grpSpLocks/>
          </xdr:cNvGrpSpPr>
        </xdr:nvGrpSpPr>
        <xdr:grpSpPr bwMode="auto">
          <a:xfrm flipV="1">
            <a:off x="517" y="233"/>
            <a:ext cx="79" cy="26"/>
            <a:chOff x="276" y="277"/>
            <a:chExt cx="317" cy="102"/>
          </a:xfrm>
        </xdr:grpSpPr>
        <xdr:grpSp>
          <xdr:nvGrpSpPr>
            <xdr:cNvPr id="32984" name="Group 4312">
              <a:extLst>
                <a:ext uri="{FF2B5EF4-FFF2-40B4-BE49-F238E27FC236}">
                  <a16:creationId xmlns:a16="http://schemas.microsoft.com/office/drawing/2014/main" id="{00000000-0008-0000-0000-0000D88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82" y="277"/>
              <a:ext cx="307" cy="102"/>
              <a:chOff x="86" y="187"/>
              <a:chExt cx="307" cy="102"/>
            </a:xfrm>
          </xdr:grpSpPr>
          <xdr:sp macro="[0]!Арматура1" textlink="">
            <xdr:nvSpPr>
              <xdr:cNvPr id="32985" name="Freeform 4313">
                <a:extLst>
                  <a:ext uri="{FF2B5EF4-FFF2-40B4-BE49-F238E27FC236}">
                    <a16:creationId xmlns:a16="http://schemas.microsoft.com/office/drawing/2014/main" id="{00000000-0008-0000-0000-0000D98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87"/>
                <a:ext cx="302" cy="102"/>
              </a:xfrm>
              <a:custGeom>
                <a:avLst/>
                <a:gdLst/>
                <a:ahLst/>
                <a:cxnLst>
                  <a:cxn ang="0">
                    <a:pos x="7" y="0"/>
                  </a:cxn>
                  <a:cxn ang="0">
                    <a:pos x="298" y="1"/>
                  </a:cxn>
                  <a:cxn ang="0">
                    <a:pos x="295" y="21"/>
                  </a:cxn>
                  <a:cxn ang="0">
                    <a:pos x="286" y="41"/>
                  </a:cxn>
                  <a:cxn ang="0">
                    <a:pos x="293" y="57"/>
                  </a:cxn>
                  <a:cxn ang="0">
                    <a:pos x="297" y="72"/>
                  </a:cxn>
                  <a:cxn ang="0">
                    <a:pos x="302" y="84"/>
                  </a:cxn>
                  <a:cxn ang="0">
                    <a:pos x="298" y="93"/>
                  </a:cxn>
                  <a:cxn ang="0">
                    <a:pos x="296" y="104"/>
                  </a:cxn>
                  <a:cxn ang="0">
                    <a:pos x="13" y="104"/>
                  </a:cxn>
                  <a:cxn ang="0">
                    <a:pos x="13" y="92"/>
                  </a:cxn>
                  <a:cxn ang="0">
                    <a:pos x="10" y="81"/>
                  </a:cxn>
                  <a:cxn ang="0">
                    <a:pos x="10" y="71"/>
                  </a:cxn>
                  <a:cxn ang="0">
                    <a:pos x="1" y="59"/>
                  </a:cxn>
                  <a:cxn ang="0">
                    <a:pos x="1" y="36"/>
                  </a:cxn>
                  <a:cxn ang="0">
                    <a:pos x="4" y="23"/>
                  </a:cxn>
                  <a:cxn ang="0">
                    <a:pos x="8" y="10"/>
                  </a:cxn>
                  <a:cxn ang="0">
                    <a:pos x="7" y="0"/>
                  </a:cxn>
                </a:cxnLst>
                <a:rect l="0" t="0" r="r" b="b"/>
                <a:pathLst>
                  <a:path w="302" h="104">
                    <a:moveTo>
                      <a:pt x="7" y="0"/>
                    </a:moveTo>
                    <a:cubicBezTo>
                      <a:pt x="17" y="0"/>
                      <a:pt x="297" y="1"/>
                      <a:pt x="298" y="1"/>
                    </a:cubicBezTo>
                    <a:cubicBezTo>
                      <a:pt x="298" y="20"/>
                      <a:pt x="295" y="10"/>
                      <a:pt x="295" y="21"/>
                    </a:cubicBezTo>
                    <a:cubicBezTo>
                      <a:pt x="288" y="29"/>
                      <a:pt x="289" y="28"/>
                      <a:pt x="286" y="41"/>
                    </a:cubicBezTo>
                    <a:cubicBezTo>
                      <a:pt x="288" y="46"/>
                      <a:pt x="292" y="48"/>
                      <a:pt x="293" y="57"/>
                    </a:cubicBezTo>
                    <a:cubicBezTo>
                      <a:pt x="292" y="64"/>
                      <a:pt x="294" y="64"/>
                      <a:pt x="297" y="72"/>
                    </a:cubicBezTo>
                    <a:cubicBezTo>
                      <a:pt x="300" y="80"/>
                      <a:pt x="299" y="77"/>
                      <a:pt x="302" y="84"/>
                    </a:cubicBezTo>
                    <a:cubicBezTo>
                      <a:pt x="301" y="94"/>
                      <a:pt x="302" y="89"/>
                      <a:pt x="298" y="93"/>
                    </a:cubicBezTo>
                    <a:cubicBezTo>
                      <a:pt x="297" y="101"/>
                      <a:pt x="296" y="94"/>
                      <a:pt x="296" y="104"/>
                    </a:cubicBezTo>
                    <a:cubicBezTo>
                      <a:pt x="273" y="104"/>
                      <a:pt x="64" y="104"/>
                      <a:pt x="13" y="104"/>
                    </a:cubicBezTo>
                    <a:cubicBezTo>
                      <a:pt x="13" y="94"/>
                      <a:pt x="13" y="96"/>
                      <a:pt x="13" y="92"/>
                    </a:cubicBezTo>
                    <a:cubicBezTo>
                      <a:pt x="13" y="88"/>
                      <a:pt x="10" y="84"/>
                      <a:pt x="10" y="81"/>
                    </a:cubicBezTo>
                    <a:cubicBezTo>
                      <a:pt x="14" y="75"/>
                      <a:pt x="7" y="77"/>
                      <a:pt x="10" y="71"/>
                    </a:cubicBezTo>
                    <a:cubicBezTo>
                      <a:pt x="13" y="62"/>
                      <a:pt x="1" y="59"/>
                      <a:pt x="1" y="59"/>
                    </a:cubicBezTo>
                    <a:cubicBezTo>
                      <a:pt x="1" y="49"/>
                      <a:pt x="2" y="44"/>
                      <a:pt x="1" y="36"/>
                    </a:cubicBezTo>
                    <a:cubicBezTo>
                      <a:pt x="0" y="28"/>
                      <a:pt x="8" y="25"/>
                      <a:pt x="4" y="23"/>
                    </a:cubicBezTo>
                    <a:cubicBezTo>
                      <a:pt x="8" y="15"/>
                      <a:pt x="8" y="10"/>
                      <a:pt x="8" y="10"/>
                    </a:cubicBezTo>
                    <a:cubicBezTo>
                      <a:pt x="8" y="6"/>
                      <a:pt x="7" y="0"/>
                      <a:pt x="7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w="9525" cap="flat" cmpd="sng">
                <a:noFill/>
                <a:prstDash val="solid"/>
                <a:round/>
                <a:headEnd/>
                <a:tailEnd/>
              </a:ln>
            </xdr:spPr>
          </xdr:sp>
          <xdr:grpSp>
            <xdr:nvGrpSpPr>
              <xdr:cNvPr id="32986" name="Group 4314">
                <a:extLst>
                  <a:ext uri="{FF2B5EF4-FFF2-40B4-BE49-F238E27FC236}">
                    <a16:creationId xmlns:a16="http://schemas.microsoft.com/office/drawing/2014/main" id="{00000000-0008-0000-0000-0000DA800000}"/>
                  </a:ext>
                </a:extLst>
              </xdr:cNvPr>
              <xdr:cNvGrpSpPr>
                <a:grpSpLocks/>
              </xdr:cNvGrpSpPr>
            </xdr:nvGrpSpPr>
            <xdr:grpSpPr bwMode="auto">
              <a:xfrm flipV="1">
                <a:off x="103" y="231"/>
                <a:ext cx="56" cy="58"/>
                <a:chOff x="345" y="51"/>
                <a:chExt cx="56" cy="59"/>
              </a:xfrm>
            </xdr:grpSpPr>
            <xdr:sp macro="[0]!Арматура1" textlink="">
              <xdr:nvSpPr>
                <xdr:cNvPr id="32987" name="Arc 4315">
                  <a:extLst>
                    <a:ext uri="{FF2B5EF4-FFF2-40B4-BE49-F238E27FC236}">
                      <a16:creationId xmlns:a16="http://schemas.microsoft.com/office/drawing/2014/main" id="{00000000-0008-0000-0000-0000DB8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52" y="44"/>
                  <a:ext cx="42" cy="56"/>
                </a:xfrm>
                <a:custGeom>
                  <a:avLst/>
                  <a:gdLst>
                    <a:gd name="G0" fmla="+- 305 0 0"/>
                    <a:gd name="G1" fmla="+- 21600 0 0"/>
                    <a:gd name="G2" fmla="+- 21600 0 0"/>
                    <a:gd name="T0" fmla="*/ 0 w 21905"/>
                    <a:gd name="T1" fmla="*/ 2 h 38798"/>
                    <a:gd name="T2" fmla="*/ 13373 w 21905"/>
                    <a:gd name="T3" fmla="*/ 38798 h 38798"/>
                    <a:gd name="T4" fmla="*/ 305 w 21905"/>
                    <a:gd name="T5" fmla="*/ 21600 h 3879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905" h="38798" fill="none" extrusionOk="0">
                      <a:moveTo>
                        <a:pt x="0" y="2"/>
                      </a:moveTo>
                      <a:cubicBezTo>
                        <a:pt x="101" y="0"/>
                        <a:pt x="203" y="-1"/>
                        <a:pt x="305" y="0"/>
                      </a:cubicBezTo>
                      <a:cubicBezTo>
                        <a:pt x="12234" y="0"/>
                        <a:pt x="21905" y="9670"/>
                        <a:pt x="21905" y="21600"/>
                      </a:cubicBezTo>
                      <a:cubicBezTo>
                        <a:pt x="21905" y="28351"/>
                        <a:pt x="18748" y="34713"/>
                        <a:pt x="13373" y="38798"/>
                      </a:cubicBezTo>
                    </a:path>
                    <a:path w="21905" h="38798" stroke="0" extrusionOk="0">
                      <a:moveTo>
                        <a:pt x="0" y="2"/>
                      </a:moveTo>
                      <a:cubicBezTo>
                        <a:pt x="101" y="0"/>
                        <a:pt x="203" y="-1"/>
                        <a:pt x="305" y="0"/>
                      </a:cubicBezTo>
                      <a:cubicBezTo>
                        <a:pt x="12234" y="0"/>
                        <a:pt x="21905" y="9670"/>
                        <a:pt x="21905" y="21600"/>
                      </a:cubicBezTo>
                      <a:cubicBezTo>
                        <a:pt x="21905" y="28351"/>
                        <a:pt x="18748" y="34713"/>
                        <a:pt x="13373" y="38798"/>
                      </a:cubicBezTo>
                      <a:lnTo>
                        <a:pt x="305" y="21600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1" textlink="">
              <xdr:nvSpPr>
                <xdr:cNvPr id="32988" name="Arc 4316">
                  <a:extLst>
                    <a:ext uri="{FF2B5EF4-FFF2-40B4-BE49-F238E27FC236}">
                      <a16:creationId xmlns:a16="http://schemas.microsoft.com/office/drawing/2014/main" id="{00000000-0008-0000-0000-0000DC8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46" y="58"/>
                  <a:ext cx="44" cy="31"/>
                </a:xfrm>
                <a:custGeom>
                  <a:avLst/>
                  <a:gdLst>
                    <a:gd name="G0" fmla="+- 0 0 0"/>
                    <a:gd name="G1" fmla="+- 21541 0 0"/>
                    <a:gd name="G2" fmla="+- 21600 0 0"/>
                    <a:gd name="T0" fmla="*/ 1594 w 21296"/>
                    <a:gd name="T1" fmla="*/ 0 h 21541"/>
                    <a:gd name="T2" fmla="*/ 21296 w 21296"/>
                    <a:gd name="T3" fmla="*/ 17927 h 21541"/>
                    <a:gd name="T4" fmla="*/ 0 w 21296"/>
                    <a:gd name="T5" fmla="*/ 21541 h 215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296" h="21541" fill="none" extrusionOk="0">
                      <a:moveTo>
                        <a:pt x="1594" y="-1"/>
                      </a:moveTo>
                      <a:cubicBezTo>
                        <a:pt x="11502" y="733"/>
                        <a:pt x="19633" y="8131"/>
                        <a:pt x="21295" y="17927"/>
                      </a:cubicBezTo>
                    </a:path>
                    <a:path w="21296" h="21541" stroke="0" extrusionOk="0">
                      <a:moveTo>
                        <a:pt x="1594" y="-1"/>
                      </a:moveTo>
                      <a:cubicBezTo>
                        <a:pt x="11502" y="733"/>
                        <a:pt x="19633" y="8131"/>
                        <a:pt x="21295" y="17927"/>
                      </a:cubicBezTo>
                      <a:lnTo>
                        <a:pt x="0" y="21541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1" textlink="">
              <xdr:nvSpPr>
                <xdr:cNvPr id="32989" name="Arc 4317">
                  <a:extLst>
                    <a:ext uri="{FF2B5EF4-FFF2-40B4-BE49-F238E27FC236}">
                      <a16:creationId xmlns:a16="http://schemas.microsoft.com/office/drawing/2014/main" id="{00000000-0008-0000-0000-0000DD8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53" y="63"/>
                  <a:ext cx="47" cy="48"/>
                </a:xfrm>
                <a:custGeom>
                  <a:avLst/>
                  <a:gdLst>
                    <a:gd name="G0" fmla="+- 0 0 0"/>
                    <a:gd name="G1" fmla="+- 19985 0 0"/>
                    <a:gd name="G2" fmla="+- 21600 0 0"/>
                    <a:gd name="T0" fmla="*/ 8194 w 21600"/>
                    <a:gd name="T1" fmla="*/ 0 h 30084"/>
                    <a:gd name="T2" fmla="*/ 19094 w 21600"/>
                    <a:gd name="T3" fmla="*/ 30084 h 30084"/>
                    <a:gd name="T4" fmla="*/ 0 w 21600"/>
                    <a:gd name="T5" fmla="*/ 19985 h 3008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600" h="30084" fill="none" extrusionOk="0">
                      <a:moveTo>
                        <a:pt x="8194" y="-1"/>
                      </a:moveTo>
                      <a:cubicBezTo>
                        <a:pt x="16303" y="3324"/>
                        <a:pt x="21600" y="11220"/>
                        <a:pt x="21600" y="19985"/>
                      </a:cubicBezTo>
                      <a:cubicBezTo>
                        <a:pt x="21600" y="23505"/>
                        <a:pt x="20739" y="26972"/>
                        <a:pt x="19093" y="30083"/>
                      </a:cubicBezTo>
                    </a:path>
                    <a:path w="21600" h="30084" stroke="0" extrusionOk="0">
                      <a:moveTo>
                        <a:pt x="8194" y="-1"/>
                      </a:moveTo>
                      <a:cubicBezTo>
                        <a:pt x="16303" y="3324"/>
                        <a:pt x="21600" y="11220"/>
                        <a:pt x="21600" y="19985"/>
                      </a:cubicBezTo>
                      <a:cubicBezTo>
                        <a:pt x="21600" y="23505"/>
                        <a:pt x="20739" y="26972"/>
                        <a:pt x="19093" y="30083"/>
                      </a:cubicBezTo>
                      <a:lnTo>
                        <a:pt x="0" y="19985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2990" name="Group 4318">
                <a:extLst>
                  <a:ext uri="{FF2B5EF4-FFF2-40B4-BE49-F238E27FC236}">
                    <a16:creationId xmlns:a16="http://schemas.microsoft.com/office/drawing/2014/main" id="{00000000-0008-0000-0000-0000DE8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4" y="188"/>
                <a:ext cx="56" cy="57"/>
                <a:chOff x="345" y="51"/>
                <a:chExt cx="56" cy="59"/>
              </a:xfrm>
            </xdr:grpSpPr>
            <xdr:sp macro="[0]!Арматура1" textlink="">
              <xdr:nvSpPr>
                <xdr:cNvPr id="32991" name="Arc 4319">
                  <a:extLst>
                    <a:ext uri="{FF2B5EF4-FFF2-40B4-BE49-F238E27FC236}">
                      <a16:creationId xmlns:a16="http://schemas.microsoft.com/office/drawing/2014/main" id="{00000000-0008-0000-0000-0000DF8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52" y="44"/>
                  <a:ext cx="42" cy="56"/>
                </a:xfrm>
                <a:custGeom>
                  <a:avLst/>
                  <a:gdLst>
                    <a:gd name="G0" fmla="+- 305 0 0"/>
                    <a:gd name="G1" fmla="+- 21600 0 0"/>
                    <a:gd name="G2" fmla="+- 21600 0 0"/>
                    <a:gd name="T0" fmla="*/ 0 w 21905"/>
                    <a:gd name="T1" fmla="*/ 2 h 38798"/>
                    <a:gd name="T2" fmla="*/ 13373 w 21905"/>
                    <a:gd name="T3" fmla="*/ 38798 h 38798"/>
                    <a:gd name="T4" fmla="*/ 305 w 21905"/>
                    <a:gd name="T5" fmla="*/ 21600 h 3879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905" h="38798" fill="none" extrusionOk="0">
                      <a:moveTo>
                        <a:pt x="0" y="2"/>
                      </a:moveTo>
                      <a:cubicBezTo>
                        <a:pt x="101" y="0"/>
                        <a:pt x="203" y="-1"/>
                        <a:pt x="305" y="0"/>
                      </a:cubicBezTo>
                      <a:cubicBezTo>
                        <a:pt x="12234" y="0"/>
                        <a:pt x="21905" y="9670"/>
                        <a:pt x="21905" y="21600"/>
                      </a:cubicBezTo>
                      <a:cubicBezTo>
                        <a:pt x="21905" y="28351"/>
                        <a:pt x="18748" y="34713"/>
                        <a:pt x="13373" y="38798"/>
                      </a:cubicBezTo>
                    </a:path>
                    <a:path w="21905" h="38798" stroke="0" extrusionOk="0">
                      <a:moveTo>
                        <a:pt x="0" y="2"/>
                      </a:moveTo>
                      <a:cubicBezTo>
                        <a:pt x="101" y="0"/>
                        <a:pt x="203" y="-1"/>
                        <a:pt x="305" y="0"/>
                      </a:cubicBezTo>
                      <a:cubicBezTo>
                        <a:pt x="12234" y="0"/>
                        <a:pt x="21905" y="9670"/>
                        <a:pt x="21905" y="21600"/>
                      </a:cubicBezTo>
                      <a:cubicBezTo>
                        <a:pt x="21905" y="28351"/>
                        <a:pt x="18748" y="34713"/>
                        <a:pt x="13373" y="38798"/>
                      </a:cubicBezTo>
                      <a:lnTo>
                        <a:pt x="305" y="21600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1" textlink="">
              <xdr:nvSpPr>
                <xdr:cNvPr id="32992" name="Arc 4320">
                  <a:extLst>
                    <a:ext uri="{FF2B5EF4-FFF2-40B4-BE49-F238E27FC236}">
                      <a16:creationId xmlns:a16="http://schemas.microsoft.com/office/drawing/2014/main" id="{00000000-0008-0000-0000-0000E08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46" y="58"/>
                  <a:ext cx="44" cy="31"/>
                </a:xfrm>
                <a:custGeom>
                  <a:avLst/>
                  <a:gdLst>
                    <a:gd name="G0" fmla="+- 0 0 0"/>
                    <a:gd name="G1" fmla="+- 21541 0 0"/>
                    <a:gd name="G2" fmla="+- 21600 0 0"/>
                    <a:gd name="T0" fmla="*/ 1594 w 21296"/>
                    <a:gd name="T1" fmla="*/ 0 h 21541"/>
                    <a:gd name="T2" fmla="*/ 21296 w 21296"/>
                    <a:gd name="T3" fmla="*/ 17927 h 21541"/>
                    <a:gd name="T4" fmla="*/ 0 w 21296"/>
                    <a:gd name="T5" fmla="*/ 21541 h 215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296" h="21541" fill="none" extrusionOk="0">
                      <a:moveTo>
                        <a:pt x="1594" y="-1"/>
                      </a:moveTo>
                      <a:cubicBezTo>
                        <a:pt x="11502" y="733"/>
                        <a:pt x="19633" y="8131"/>
                        <a:pt x="21295" y="17927"/>
                      </a:cubicBezTo>
                    </a:path>
                    <a:path w="21296" h="21541" stroke="0" extrusionOk="0">
                      <a:moveTo>
                        <a:pt x="1594" y="-1"/>
                      </a:moveTo>
                      <a:cubicBezTo>
                        <a:pt x="11502" y="733"/>
                        <a:pt x="19633" y="8131"/>
                        <a:pt x="21295" y="17927"/>
                      </a:cubicBezTo>
                      <a:lnTo>
                        <a:pt x="0" y="21541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1" textlink="">
              <xdr:nvSpPr>
                <xdr:cNvPr id="32993" name="Arc 4321">
                  <a:extLst>
                    <a:ext uri="{FF2B5EF4-FFF2-40B4-BE49-F238E27FC236}">
                      <a16:creationId xmlns:a16="http://schemas.microsoft.com/office/drawing/2014/main" id="{00000000-0008-0000-0000-0000E18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53" y="63"/>
                  <a:ext cx="47" cy="48"/>
                </a:xfrm>
                <a:custGeom>
                  <a:avLst/>
                  <a:gdLst>
                    <a:gd name="G0" fmla="+- 0 0 0"/>
                    <a:gd name="G1" fmla="+- 19985 0 0"/>
                    <a:gd name="G2" fmla="+- 21600 0 0"/>
                    <a:gd name="T0" fmla="*/ 8194 w 21600"/>
                    <a:gd name="T1" fmla="*/ 0 h 30084"/>
                    <a:gd name="T2" fmla="*/ 19094 w 21600"/>
                    <a:gd name="T3" fmla="*/ 30084 h 30084"/>
                    <a:gd name="T4" fmla="*/ 0 w 21600"/>
                    <a:gd name="T5" fmla="*/ 19985 h 3008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600" h="30084" fill="none" extrusionOk="0">
                      <a:moveTo>
                        <a:pt x="8194" y="-1"/>
                      </a:moveTo>
                      <a:cubicBezTo>
                        <a:pt x="16303" y="3324"/>
                        <a:pt x="21600" y="11220"/>
                        <a:pt x="21600" y="19985"/>
                      </a:cubicBezTo>
                      <a:cubicBezTo>
                        <a:pt x="21600" y="23505"/>
                        <a:pt x="20739" y="26972"/>
                        <a:pt x="19093" y="30083"/>
                      </a:cubicBezTo>
                    </a:path>
                    <a:path w="21600" h="30084" stroke="0" extrusionOk="0">
                      <a:moveTo>
                        <a:pt x="8194" y="-1"/>
                      </a:moveTo>
                      <a:cubicBezTo>
                        <a:pt x="16303" y="3324"/>
                        <a:pt x="21600" y="11220"/>
                        <a:pt x="21600" y="19985"/>
                      </a:cubicBezTo>
                      <a:cubicBezTo>
                        <a:pt x="21600" y="23505"/>
                        <a:pt x="20739" y="26972"/>
                        <a:pt x="19093" y="30083"/>
                      </a:cubicBezTo>
                      <a:lnTo>
                        <a:pt x="0" y="19985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2994" name="Group 4322">
                <a:extLst>
                  <a:ext uri="{FF2B5EF4-FFF2-40B4-BE49-F238E27FC236}">
                    <a16:creationId xmlns:a16="http://schemas.microsoft.com/office/drawing/2014/main" id="{00000000-0008-0000-0000-0000E28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40" y="188"/>
                <a:ext cx="65" cy="101"/>
                <a:chOff x="94" y="188"/>
                <a:chExt cx="65" cy="103"/>
              </a:xfrm>
            </xdr:grpSpPr>
            <xdr:grpSp>
              <xdr:nvGrpSpPr>
                <xdr:cNvPr id="32995" name="Group 4323">
                  <a:extLst>
                    <a:ext uri="{FF2B5EF4-FFF2-40B4-BE49-F238E27FC236}">
                      <a16:creationId xmlns:a16="http://schemas.microsoft.com/office/drawing/2014/main" id="{00000000-0008-0000-0000-0000E3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2996" name="Arc 4324">
                    <a:extLst>
                      <a:ext uri="{FF2B5EF4-FFF2-40B4-BE49-F238E27FC236}">
                        <a16:creationId xmlns:a16="http://schemas.microsoft.com/office/drawing/2014/main" id="{00000000-0008-0000-0000-0000E4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97" name="Arc 4325">
                    <a:extLst>
                      <a:ext uri="{FF2B5EF4-FFF2-40B4-BE49-F238E27FC236}">
                        <a16:creationId xmlns:a16="http://schemas.microsoft.com/office/drawing/2014/main" id="{00000000-0008-0000-0000-0000E5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2998" name="Arc 4326">
                    <a:extLst>
                      <a:ext uri="{FF2B5EF4-FFF2-40B4-BE49-F238E27FC236}">
                        <a16:creationId xmlns:a16="http://schemas.microsoft.com/office/drawing/2014/main" id="{00000000-0008-0000-0000-0000E6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999" name="Group 4327">
                  <a:extLst>
                    <a:ext uri="{FF2B5EF4-FFF2-40B4-BE49-F238E27FC236}">
                      <a16:creationId xmlns:a16="http://schemas.microsoft.com/office/drawing/2014/main" id="{00000000-0008-0000-0000-0000E7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00" name="Arc 4328">
                    <a:extLst>
                      <a:ext uri="{FF2B5EF4-FFF2-40B4-BE49-F238E27FC236}">
                        <a16:creationId xmlns:a16="http://schemas.microsoft.com/office/drawing/2014/main" id="{00000000-0008-0000-0000-0000E8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01" name="Arc 4329">
                    <a:extLst>
                      <a:ext uri="{FF2B5EF4-FFF2-40B4-BE49-F238E27FC236}">
                        <a16:creationId xmlns:a16="http://schemas.microsoft.com/office/drawing/2014/main" id="{00000000-0008-0000-0000-0000E9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02" name="Arc 4330">
                    <a:extLst>
                      <a:ext uri="{FF2B5EF4-FFF2-40B4-BE49-F238E27FC236}">
                        <a16:creationId xmlns:a16="http://schemas.microsoft.com/office/drawing/2014/main" id="{00000000-0008-0000-0000-0000EA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3003" name="Group 4331">
                <a:extLst>
                  <a:ext uri="{FF2B5EF4-FFF2-40B4-BE49-F238E27FC236}">
                    <a16:creationId xmlns:a16="http://schemas.microsoft.com/office/drawing/2014/main" id="{00000000-0008-0000-0000-0000EB8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87" y="188"/>
                <a:ext cx="65" cy="101"/>
                <a:chOff x="94" y="188"/>
                <a:chExt cx="65" cy="103"/>
              </a:xfrm>
            </xdr:grpSpPr>
            <xdr:grpSp>
              <xdr:nvGrpSpPr>
                <xdr:cNvPr id="33004" name="Group 4332">
                  <a:extLst>
                    <a:ext uri="{FF2B5EF4-FFF2-40B4-BE49-F238E27FC236}">
                      <a16:creationId xmlns:a16="http://schemas.microsoft.com/office/drawing/2014/main" id="{00000000-0008-0000-0000-0000EC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05" name="Arc 4333">
                    <a:extLst>
                      <a:ext uri="{FF2B5EF4-FFF2-40B4-BE49-F238E27FC236}">
                        <a16:creationId xmlns:a16="http://schemas.microsoft.com/office/drawing/2014/main" id="{00000000-0008-0000-0000-0000ED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06" name="Arc 4334">
                    <a:extLst>
                      <a:ext uri="{FF2B5EF4-FFF2-40B4-BE49-F238E27FC236}">
                        <a16:creationId xmlns:a16="http://schemas.microsoft.com/office/drawing/2014/main" id="{00000000-0008-0000-0000-0000EE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07" name="Arc 4335">
                    <a:extLst>
                      <a:ext uri="{FF2B5EF4-FFF2-40B4-BE49-F238E27FC236}">
                        <a16:creationId xmlns:a16="http://schemas.microsoft.com/office/drawing/2014/main" id="{00000000-0008-0000-0000-0000EF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3008" name="Group 4336">
                  <a:extLst>
                    <a:ext uri="{FF2B5EF4-FFF2-40B4-BE49-F238E27FC236}">
                      <a16:creationId xmlns:a16="http://schemas.microsoft.com/office/drawing/2014/main" id="{00000000-0008-0000-0000-0000F0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09" name="Arc 4337">
                    <a:extLst>
                      <a:ext uri="{FF2B5EF4-FFF2-40B4-BE49-F238E27FC236}">
                        <a16:creationId xmlns:a16="http://schemas.microsoft.com/office/drawing/2014/main" id="{00000000-0008-0000-0000-0000F1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10" name="Arc 4338">
                    <a:extLst>
                      <a:ext uri="{FF2B5EF4-FFF2-40B4-BE49-F238E27FC236}">
                        <a16:creationId xmlns:a16="http://schemas.microsoft.com/office/drawing/2014/main" id="{00000000-0008-0000-0000-0000F2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11" name="Arc 4339">
                    <a:extLst>
                      <a:ext uri="{FF2B5EF4-FFF2-40B4-BE49-F238E27FC236}">
                        <a16:creationId xmlns:a16="http://schemas.microsoft.com/office/drawing/2014/main" id="{00000000-0008-0000-0000-0000F3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3012" name="Group 4340">
                <a:extLst>
                  <a:ext uri="{FF2B5EF4-FFF2-40B4-BE49-F238E27FC236}">
                    <a16:creationId xmlns:a16="http://schemas.microsoft.com/office/drawing/2014/main" id="{00000000-0008-0000-0000-0000F48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234" y="188"/>
                <a:ext cx="65" cy="101"/>
                <a:chOff x="94" y="188"/>
                <a:chExt cx="65" cy="103"/>
              </a:xfrm>
            </xdr:grpSpPr>
            <xdr:grpSp>
              <xdr:nvGrpSpPr>
                <xdr:cNvPr id="33013" name="Group 4341">
                  <a:extLst>
                    <a:ext uri="{FF2B5EF4-FFF2-40B4-BE49-F238E27FC236}">
                      <a16:creationId xmlns:a16="http://schemas.microsoft.com/office/drawing/2014/main" id="{00000000-0008-0000-0000-0000F5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14" name="Arc 4342">
                    <a:extLst>
                      <a:ext uri="{FF2B5EF4-FFF2-40B4-BE49-F238E27FC236}">
                        <a16:creationId xmlns:a16="http://schemas.microsoft.com/office/drawing/2014/main" id="{00000000-0008-0000-0000-0000F6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15" name="Arc 4343">
                    <a:extLst>
                      <a:ext uri="{FF2B5EF4-FFF2-40B4-BE49-F238E27FC236}">
                        <a16:creationId xmlns:a16="http://schemas.microsoft.com/office/drawing/2014/main" id="{00000000-0008-0000-0000-0000F7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16" name="Arc 4344">
                    <a:extLst>
                      <a:ext uri="{FF2B5EF4-FFF2-40B4-BE49-F238E27FC236}">
                        <a16:creationId xmlns:a16="http://schemas.microsoft.com/office/drawing/2014/main" id="{00000000-0008-0000-0000-0000F8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3017" name="Group 4345">
                  <a:extLst>
                    <a:ext uri="{FF2B5EF4-FFF2-40B4-BE49-F238E27FC236}">
                      <a16:creationId xmlns:a16="http://schemas.microsoft.com/office/drawing/2014/main" id="{00000000-0008-0000-0000-0000F9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18" name="Arc 4346">
                    <a:extLst>
                      <a:ext uri="{FF2B5EF4-FFF2-40B4-BE49-F238E27FC236}">
                        <a16:creationId xmlns:a16="http://schemas.microsoft.com/office/drawing/2014/main" id="{00000000-0008-0000-0000-0000FA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19" name="Arc 4347">
                    <a:extLst>
                      <a:ext uri="{FF2B5EF4-FFF2-40B4-BE49-F238E27FC236}">
                        <a16:creationId xmlns:a16="http://schemas.microsoft.com/office/drawing/2014/main" id="{00000000-0008-0000-0000-0000FB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20" name="Arc 4348">
                    <a:extLst>
                      <a:ext uri="{FF2B5EF4-FFF2-40B4-BE49-F238E27FC236}">
                        <a16:creationId xmlns:a16="http://schemas.microsoft.com/office/drawing/2014/main" id="{00000000-0008-0000-0000-0000FC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3021" name="Group 4349">
                <a:extLst>
                  <a:ext uri="{FF2B5EF4-FFF2-40B4-BE49-F238E27FC236}">
                    <a16:creationId xmlns:a16="http://schemas.microsoft.com/office/drawing/2014/main" id="{00000000-0008-0000-0000-0000FD8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281" y="188"/>
                <a:ext cx="65" cy="101"/>
                <a:chOff x="94" y="188"/>
                <a:chExt cx="65" cy="103"/>
              </a:xfrm>
            </xdr:grpSpPr>
            <xdr:grpSp>
              <xdr:nvGrpSpPr>
                <xdr:cNvPr id="33022" name="Group 4350">
                  <a:extLst>
                    <a:ext uri="{FF2B5EF4-FFF2-40B4-BE49-F238E27FC236}">
                      <a16:creationId xmlns:a16="http://schemas.microsoft.com/office/drawing/2014/main" id="{00000000-0008-0000-0000-0000FE8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23" name="Arc 4351">
                    <a:extLst>
                      <a:ext uri="{FF2B5EF4-FFF2-40B4-BE49-F238E27FC236}">
                        <a16:creationId xmlns:a16="http://schemas.microsoft.com/office/drawing/2014/main" id="{00000000-0008-0000-0000-0000FF8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24" name="Arc 4352">
                    <a:extLst>
                      <a:ext uri="{FF2B5EF4-FFF2-40B4-BE49-F238E27FC236}">
                        <a16:creationId xmlns:a16="http://schemas.microsoft.com/office/drawing/2014/main" id="{00000000-0008-0000-0000-000000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25" name="Arc 4353">
                    <a:extLst>
                      <a:ext uri="{FF2B5EF4-FFF2-40B4-BE49-F238E27FC236}">
                        <a16:creationId xmlns:a16="http://schemas.microsoft.com/office/drawing/2014/main" id="{00000000-0008-0000-0000-000001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3026" name="Group 4354">
                  <a:extLst>
                    <a:ext uri="{FF2B5EF4-FFF2-40B4-BE49-F238E27FC236}">
                      <a16:creationId xmlns:a16="http://schemas.microsoft.com/office/drawing/2014/main" id="{00000000-0008-0000-0000-00000281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27" name="Arc 4355">
                    <a:extLst>
                      <a:ext uri="{FF2B5EF4-FFF2-40B4-BE49-F238E27FC236}">
                        <a16:creationId xmlns:a16="http://schemas.microsoft.com/office/drawing/2014/main" id="{00000000-0008-0000-0000-000003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28" name="Arc 4356">
                    <a:extLst>
                      <a:ext uri="{FF2B5EF4-FFF2-40B4-BE49-F238E27FC236}">
                        <a16:creationId xmlns:a16="http://schemas.microsoft.com/office/drawing/2014/main" id="{00000000-0008-0000-0000-000004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29" name="Arc 4357">
                    <a:extLst>
                      <a:ext uri="{FF2B5EF4-FFF2-40B4-BE49-F238E27FC236}">
                        <a16:creationId xmlns:a16="http://schemas.microsoft.com/office/drawing/2014/main" id="{00000000-0008-0000-0000-000005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3030" name="Group 4358">
                <a:extLst>
                  <a:ext uri="{FF2B5EF4-FFF2-40B4-BE49-F238E27FC236}">
                    <a16:creationId xmlns:a16="http://schemas.microsoft.com/office/drawing/2014/main" id="{00000000-0008-0000-0000-00000681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28" y="188"/>
                <a:ext cx="65" cy="101"/>
                <a:chOff x="94" y="188"/>
                <a:chExt cx="65" cy="103"/>
              </a:xfrm>
            </xdr:grpSpPr>
            <xdr:grpSp>
              <xdr:nvGrpSpPr>
                <xdr:cNvPr id="33031" name="Group 4359">
                  <a:extLst>
                    <a:ext uri="{FF2B5EF4-FFF2-40B4-BE49-F238E27FC236}">
                      <a16:creationId xmlns:a16="http://schemas.microsoft.com/office/drawing/2014/main" id="{00000000-0008-0000-0000-00000781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32" name="Arc 4360">
                    <a:extLst>
                      <a:ext uri="{FF2B5EF4-FFF2-40B4-BE49-F238E27FC236}">
                        <a16:creationId xmlns:a16="http://schemas.microsoft.com/office/drawing/2014/main" id="{00000000-0008-0000-0000-000008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33" name="Arc 4361">
                    <a:extLst>
                      <a:ext uri="{FF2B5EF4-FFF2-40B4-BE49-F238E27FC236}">
                        <a16:creationId xmlns:a16="http://schemas.microsoft.com/office/drawing/2014/main" id="{00000000-0008-0000-0000-000009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34" name="Arc 4362">
                    <a:extLst>
                      <a:ext uri="{FF2B5EF4-FFF2-40B4-BE49-F238E27FC236}">
                        <a16:creationId xmlns:a16="http://schemas.microsoft.com/office/drawing/2014/main" id="{00000000-0008-0000-0000-00000A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3035" name="Group 4363">
                  <a:extLst>
                    <a:ext uri="{FF2B5EF4-FFF2-40B4-BE49-F238E27FC236}">
                      <a16:creationId xmlns:a16="http://schemas.microsoft.com/office/drawing/2014/main" id="{00000000-0008-0000-0000-00000B81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3036" name="Arc 4364">
                    <a:extLst>
                      <a:ext uri="{FF2B5EF4-FFF2-40B4-BE49-F238E27FC236}">
                        <a16:creationId xmlns:a16="http://schemas.microsoft.com/office/drawing/2014/main" id="{00000000-0008-0000-0000-00000C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37" name="Arc 4365">
                    <a:extLst>
                      <a:ext uri="{FF2B5EF4-FFF2-40B4-BE49-F238E27FC236}">
                        <a16:creationId xmlns:a16="http://schemas.microsoft.com/office/drawing/2014/main" id="{00000000-0008-0000-0000-00000D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3038" name="Arc 4366">
                    <a:extLst>
                      <a:ext uri="{FF2B5EF4-FFF2-40B4-BE49-F238E27FC236}">
                        <a16:creationId xmlns:a16="http://schemas.microsoft.com/office/drawing/2014/main" id="{00000000-0008-0000-0000-00000E81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sp macro="[0]!Арматура1" textlink="">
            <xdr:nvSpPr>
              <xdr:cNvPr id="33039" name="Freeform 4367">
                <a:extLst>
                  <a:ext uri="{FF2B5EF4-FFF2-40B4-BE49-F238E27FC236}">
                    <a16:creationId xmlns:a16="http://schemas.microsoft.com/office/drawing/2014/main" id="{00000000-0008-0000-0000-00000F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" y="229"/>
                <a:ext cx="301" cy="21"/>
              </a:xfrm>
              <a:custGeom>
                <a:avLst/>
                <a:gdLst/>
                <a:ahLst/>
                <a:cxnLst>
                  <a:cxn ang="0">
                    <a:pos x="296" y="19"/>
                  </a:cxn>
                  <a:cxn ang="0">
                    <a:pos x="12" y="19"/>
                  </a:cxn>
                  <a:cxn ang="0">
                    <a:pos x="12" y="12"/>
                  </a:cxn>
                  <a:cxn ang="0">
                    <a:pos x="8" y="0"/>
                  </a:cxn>
                  <a:cxn ang="0">
                    <a:pos x="295" y="0"/>
                  </a:cxn>
                  <a:cxn ang="0">
                    <a:pos x="297" y="10"/>
                  </a:cxn>
                  <a:cxn ang="0">
                    <a:pos x="296" y="19"/>
                  </a:cxn>
                </a:cxnLst>
                <a:rect l="0" t="0" r="r" b="b"/>
                <a:pathLst>
                  <a:path w="301" h="21">
                    <a:moveTo>
                      <a:pt x="296" y="19"/>
                    </a:moveTo>
                    <a:cubicBezTo>
                      <a:pt x="250" y="19"/>
                      <a:pt x="60" y="19"/>
                      <a:pt x="12" y="19"/>
                    </a:cubicBezTo>
                    <a:cubicBezTo>
                      <a:pt x="9" y="12"/>
                      <a:pt x="0" y="21"/>
                      <a:pt x="12" y="12"/>
                    </a:cubicBezTo>
                    <a:cubicBezTo>
                      <a:pt x="3" y="9"/>
                      <a:pt x="9" y="9"/>
                      <a:pt x="8" y="0"/>
                    </a:cubicBezTo>
                    <a:cubicBezTo>
                      <a:pt x="148" y="0"/>
                      <a:pt x="247" y="0"/>
                      <a:pt x="295" y="0"/>
                    </a:cubicBezTo>
                    <a:cubicBezTo>
                      <a:pt x="301" y="5"/>
                      <a:pt x="298" y="6"/>
                      <a:pt x="297" y="10"/>
                    </a:cubicBezTo>
                    <a:cubicBezTo>
                      <a:pt x="295" y="13"/>
                      <a:pt x="296" y="13"/>
                      <a:pt x="296" y="19"/>
                    </a:cubicBezTo>
                    <a:close/>
                  </a:path>
                </a:pathLst>
              </a:custGeom>
              <a:solidFill>
                <a:srgbClr val="FFFFFF"/>
              </a:solidFill>
              <a:ln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:ln>
            </xdr:spPr>
          </xdr:sp>
        </xdr:grpSp>
        <xdr:sp macro="[0]!Арматура1" textlink="">
          <xdr:nvSpPr>
            <xdr:cNvPr id="33040" name="Line 4368">
              <a:extLst>
                <a:ext uri="{FF2B5EF4-FFF2-40B4-BE49-F238E27FC236}">
                  <a16:creationId xmlns:a16="http://schemas.microsoft.com/office/drawing/2014/main" id="{00000000-0008-0000-0000-0000108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6" y="328"/>
              <a:ext cx="317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"/>
              <a:round/>
              <a:headEnd/>
              <a:tailEnd/>
            </a:ln>
          </xdr:spPr>
        </xdr:sp>
      </xdr:grpSp>
      <xdr:sp macro="[0]!Арматура1" textlink="">
        <xdr:nvSpPr>
          <xdr:cNvPr id="33044" name="Text Box 4372">
            <a:extLst>
              <a:ext uri="{FF2B5EF4-FFF2-40B4-BE49-F238E27FC236}">
                <a16:creationId xmlns:a16="http://schemas.microsoft.com/office/drawing/2014/main" id="{00000000-0008-0000-0000-0000148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9" y="216"/>
            <a:ext cx="71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0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Арматура</a:t>
            </a:r>
          </a:p>
        </xdr:txBody>
      </xdr:sp>
      <xdr:sp macro="[0]!Арматура1" textlink="">
        <xdr:nvSpPr>
          <xdr:cNvPr id="33046" name="Text Box 4374">
            <a:extLst>
              <a:ext uri="{FF2B5EF4-FFF2-40B4-BE49-F238E27FC236}">
                <a16:creationId xmlns:a16="http://schemas.microsoft.com/office/drawing/2014/main" id="{00000000-0008-0000-0000-0000168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3" y="182"/>
            <a:ext cx="28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21</a:t>
            </a:r>
          </a:p>
        </xdr:txBody>
      </xdr:sp>
    </xdr:grpSp>
    <xdr:clientData fPrintsWithSheet="0"/>
  </xdr:twoCellAnchor>
  <xdr:twoCellAnchor editAs="oneCell">
    <xdr:from>
      <xdr:col>9</xdr:col>
      <xdr:colOff>400050</xdr:colOff>
      <xdr:row>10</xdr:row>
      <xdr:rowOff>152400</xdr:rowOff>
    </xdr:from>
    <xdr:to>
      <xdr:col>11</xdr:col>
      <xdr:colOff>428625</xdr:colOff>
      <xdr:row>15</xdr:row>
      <xdr:rowOff>47625</xdr:rowOff>
    </xdr:to>
    <xdr:grpSp>
      <xdr:nvGrpSpPr>
        <xdr:cNvPr id="33199" name="Group 4527">
          <a:extLst>
            <a:ext uri="{FF2B5EF4-FFF2-40B4-BE49-F238E27FC236}">
              <a16:creationId xmlns:a16="http://schemas.microsoft.com/office/drawing/2014/main" id="{00000000-0008-0000-0000-0000AF810000}"/>
            </a:ext>
          </a:extLst>
        </xdr:cNvPr>
        <xdr:cNvGrpSpPr>
          <a:grpSpLocks/>
        </xdr:cNvGrpSpPr>
      </xdr:nvGrpSpPr>
      <xdr:grpSpPr bwMode="auto">
        <a:xfrm>
          <a:off x="5886450" y="1771650"/>
          <a:ext cx="1247775" cy="704850"/>
          <a:chOff x="678" y="195"/>
          <a:chExt cx="131" cy="74"/>
        </a:xfrm>
      </xdr:grpSpPr>
      <xdr:sp macro="[0]!Арматура2" textlink="">
        <xdr:nvSpPr>
          <xdr:cNvPr id="33135" name="Rectangle 4463">
            <a:extLst>
              <a:ext uri="{FF2B5EF4-FFF2-40B4-BE49-F238E27FC236}">
                <a16:creationId xmlns:a16="http://schemas.microsoft.com/office/drawing/2014/main" id="{00000000-0008-0000-0000-00006F810000}"/>
              </a:ext>
            </a:extLst>
          </xdr:cNvPr>
          <xdr:cNvSpPr>
            <a:spLocks noChangeArrowheads="1"/>
          </xdr:cNvSpPr>
        </xdr:nvSpPr>
        <xdr:spPr bwMode="auto">
          <a:xfrm>
            <a:off x="679" y="195"/>
            <a:ext cx="130" cy="74"/>
          </a:xfrm>
          <a:prstGeom prst="rect">
            <a:avLst/>
          </a:prstGeom>
          <a:solidFill>
            <a:srgbClr val="FFFFFF"/>
          </a:solidFill>
          <a:ln w="9525">
            <a:miter lim="800000"/>
            <a:headEnd/>
            <a:tailEnd/>
          </a:ln>
          <a:effectLst/>
          <a:scene3d>
            <a:camera prst="legacyPerspectiveTopRight"/>
            <a:lightRig rig="legacyFlat1" dir="t"/>
          </a:scene3d>
          <a:sp3d extrusionH="430200" prstMaterial="legacyMatte">
            <a:bevelT w="13500" h="13500" prst="angle"/>
            <a:bevelB w="13500" h="13500" prst="angle"/>
            <a:extrusionClr>
              <a:srgbClr val="FFFFFF"/>
            </a:extrusionClr>
          </a:sp3d>
        </xdr:spPr>
      </xdr:sp>
      <xdr:sp macro="[0]!Арматура2" textlink="">
        <xdr:nvSpPr>
          <xdr:cNvPr id="33045" name="Text Box 4373">
            <a:extLst>
              <a:ext uri="{FF2B5EF4-FFF2-40B4-BE49-F238E27FC236}">
                <a16:creationId xmlns:a16="http://schemas.microsoft.com/office/drawing/2014/main" id="{00000000-0008-0000-0000-0000158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06" y="224"/>
            <a:ext cx="71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0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Арматура</a:t>
            </a:r>
          </a:p>
        </xdr:txBody>
      </xdr:sp>
      <xdr:sp macro="[0]!Арматура2" textlink="">
        <xdr:nvSpPr>
          <xdr:cNvPr id="33047" name="Text Box 4375">
            <a:extLst>
              <a:ext uri="{FF2B5EF4-FFF2-40B4-BE49-F238E27FC236}">
                <a16:creationId xmlns:a16="http://schemas.microsoft.com/office/drawing/2014/main" id="{00000000-0008-0000-0000-0000178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74" y="202"/>
            <a:ext cx="28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22</a:t>
            </a:r>
          </a:p>
        </xdr:txBody>
      </xdr:sp>
      <xdr:grpSp>
        <xdr:nvGrpSpPr>
          <xdr:cNvPr id="33053" name="Group 4381">
            <a:extLst>
              <a:ext uri="{FF2B5EF4-FFF2-40B4-BE49-F238E27FC236}">
                <a16:creationId xmlns:a16="http://schemas.microsoft.com/office/drawing/2014/main" id="{00000000-0008-0000-0000-00001D810000}"/>
              </a:ext>
            </a:extLst>
          </xdr:cNvPr>
          <xdr:cNvGrpSpPr>
            <a:grpSpLocks/>
          </xdr:cNvGrpSpPr>
        </xdr:nvGrpSpPr>
        <xdr:grpSpPr bwMode="auto">
          <a:xfrm>
            <a:off x="678" y="200"/>
            <a:ext cx="92" cy="26"/>
            <a:chOff x="1070" y="82"/>
            <a:chExt cx="379" cy="106"/>
          </a:xfrm>
        </xdr:grpSpPr>
        <xdr:grpSp>
          <xdr:nvGrpSpPr>
            <xdr:cNvPr id="33054" name="Group 4382">
              <a:extLst>
                <a:ext uri="{FF2B5EF4-FFF2-40B4-BE49-F238E27FC236}">
                  <a16:creationId xmlns:a16="http://schemas.microsoft.com/office/drawing/2014/main" id="{00000000-0008-0000-0000-00001E8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90" y="82"/>
              <a:ext cx="338" cy="106"/>
              <a:chOff x="689" y="91"/>
              <a:chExt cx="338" cy="106"/>
            </a:xfrm>
          </xdr:grpSpPr>
          <xdr:sp macro="[0]!Арматура2" textlink="">
            <xdr:nvSpPr>
              <xdr:cNvPr id="33055" name="Freeform 4383">
                <a:extLst>
                  <a:ext uri="{FF2B5EF4-FFF2-40B4-BE49-F238E27FC236}">
                    <a16:creationId xmlns:a16="http://schemas.microsoft.com/office/drawing/2014/main" id="{00000000-0008-0000-0000-00001F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93"/>
                <a:ext cx="101" cy="27"/>
              </a:xfrm>
              <a:custGeom>
                <a:avLst/>
                <a:gdLst/>
                <a:ahLst/>
                <a:cxnLst>
                  <a:cxn ang="0">
                    <a:pos x="0" y="27"/>
                  </a:cxn>
                  <a:cxn ang="0">
                    <a:pos x="42" y="1"/>
                  </a:cxn>
                  <a:cxn ang="0">
                    <a:pos x="78" y="21"/>
                  </a:cxn>
                  <a:cxn ang="0">
                    <a:pos x="101" y="11"/>
                  </a:cxn>
                </a:cxnLst>
                <a:rect l="0" t="0" r="r" b="b"/>
                <a:pathLst>
                  <a:path w="101" h="27">
                    <a:moveTo>
                      <a:pt x="0" y="27"/>
                    </a:moveTo>
                    <a:cubicBezTo>
                      <a:pt x="10" y="20"/>
                      <a:pt x="29" y="2"/>
                      <a:pt x="42" y="1"/>
                    </a:cubicBezTo>
                    <a:cubicBezTo>
                      <a:pt x="55" y="0"/>
                      <a:pt x="68" y="19"/>
                      <a:pt x="78" y="21"/>
                    </a:cubicBezTo>
                    <a:cubicBezTo>
                      <a:pt x="88" y="23"/>
                      <a:pt x="97" y="13"/>
                      <a:pt x="101" y="11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56" name="Freeform 4384">
                <a:extLst>
                  <a:ext uri="{FF2B5EF4-FFF2-40B4-BE49-F238E27FC236}">
                    <a16:creationId xmlns:a16="http://schemas.microsoft.com/office/drawing/2014/main" id="{00000000-0008-0000-0000-000020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92"/>
                <a:ext cx="47" cy="19"/>
              </a:xfrm>
              <a:custGeom>
                <a:avLst/>
                <a:gdLst/>
                <a:ahLst/>
                <a:cxnLst>
                  <a:cxn ang="0">
                    <a:pos x="0" y="19"/>
                  </a:cxn>
                  <a:cxn ang="0">
                    <a:pos x="25" y="2"/>
                  </a:cxn>
                  <a:cxn ang="0">
                    <a:pos x="47" y="2"/>
                  </a:cxn>
                </a:cxnLst>
                <a:rect l="0" t="0" r="r" b="b"/>
                <a:pathLst>
                  <a:path w="47" h="19">
                    <a:moveTo>
                      <a:pt x="0" y="19"/>
                    </a:moveTo>
                    <a:cubicBezTo>
                      <a:pt x="4" y="16"/>
                      <a:pt x="17" y="5"/>
                      <a:pt x="25" y="2"/>
                    </a:cubicBezTo>
                    <a:cubicBezTo>
                      <a:pt x="36" y="0"/>
                      <a:pt x="37" y="2"/>
                      <a:pt x="47" y="2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57" name="Freeform 4385">
                <a:extLst>
                  <a:ext uri="{FF2B5EF4-FFF2-40B4-BE49-F238E27FC236}">
                    <a16:creationId xmlns:a16="http://schemas.microsoft.com/office/drawing/2014/main" id="{00000000-0008-0000-0000-000021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2" y="105"/>
                <a:ext cx="61" cy="7"/>
              </a:xfrm>
              <a:custGeom>
                <a:avLst/>
                <a:gdLst/>
                <a:ahLst/>
                <a:cxnLst>
                  <a:cxn ang="0">
                    <a:pos x="0" y="7"/>
                  </a:cxn>
                  <a:cxn ang="0">
                    <a:pos x="30" y="0"/>
                  </a:cxn>
                  <a:cxn ang="0">
                    <a:pos x="61" y="7"/>
                  </a:cxn>
                </a:cxnLst>
                <a:rect l="0" t="0" r="r" b="b"/>
                <a:pathLst>
                  <a:path w="61" h="7">
                    <a:moveTo>
                      <a:pt x="0" y="7"/>
                    </a:moveTo>
                    <a:cubicBezTo>
                      <a:pt x="7" y="3"/>
                      <a:pt x="15" y="0"/>
                      <a:pt x="30" y="0"/>
                    </a:cubicBezTo>
                    <a:cubicBezTo>
                      <a:pt x="41" y="1"/>
                      <a:pt x="46" y="1"/>
                      <a:pt x="61" y="7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33058" name="Group 4386">
                <a:extLst>
                  <a:ext uri="{FF2B5EF4-FFF2-40B4-BE49-F238E27FC236}">
                    <a16:creationId xmlns:a16="http://schemas.microsoft.com/office/drawing/2014/main" id="{00000000-0008-0000-0000-00002281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753" y="91"/>
                <a:ext cx="131" cy="47"/>
                <a:chOff x="752" y="89"/>
                <a:chExt cx="131" cy="47"/>
              </a:xfrm>
            </xdr:grpSpPr>
            <xdr:sp macro="[0]!Арматура2" textlink="">
              <xdr:nvSpPr>
                <xdr:cNvPr id="33059" name="Freeform 4387">
                  <a:extLst>
                    <a:ext uri="{FF2B5EF4-FFF2-40B4-BE49-F238E27FC236}">
                      <a16:creationId xmlns:a16="http://schemas.microsoft.com/office/drawing/2014/main" id="{00000000-0008-0000-0000-000023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060" name="Freeform 4388">
                  <a:extLst>
                    <a:ext uri="{FF2B5EF4-FFF2-40B4-BE49-F238E27FC236}">
                      <a16:creationId xmlns:a16="http://schemas.microsoft.com/office/drawing/2014/main" id="{00000000-0008-0000-0000-000024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90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061" name="Freeform 4389">
                  <a:extLst>
                    <a:ext uri="{FF2B5EF4-FFF2-40B4-BE49-F238E27FC236}">
                      <a16:creationId xmlns:a16="http://schemas.microsoft.com/office/drawing/2014/main" id="{00000000-0008-0000-0000-000025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3062" name="Group 4390">
                <a:extLst>
                  <a:ext uri="{FF2B5EF4-FFF2-40B4-BE49-F238E27FC236}">
                    <a16:creationId xmlns:a16="http://schemas.microsoft.com/office/drawing/2014/main" id="{00000000-0008-0000-0000-00002681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46" y="91"/>
                <a:ext cx="131" cy="47"/>
                <a:chOff x="752" y="89"/>
                <a:chExt cx="131" cy="47"/>
              </a:xfrm>
            </xdr:grpSpPr>
            <xdr:sp macro="[0]!Арматура2" textlink="">
              <xdr:nvSpPr>
                <xdr:cNvPr id="33063" name="Freeform 4391">
                  <a:extLst>
                    <a:ext uri="{FF2B5EF4-FFF2-40B4-BE49-F238E27FC236}">
                      <a16:creationId xmlns:a16="http://schemas.microsoft.com/office/drawing/2014/main" id="{00000000-0008-0000-0000-000027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064" name="Freeform 4392">
                  <a:extLst>
                    <a:ext uri="{FF2B5EF4-FFF2-40B4-BE49-F238E27FC236}">
                      <a16:creationId xmlns:a16="http://schemas.microsoft.com/office/drawing/2014/main" id="{00000000-0008-0000-0000-000028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90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065" name="Freeform 4393">
                  <a:extLst>
                    <a:ext uri="{FF2B5EF4-FFF2-40B4-BE49-F238E27FC236}">
                      <a16:creationId xmlns:a16="http://schemas.microsoft.com/office/drawing/2014/main" id="{00000000-0008-0000-0000-000029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sp macro="[0]!Арматура2" textlink="">
            <xdr:nvSpPr>
              <xdr:cNvPr id="33066" name="Freeform 4394">
                <a:extLst>
                  <a:ext uri="{FF2B5EF4-FFF2-40B4-BE49-F238E27FC236}">
                    <a16:creationId xmlns:a16="http://schemas.microsoft.com/office/drawing/2014/main" id="{00000000-0008-0000-0000-00002A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93"/>
                <a:ext cx="75" cy="45"/>
              </a:xfrm>
              <a:custGeom>
                <a:avLst/>
                <a:gdLst/>
                <a:ahLst/>
                <a:cxnLst>
                  <a:cxn ang="0">
                    <a:pos x="0" y="45"/>
                  </a:cxn>
                  <a:cxn ang="0">
                    <a:pos x="60" y="1"/>
                  </a:cxn>
                  <a:cxn ang="0">
                    <a:pos x="75" y="4"/>
                  </a:cxn>
                </a:cxnLst>
                <a:rect l="0" t="0" r="r" b="b"/>
                <a:pathLst>
                  <a:path w="75" h="45">
                    <a:moveTo>
                      <a:pt x="0" y="45"/>
                    </a:moveTo>
                    <a:cubicBezTo>
                      <a:pt x="29" y="20"/>
                      <a:pt x="46" y="6"/>
                      <a:pt x="60" y="1"/>
                    </a:cubicBezTo>
                    <a:cubicBezTo>
                      <a:pt x="69" y="0"/>
                      <a:pt x="70" y="2"/>
                      <a:pt x="75" y="4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67" name="Freeform 4395">
                <a:extLst>
                  <a:ext uri="{FF2B5EF4-FFF2-40B4-BE49-F238E27FC236}">
                    <a16:creationId xmlns:a16="http://schemas.microsoft.com/office/drawing/2014/main" id="{00000000-0008-0000-0000-00002B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8" y="92"/>
                <a:ext cx="76" cy="45"/>
              </a:xfrm>
              <a:custGeom>
                <a:avLst/>
                <a:gdLst/>
                <a:ahLst/>
                <a:cxnLst>
                  <a:cxn ang="0">
                    <a:pos x="0" y="45"/>
                  </a:cxn>
                  <a:cxn ang="0">
                    <a:pos x="54" y="2"/>
                  </a:cxn>
                  <a:cxn ang="0">
                    <a:pos x="76" y="2"/>
                  </a:cxn>
                </a:cxnLst>
                <a:rect l="0" t="0" r="r" b="b"/>
                <a:pathLst>
                  <a:path w="76" h="45">
                    <a:moveTo>
                      <a:pt x="0" y="45"/>
                    </a:moveTo>
                    <a:cubicBezTo>
                      <a:pt x="17" y="27"/>
                      <a:pt x="41" y="9"/>
                      <a:pt x="54" y="2"/>
                    </a:cubicBezTo>
                    <a:cubicBezTo>
                      <a:pt x="65" y="0"/>
                      <a:pt x="66" y="2"/>
                      <a:pt x="76" y="2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68" name="Freeform 4396">
                <a:extLst>
                  <a:ext uri="{FF2B5EF4-FFF2-40B4-BE49-F238E27FC236}">
                    <a16:creationId xmlns:a16="http://schemas.microsoft.com/office/drawing/2014/main" id="{00000000-0008-0000-0000-00002C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04"/>
                <a:ext cx="45" cy="8"/>
              </a:xfrm>
              <a:custGeom>
                <a:avLst/>
                <a:gdLst/>
                <a:ahLst/>
                <a:cxnLst>
                  <a:cxn ang="0">
                    <a:pos x="0" y="8"/>
                  </a:cxn>
                  <a:cxn ang="0">
                    <a:pos x="30" y="1"/>
                  </a:cxn>
                  <a:cxn ang="0">
                    <a:pos x="45" y="3"/>
                  </a:cxn>
                </a:cxnLst>
                <a:rect l="0" t="0" r="r" b="b"/>
                <a:pathLst>
                  <a:path w="45" h="8">
                    <a:moveTo>
                      <a:pt x="0" y="8"/>
                    </a:moveTo>
                    <a:cubicBezTo>
                      <a:pt x="7" y="4"/>
                      <a:pt x="15" y="1"/>
                      <a:pt x="30" y="1"/>
                    </a:cubicBezTo>
                    <a:cubicBezTo>
                      <a:pt x="37" y="0"/>
                      <a:pt x="43" y="3"/>
                      <a:pt x="45" y="3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69" name="Freeform 4397">
                <a:extLst>
                  <a:ext uri="{FF2B5EF4-FFF2-40B4-BE49-F238E27FC236}">
                    <a16:creationId xmlns:a16="http://schemas.microsoft.com/office/drawing/2014/main" id="{00000000-0008-0000-0000-00002D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1" y="166"/>
                <a:ext cx="103" cy="30"/>
              </a:xfrm>
              <a:custGeom>
                <a:avLst/>
                <a:gdLst/>
                <a:ahLst/>
                <a:cxnLst>
                  <a:cxn ang="0">
                    <a:pos x="103" y="0"/>
                  </a:cxn>
                  <a:cxn ang="0">
                    <a:pos x="60" y="28"/>
                  </a:cxn>
                  <a:cxn ang="0">
                    <a:pos x="23" y="9"/>
                  </a:cxn>
                  <a:cxn ang="0">
                    <a:pos x="0" y="19"/>
                  </a:cxn>
                </a:cxnLst>
                <a:rect l="0" t="0" r="r" b="b"/>
                <a:pathLst>
                  <a:path w="103" h="30">
                    <a:moveTo>
                      <a:pt x="103" y="0"/>
                    </a:moveTo>
                    <a:cubicBezTo>
                      <a:pt x="96" y="5"/>
                      <a:pt x="73" y="26"/>
                      <a:pt x="60" y="28"/>
                    </a:cubicBezTo>
                    <a:cubicBezTo>
                      <a:pt x="47" y="30"/>
                      <a:pt x="33" y="11"/>
                      <a:pt x="23" y="9"/>
                    </a:cubicBezTo>
                    <a:cubicBezTo>
                      <a:pt x="13" y="7"/>
                      <a:pt x="4" y="17"/>
                      <a:pt x="0" y="19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70" name="Freeform 4398">
                <a:extLst>
                  <a:ext uri="{FF2B5EF4-FFF2-40B4-BE49-F238E27FC236}">
                    <a16:creationId xmlns:a16="http://schemas.microsoft.com/office/drawing/2014/main" id="{00000000-0008-0000-0000-00002E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7" y="175"/>
                <a:ext cx="48" cy="20"/>
              </a:xfrm>
              <a:custGeom>
                <a:avLst/>
                <a:gdLst/>
                <a:ahLst/>
                <a:cxnLst>
                  <a:cxn ang="0">
                    <a:pos x="48" y="0"/>
                  </a:cxn>
                  <a:cxn ang="0">
                    <a:pos x="22" y="18"/>
                  </a:cxn>
                  <a:cxn ang="0">
                    <a:pos x="0" y="19"/>
                  </a:cxn>
                </a:cxnLst>
                <a:rect l="0" t="0" r="r" b="b"/>
                <a:pathLst>
                  <a:path w="48" h="20">
                    <a:moveTo>
                      <a:pt x="48" y="0"/>
                    </a:moveTo>
                    <a:cubicBezTo>
                      <a:pt x="44" y="3"/>
                      <a:pt x="30" y="15"/>
                      <a:pt x="22" y="18"/>
                    </a:cubicBezTo>
                    <a:cubicBezTo>
                      <a:pt x="11" y="20"/>
                      <a:pt x="10" y="19"/>
                      <a:pt x="0" y="19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71" name="Freeform 4399">
                <a:extLst>
                  <a:ext uri="{FF2B5EF4-FFF2-40B4-BE49-F238E27FC236}">
                    <a16:creationId xmlns:a16="http://schemas.microsoft.com/office/drawing/2014/main" id="{00000000-0008-0000-0000-00002F810000}"/>
                  </a:ext>
                </a:extLst>
              </xdr:cNvPr>
              <xdr:cNvSpPr>
                <a:spLocks/>
              </xdr:cNvSpPr>
            </xdr:nvSpPr>
            <xdr:spPr bwMode="auto">
              <a:xfrm flipH="1" flipV="1">
                <a:off x="950" y="177"/>
                <a:ext cx="61" cy="7"/>
              </a:xfrm>
              <a:custGeom>
                <a:avLst/>
                <a:gdLst/>
                <a:ahLst/>
                <a:cxnLst>
                  <a:cxn ang="0">
                    <a:pos x="0" y="7"/>
                  </a:cxn>
                  <a:cxn ang="0">
                    <a:pos x="30" y="0"/>
                  </a:cxn>
                  <a:cxn ang="0">
                    <a:pos x="61" y="7"/>
                  </a:cxn>
                </a:cxnLst>
                <a:rect l="0" t="0" r="r" b="b"/>
                <a:pathLst>
                  <a:path w="61" h="7">
                    <a:moveTo>
                      <a:pt x="0" y="7"/>
                    </a:moveTo>
                    <a:cubicBezTo>
                      <a:pt x="7" y="3"/>
                      <a:pt x="15" y="0"/>
                      <a:pt x="30" y="0"/>
                    </a:cubicBezTo>
                    <a:cubicBezTo>
                      <a:pt x="41" y="1"/>
                      <a:pt x="46" y="1"/>
                      <a:pt x="61" y="7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33072" name="Group 4400">
                <a:extLst>
                  <a:ext uri="{FF2B5EF4-FFF2-40B4-BE49-F238E27FC236}">
                    <a16:creationId xmlns:a16="http://schemas.microsoft.com/office/drawing/2014/main" id="{00000000-0008-0000-0000-000030810000}"/>
                  </a:ext>
                </a:extLst>
              </xdr:cNvPr>
              <xdr:cNvGrpSpPr>
                <a:grpSpLocks/>
              </xdr:cNvGrpSpPr>
            </xdr:nvGrpSpPr>
            <xdr:grpSpPr bwMode="auto">
              <a:xfrm flipH="1" flipV="1">
                <a:off x="829" y="150"/>
                <a:ext cx="131" cy="47"/>
                <a:chOff x="752" y="89"/>
                <a:chExt cx="131" cy="47"/>
              </a:xfrm>
            </xdr:grpSpPr>
            <xdr:sp macro="[0]!Арматура2" textlink="">
              <xdr:nvSpPr>
                <xdr:cNvPr id="33073" name="Freeform 4401">
                  <a:extLst>
                    <a:ext uri="{FF2B5EF4-FFF2-40B4-BE49-F238E27FC236}">
                      <a16:creationId xmlns:a16="http://schemas.microsoft.com/office/drawing/2014/main" id="{00000000-0008-0000-0000-000031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074" name="Freeform 4402">
                  <a:extLst>
                    <a:ext uri="{FF2B5EF4-FFF2-40B4-BE49-F238E27FC236}">
                      <a16:creationId xmlns:a16="http://schemas.microsoft.com/office/drawing/2014/main" id="{00000000-0008-0000-0000-000032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90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075" name="Freeform 4403">
                  <a:extLst>
                    <a:ext uri="{FF2B5EF4-FFF2-40B4-BE49-F238E27FC236}">
                      <a16:creationId xmlns:a16="http://schemas.microsoft.com/office/drawing/2014/main" id="{00000000-0008-0000-0000-000033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3076" name="Group 4404">
                <a:extLst>
                  <a:ext uri="{FF2B5EF4-FFF2-40B4-BE49-F238E27FC236}">
                    <a16:creationId xmlns:a16="http://schemas.microsoft.com/office/drawing/2014/main" id="{00000000-0008-0000-0000-000034810000}"/>
                  </a:ext>
                </a:extLst>
              </xdr:cNvPr>
              <xdr:cNvGrpSpPr>
                <a:grpSpLocks/>
              </xdr:cNvGrpSpPr>
            </xdr:nvGrpSpPr>
            <xdr:grpSpPr bwMode="auto">
              <a:xfrm flipH="1" flipV="1">
                <a:off x="736" y="150"/>
                <a:ext cx="131" cy="47"/>
                <a:chOff x="752" y="89"/>
                <a:chExt cx="131" cy="47"/>
              </a:xfrm>
            </xdr:grpSpPr>
            <xdr:sp macro="[0]!Арматура2" textlink="">
              <xdr:nvSpPr>
                <xdr:cNvPr id="33077" name="Freeform 4405">
                  <a:extLst>
                    <a:ext uri="{FF2B5EF4-FFF2-40B4-BE49-F238E27FC236}">
                      <a16:creationId xmlns:a16="http://schemas.microsoft.com/office/drawing/2014/main" id="{00000000-0008-0000-0000-000035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078" name="Freeform 4406">
                  <a:extLst>
                    <a:ext uri="{FF2B5EF4-FFF2-40B4-BE49-F238E27FC236}">
                      <a16:creationId xmlns:a16="http://schemas.microsoft.com/office/drawing/2014/main" id="{00000000-0008-0000-0000-000036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90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079" name="Freeform 4407">
                  <a:extLst>
                    <a:ext uri="{FF2B5EF4-FFF2-40B4-BE49-F238E27FC236}">
                      <a16:creationId xmlns:a16="http://schemas.microsoft.com/office/drawing/2014/main" id="{00000000-0008-0000-0000-000037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sp macro="[0]!Арматура2" textlink="">
            <xdr:nvSpPr>
              <xdr:cNvPr id="33080" name="Freeform 4408">
                <a:extLst>
                  <a:ext uri="{FF2B5EF4-FFF2-40B4-BE49-F238E27FC236}">
                    <a16:creationId xmlns:a16="http://schemas.microsoft.com/office/drawing/2014/main" id="{00000000-0008-0000-0000-000038810000}"/>
                  </a:ext>
                </a:extLst>
              </xdr:cNvPr>
              <xdr:cNvSpPr>
                <a:spLocks/>
              </xdr:cNvSpPr>
            </xdr:nvSpPr>
            <xdr:spPr bwMode="auto">
              <a:xfrm flipH="1" flipV="1">
                <a:off x="689" y="150"/>
                <a:ext cx="75" cy="45"/>
              </a:xfrm>
              <a:custGeom>
                <a:avLst/>
                <a:gdLst/>
                <a:ahLst/>
                <a:cxnLst>
                  <a:cxn ang="0">
                    <a:pos x="0" y="45"/>
                  </a:cxn>
                  <a:cxn ang="0">
                    <a:pos x="60" y="1"/>
                  </a:cxn>
                  <a:cxn ang="0">
                    <a:pos x="75" y="4"/>
                  </a:cxn>
                </a:cxnLst>
                <a:rect l="0" t="0" r="r" b="b"/>
                <a:pathLst>
                  <a:path w="75" h="45">
                    <a:moveTo>
                      <a:pt x="0" y="45"/>
                    </a:moveTo>
                    <a:cubicBezTo>
                      <a:pt x="29" y="20"/>
                      <a:pt x="46" y="6"/>
                      <a:pt x="60" y="1"/>
                    </a:cubicBezTo>
                    <a:cubicBezTo>
                      <a:pt x="69" y="0"/>
                      <a:pt x="70" y="2"/>
                      <a:pt x="75" y="4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81" name="Freeform 4409">
                <a:extLst>
                  <a:ext uri="{FF2B5EF4-FFF2-40B4-BE49-F238E27FC236}">
                    <a16:creationId xmlns:a16="http://schemas.microsoft.com/office/drawing/2014/main" id="{00000000-0008-0000-0000-000039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9" y="151"/>
                <a:ext cx="77" cy="46"/>
              </a:xfrm>
              <a:custGeom>
                <a:avLst/>
                <a:gdLst/>
                <a:ahLst/>
                <a:cxnLst>
                  <a:cxn ang="0">
                    <a:pos x="77" y="0"/>
                  </a:cxn>
                  <a:cxn ang="0">
                    <a:pos x="22" y="44"/>
                  </a:cxn>
                  <a:cxn ang="0">
                    <a:pos x="0" y="44"/>
                  </a:cxn>
                </a:cxnLst>
                <a:rect l="0" t="0" r="r" b="b"/>
                <a:pathLst>
                  <a:path w="77" h="46">
                    <a:moveTo>
                      <a:pt x="77" y="0"/>
                    </a:moveTo>
                    <a:cubicBezTo>
                      <a:pt x="60" y="18"/>
                      <a:pt x="36" y="35"/>
                      <a:pt x="22" y="44"/>
                    </a:cubicBezTo>
                    <a:cubicBezTo>
                      <a:pt x="11" y="46"/>
                      <a:pt x="10" y="44"/>
                      <a:pt x="0" y="44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82" name="Freeform 4410">
                <a:extLst>
                  <a:ext uri="{FF2B5EF4-FFF2-40B4-BE49-F238E27FC236}">
                    <a16:creationId xmlns:a16="http://schemas.microsoft.com/office/drawing/2014/main" id="{00000000-0008-0000-0000-00003A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76"/>
                <a:ext cx="42" cy="8"/>
              </a:xfrm>
              <a:custGeom>
                <a:avLst/>
                <a:gdLst/>
                <a:ahLst/>
                <a:cxnLst>
                  <a:cxn ang="0">
                    <a:pos x="42" y="0"/>
                  </a:cxn>
                  <a:cxn ang="0">
                    <a:pos x="13" y="7"/>
                  </a:cxn>
                  <a:cxn ang="0">
                    <a:pos x="0" y="5"/>
                  </a:cxn>
                </a:cxnLst>
                <a:rect l="0" t="0" r="r" b="b"/>
                <a:pathLst>
                  <a:path w="42" h="8">
                    <a:moveTo>
                      <a:pt x="42" y="0"/>
                    </a:moveTo>
                    <a:cubicBezTo>
                      <a:pt x="35" y="4"/>
                      <a:pt x="28" y="7"/>
                      <a:pt x="13" y="7"/>
                    </a:cubicBezTo>
                    <a:cubicBezTo>
                      <a:pt x="6" y="8"/>
                      <a:pt x="3" y="5"/>
                      <a:pt x="0" y="5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83" name="Freeform 4411">
                <a:extLst>
                  <a:ext uri="{FF2B5EF4-FFF2-40B4-BE49-F238E27FC236}">
                    <a16:creationId xmlns:a16="http://schemas.microsoft.com/office/drawing/2014/main" id="{00000000-0008-0000-0000-00003B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36"/>
                <a:ext cx="336" cy="14"/>
              </a:xfrm>
              <a:custGeom>
                <a:avLst/>
                <a:gdLst/>
                <a:ahLst/>
                <a:cxnLst>
                  <a:cxn ang="0">
                    <a:pos x="336" y="14"/>
                  </a:cxn>
                  <a:cxn ang="0">
                    <a:pos x="0" y="14"/>
                  </a:cxn>
                  <a:cxn ang="0">
                    <a:pos x="0" y="2"/>
                  </a:cxn>
                  <a:cxn ang="0">
                    <a:pos x="333" y="2"/>
                  </a:cxn>
                  <a:cxn ang="0">
                    <a:pos x="336" y="14"/>
                  </a:cxn>
                </a:cxnLst>
                <a:rect l="0" t="0" r="r" b="b"/>
                <a:pathLst>
                  <a:path w="336" h="14">
                    <a:moveTo>
                      <a:pt x="336" y="14"/>
                    </a:moveTo>
                    <a:cubicBezTo>
                      <a:pt x="283" y="14"/>
                      <a:pt x="57" y="14"/>
                      <a:pt x="0" y="14"/>
                    </a:cubicBezTo>
                    <a:cubicBezTo>
                      <a:pt x="0" y="0"/>
                      <a:pt x="0" y="9"/>
                      <a:pt x="0" y="2"/>
                    </a:cubicBezTo>
                    <a:cubicBezTo>
                      <a:pt x="164" y="2"/>
                      <a:pt x="277" y="2"/>
                      <a:pt x="333" y="2"/>
                    </a:cubicBezTo>
                    <a:cubicBezTo>
                      <a:pt x="334" y="10"/>
                      <a:pt x="336" y="8"/>
                      <a:pt x="336" y="14"/>
                    </a:cubicBezTo>
                    <a:close/>
                  </a:path>
                </a:pathLst>
              </a:custGeom>
              <a:noFill/>
              <a:ln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:ln>
            </xdr:spPr>
          </xdr:sp>
          <xdr:sp macro="[0]!Арматура2" textlink="">
            <xdr:nvSpPr>
              <xdr:cNvPr id="33084" name="Line 4412">
                <a:extLst>
                  <a:ext uri="{FF2B5EF4-FFF2-40B4-BE49-F238E27FC236}">
                    <a16:creationId xmlns:a16="http://schemas.microsoft.com/office/drawing/2014/main" id="{00000000-0008-0000-0000-00003C8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691" y="111"/>
                <a:ext cx="0" cy="8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85" name="Freeform 4413">
                <a:extLst>
                  <a:ext uri="{FF2B5EF4-FFF2-40B4-BE49-F238E27FC236}">
                    <a16:creationId xmlns:a16="http://schemas.microsoft.com/office/drawing/2014/main" id="{00000000-0008-0000-0000-00003D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1" y="98"/>
                <a:ext cx="6" cy="87"/>
              </a:xfrm>
              <a:custGeom>
                <a:avLst/>
                <a:gdLst/>
                <a:ahLst/>
                <a:cxnLst>
                  <a:cxn ang="0">
                    <a:pos x="3" y="0"/>
                  </a:cxn>
                  <a:cxn ang="0">
                    <a:pos x="4" y="10"/>
                  </a:cxn>
                  <a:cxn ang="0">
                    <a:pos x="2" y="22"/>
                  </a:cxn>
                  <a:cxn ang="0">
                    <a:pos x="4" y="30"/>
                  </a:cxn>
                  <a:cxn ang="0">
                    <a:pos x="3" y="43"/>
                  </a:cxn>
                  <a:cxn ang="0">
                    <a:pos x="6" y="51"/>
                  </a:cxn>
                  <a:cxn ang="0">
                    <a:pos x="3" y="60"/>
                  </a:cxn>
                  <a:cxn ang="0">
                    <a:pos x="2" y="70"/>
                  </a:cxn>
                  <a:cxn ang="0">
                    <a:pos x="3" y="80"/>
                  </a:cxn>
                  <a:cxn ang="0">
                    <a:pos x="0" y="85"/>
                  </a:cxn>
                  <a:cxn ang="0">
                    <a:pos x="1" y="87"/>
                  </a:cxn>
                </a:cxnLst>
                <a:rect l="0" t="0" r="r" b="b"/>
                <a:pathLst>
                  <a:path w="6" h="87">
                    <a:moveTo>
                      <a:pt x="3" y="0"/>
                    </a:moveTo>
                    <a:cubicBezTo>
                      <a:pt x="3" y="3"/>
                      <a:pt x="4" y="6"/>
                      <a:pt x="4" y="10"/>
                    </a:cubicBezTo>
                    <a:cubicBezTo>
                      <a:pt x="4" y="14"/>
                      <a:pt x="2" y="19"/>
                      <a:pt x="2" y="22"/>
                    </a:cubicBezTo>
                    <a:cubicBezTo>
                      <a:pt x="2" y="25"/>
                      <a:pt x="4" y="27"/>
                      <a:pt x="4" y="30"/>
                    </a:cubicBezTo>
                    <a:cubicBezTo>
                      <a:pt x="4" y="33"/>
                      <a:pt x="3" y="40"/>
                      <a:pt x="3" y="43"/>
                    </a:cubicBezTo>
                    <a:cubicBezTo>
                      <a:pt x="3" y="46"/>
                      <a:pt x="6" y="48"/>
                      <a:pt x="6" y="51"/>
                    </a:cubicBezTo>
                    <a:cubicBezTo>
                      <a:pt x="6" y="54"/>
                      <a:pt x="4" y="57"/>
                      <a:pt x="3" y="60"/>
                    </a:cubicBezTo>
                    <a:cubicBezTo>
                      <a:pt x="2" y="63"/>
                      <a:pt x="2" y="67"/>
                      <a:pt x="2" y="70"/>
                    </a:cubicBezTo>
                    <a:cubicBezTo>
                      <a:pt x="2" y="73"/>
                      <a:pt x="3" y="78"/>
                      <a:pt x="3" y="80"/>
                    </a:cubicBezTo>
                    <a:cubicBezTo>
                      <a:pt x="3" y="82"/>
                      <a:pt x="0" y="84"/>
                      <a:pt x="0" y="85"/>
                    </a:cubicBezTo>
                    <a:cubicBezTo>
                      <a:pt x="0" y="86"/>
                      <a:pt x="1" y="87"/>
                      <a:pt x="1" y="87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86" name="Freeform 4414">
                <a:extLst>
                  <a:ext uri="{FF2B5EF4-FFF2-40B4-BE49-F238E27FC236}">
                    <a16:creationId xmlns:a16="http://schemas.microsoft.com/office/drawing/2014/main" id="{00000000-0008-0000-0000-00003E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1" y="183"/>
                <a:ext cx="11" cy="4"/>
              </a:xfrm>
              <a:custGeom>
                <a:avLst/>
                <a:gdLst/>
                <a:ahLst/>
                <a:cxnLst>
                  <a:cxn ang="0">
                    <a:pos x="0" y="4"/>
                  </a:cxn>
                  <a:cxn ang="0">
                    <a:pos x="11" y="0"/>
                  </a:cxn>
                </a:cxnLst>
                <a:rect l="0" t="0" r="r" b="b"/>
                <a:pathLst>
                  <a:path w="11" h="4">
                    <a:moveTo>
                      <a:pt x="0" y="4"/>
                    </a:moveTo>
                    <a:cubicBezTo>
                      <a:pt x="4" y="2"/>
                      <a:pt x="9" y="1"/>
                      <a:pt x="11" y="0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sp macro="[0]!Арматура2" textlink="">
          <xdr:nvSpPr>
            <xdr:cNvPr id="33087" name="Line 4415">
              <a:extLst>
                <a:ext uri="{FF2B5EF4-FFF2-40B4-BE49-F238E27FC236}">
                  <a16:creationId xmlns:a16="http://schemas.microsoft.com/office/drawing/2014/main" id="{00000000-0008-0000-0000-00003F8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0" y="135"/>
              <a:ext cx="379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"/>
              <a:round/>
              <a:headEnd/>
              <a:tailEnd/>
            </a:ln>
          </xdr:spPr>
        </xdr:sp>
      </xdr:grpSp>
      <xdr:grpSp>
        <xdr:nvGrpSpPr>
          <xdr:cNvPr id="33095" name="Group 4423">
            <a:extLst>
              <a:ext uri="{FF2B5EF4-FFF2-40B4-BE49-F238E27FC236}">
                <a16:creationId xmlns:a16="http://schemas.microsoft.com/office/drawing/2014/main" id="{00000000-0008-0000-0000-000047810000}"/>
              </a:ext>
            </a:extLst>
          </xdr:cNvPr>
          <xdr:cNvGrpSpPr>
            <a:grpSpLocks/>
          </xdr:cNvGrpSpPr>
        </xdr:nvGrpSpPr>
        <xdr:grpSpPr bwMode="auto">
          <a:xfrm>
            <a:off x="727" y="241"/>
            <a:ext cx="79" cy="24"/>
            <a:chOff x="1531" y="433"/>
            <a:chExt cx="353" cy="102"/>
          </a:xfrm>
        </xdr:grpSpPr>
        <xdr:sp macro="[0]!Арматура2" textlink="">
          <xdr:nvSpPr>
            <xdr:cNvPr id="33096" name="Line 4424">
              <a:extLst>
                <a:ext uri="{FF2B5EF4-FFF2-40B4-BE49-F238E27FC236}">
                  <a16:creationId xmlns:a16="http://schemas.microsoft.com/office/drawing/2014/main" id="{00000000-0008-0000-0000-0000488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31" y="484"/>
              <a:ext cx="353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"/>
              <a:round/>
              <a:headEnd/>
              <a:tailEnd/>
            </a:ln>
          </xdr:spPr>
        </xdr:sp>
        <xdr:grpSp>
          <xdr:nvGrpSpPr>
            <xdr:cNvPr id="33097" name="Group 4425">
              <a:extLst>
                <a:ext uri="{FF2B5EF4-FFF2-40B4-BE49-F238E27FC236}">
                  <a16:creationId xmlns:a16="http://schemas.microsoft.com/office/drawing/2014/main" id="{00000000-0008-0000-0000-0000498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535" y="433"/>
              <a:ext cx="340" cy="102"/>
              <a:chOff x="697" y="220"/>
              <a:chExt cx="340" cy="104"/>
            </a:xfrm>
          </xdr:grpSpPr>
          <xdr:sp macro="[0]!Арматура2" textlink="">
            <xdr:nvSpPr>
              <xdr:cNvPr id="33098" name="Freeform 4426">
                <a:extLst>
                  <a:ext uri="{FF2B5EF4-FFF2-40B4-BE49-F238E27FC236}">
                    <a16:creationId xmlns:a16="http://schemas.microsoft.com/office/drawing/2014/main" id="{00000000-0008-0000-0000-00004A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7" y="221"/>
                <a:ext cx="106" cy="33"/>
              </a:xfrm>
              <a:custGeom>
                <a:avLst/>
                <a:gdLst/>
                <a:ahLst/>
                <a:cxnLst>
                  <a:cxn ang="0">
                    <a:pos x="0" y="33"/>
                  </a:cxn>
                  <a:cxn ang="0">
                    <a:pos x="46" y="2"/>
                  </a:cxn>
                  <a:cxn ang="0">
                    <a:pos x="83" y="22"/>
                  </a:cxn>
                  <a:cxn ang="0">
                    <a:pos x="106" y="12"/>
                  </a:cxn>
                </a:cxnLst>
                <a:rect l="0" t="0" r="r" b="b"/>
                <a:pathLst>
                  <a:path w="106" h="33">
                    <a:moveTo>
                      <a:pt x="0" y="33"/>
                    </a:moveTo>
                    <a:cubicBezTo>
                      <a:pt x="9" y="25"/>
                      <a:pt x="32" y="4"/>
                      <a:pt x="46" y="2"/>
                    </a:cubicBezTo>
                    <a:cubicBezTo>
                      <a:pt x="60" y="0"/>
                      <a:pt x="73" y="20"/>
                      <a:pt x="83" y="22"/>
                    </a:cubicBezTo>
                    <a:cubicBezTo>
                      <a:pt x="93" y="24"/>
                      <a:pt x="102" y="14"/>
                      <a:pt x="106" y="12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099" name="Freeform 4427">
                <a:extLst>
                  <a:ext uri="{FF2B5EF4-FFF2-40B4-BE49-F238E27FC236}">
                    <a16:creationId xmlns:a16="http://schemas.microsoft.com/office/drawing/2014/main" id="{00000000-0008-0000-0000-00004B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3" y="221"/>
                <a:ext cx="45" cy="18"/>
              </a:xfrm>
              <a:custGeom>
                <a:avLst/>
                <a:gdLst/>
                <a:ahLst/>
                <a:cxnLst>
                  <a:cxn ang="0">
                    <a:pos x="0" y="18"/>
                  </a:cxn>
                  <a:cxn ang="0">
                    <a:pos x="23" y="2"/>
                  </a:cxn>
                  <a:cxn ang="0">
                    <a:pos x="45" y="2"/>
                  </a:cxn>
                </a:cxnLst>
                <a:rect l="0" t="0" r="r" b="b"/>
                <a:pathLst>
                  <a:path w="45" h="18">
                    <a:moveTo>
                      <a:pt x="0" y="18"/>
                    </a:moveTo>
                    <a:cubicBezTo>
                      <a:pt x="6" y="12"/>
                      <a:pt x="16" y="5"/>
                      <a:pt x="23" y="2"/>
                    </a:cubicBezTo>
                    <a:cubicBezTo>
                      <a:pt x="34" y="0"/>
                      <a:pt x="35" y="2"/>
                      <a:pt x="45" y="2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100" name="Freeform 4428">
                <a:extLst>
                  <a:ext uri="{FF2B5EF4-FFF2-40B4-BE49-F238E27FC236}">
                    <a16:creationId xmlns:a16="http://schemas.microsoft.com/office/drawing/2014/main" id="{00000000-0008-0000-0000-00004C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3" y="234"/>
                <a:ext cx="61" cy="7"/>
              </a:xfrm>
              <a:custGeom>
                <a:avLst/>
                <a:gdLst/>
                <a:ahLst/>
                <a:cxnLst>
                  <a:cxn ang="0">
                    <a:pos x="0" y="7"/>
                  </a:cxn>
                  <a:cxn ang="0">
                    <a:pos x="30" y="0"/>
                  </a:cxn>
                  <a:cxn ang="0">
                    <a:pos x="61" y="7"/>
                  </a:cxn>
                </a:cxnLst>
                <a:rect l="0" t="0" r="r" b="b"/>
                <a:pathLst>
                  <a:path w="61" h="7">
                    <a:moveTo>
                      <a:pt x="0" y="7"/>
                    </a:moveTo>
                    <a:cubicBezTo>
                      <a:pt x="7" y="3"/>
                      <a:pt x="15" y="0"/>
                      <a:pt x="30" y="0"/>
                    </a:cubicBezTo>
                    <a:cubicBezTo>
                      <a:pt x="41" y="1"/>
                      <a:pt x="46" y="1"/>
                      <a:pt x="61" y="7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33101" name="Group 4429">
                <a:extLst>
                  <a:ext uri="{FF2B5EF4-FFF2-40B4-BE49-F238E27FC236}">
                    <a16:creationId xmlns:a16="http://schemas.microsoft.com/office/drawing/2014/main" id="{00000000-0008-0000-0000-00004D81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764" y="220"/>
                <a:ext cx="131" cy="47"/>
                <a:chOff x="752" y="89"/>
                <a:chExt cx="131" cy="47"/>
              </a:xfrm>
            </xdr:grpSpPr>
            <xdr:sp macro="[0]!Арматура2" textlink="">
              <xdr:nvSpPr>
                <xdr:cNvPr id="33102" name="Freeform 4430">
                  <a:extLst>
                    <a:ext uri="{FF2B5EF4-FFF2-40B4-BE49-F238E27FC236}">
                      <a16:creationId xmlns:a16="http://schemas.microsoft.com/office/drawing/2014/main" id="{00000000-0008-0000-0000-00004E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03" name="Freeform 4431">
                  <a:extLst>
                    <a:ext uri="{FF2B5EF4-FFF2-40B4-BE49-F238E27FC236}">
                      <a16:creationId xmlns:a16="http://schemas.microsoft.com/office/drawing/2014/main" id="{00000000-0008-0000-0000-00004F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90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04" name="Freeform 4432">
                  <a:extLst>
                    <a:ext uri="{FF2B5EF4-FFF2-40B4-BE49-F238E27FC236}">
                      <a16:creationId xmlns:a16="http://schemas.microsoft.com/office/drawing/2014/main" id="{00000000-0008-0000-0000-000050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3105" name="Group 4433">
                <a:extLst>
                  <a:ext uri="{FF2B5EF4-FFF2-40B4-BE49-F238E27FC236}">
                    <a16:creationId xmlns:a16="http://schemas.microsoft.com/office/drawing/2014/main" id="{00000000-0008-0000-0000-00005181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57" y="220"/>
                <a:ext cx="131" cy="47"/>
                <a:chOff x="752" y="89"/>
                <a:chExt cx="131" cy="47"/>
              </a:xfrm>
            </xdr:grpSpPr>
            <xdr:sp macro="[0]!Арматура2" textlink="">
              <xdr:nvSpPr>
                <xdr:cNvPr id="33106" name="Freeform 4434">
                  <a:extLst>
                    <a:ext uri="{FF2B5EF4-FFF2-40B4-BE49-F238E27FC236}">
                      <a16:creationId xmlns:a16="http://schemas.microsoft.com/office/drawing/2014/main" id="{00000000-0008-0000-0000-000052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07" name="Freeform 4435">
                  <a:extLst>
                    <a:ext uri="{FF2B5EF4-FFF2-40B4-BE49-F238E27FC236}">
                      <a16:creationId xmlns:a16="http://schemas.microsoft.com/office/drawing/2014/main" id="{00000000-0008-0000-0000-000053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90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08" name="Freeform 4436">
                  <a:extLst>
                    <a:ext uri="{FF2B5EF4-FFF2-40B4-BE49-F238E27FC236}">
                      <a16:creationId xmlns:a16="http://schemas.microsoft.com/office/drawing/2014/main" id="{00000000-0008-0000-0000-000054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sp macro="[0]!Арматура2" textlink="">
            <xdr:nvSpPr>
              <xdr:cNvPr id="33109" name="Freeform 4437">
                <a:extLst>
                  <a:ext uri="{FF2B5EF4-FFF2-40B4-BE49-F238E27FC236}">
                    <a16:creationId xmlns:a16="http://schemas.microsoft.com/office/drawing/2014/main" id="{00000000-0008-0000-0000-000055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" y="222"/>
                <a:ext cx="71" cy="45"/>
              </a:xfrm>
              <a:custGeom>
                <a:avLst/>
                <a:gdLst/>
                <a:ahLst/>
                <a:cxnLst>
                  <a:cxn ang="0">
                    <a:pos x="0" y="45"/>
                  </a:cxn>
                  <a:cxn ang="0">
                    <a:pos x="60" y="1"/>
                  </a:cxn>
                  <a:cxn ang="0">
                    <a:pos x="71" y="3"/>
                  </a:cxn>
                </a:cxnLst>
                <a:rect l="0" t="0" r="r" b="b"/>
                <a:pathLst>
                  <a:path w="71" h="45">
                    <a:moveTo>
                      <a:pt x="0" y="45"/>
                    </a:moveTo>
                    <a:cubicBezTo>
                      <a:pt x="29" y="20"/>
                      <a:pt x="46" y="6"/>
                      <a:pt x="60" y="1"/>
                    </a:cubicBezTo>
                    <a:cubicBezTo>
                      <a:pt x="69" y="0"/>
                      <a:pt x="66" y="1"/>
                      <a:pt x="71" y="3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110" name="Freeform 4438">
                <a:extLst>
                  <a:ext uri="{FF2B5EF4-FFF2-40B4-BE49-F238E27FC236}">
                    <a16:creationId xmlns:a16="http://schemas.microsoft.com/office/drawing/2014/main" id="{00000000-0008-0000-0000-000056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221"/>
                <a:ext cx="76" cy="45"/>
              </a:xfrm>
              <a:custGeom>
                <a:avLst/>
                <a:gdLst/>
                <a:ahLst/>
                <a:cxnLst>
                  <a:cxn ang="0">
                    <a:pos x="0" y="45"/>
                  </a:cxn>
                  <a:cxn ang="0">
                    <a:pos x="54" y="2"/>
                  </a:cxn>
                  <a:cxn ang="0">
                    <a:pos x="76" y="2"/>
                  </a:cxn>
                </a:cxnLst>
                <a:rect l="0" t="0" r="r" b="b"/>
                <a:pathLst>
                  <a:path w="76" h="45">
                    <a:moveTo>
                      <a:pt x="0" y="45"/>
                    </a:moveTo>
                    <a:cubicBezTo>
                      <a:pt x="17" y="27"/>
                      <a:pt x="41" y="9"/>
                      <a:pt x="54" y="2"/>
                    </a:cubicBezTo>
                    <a:cubicBezTo>
                      <a:pt x="65" y="0"/>
                      <a:pt x="66" y="2"/>
                      <a:pt x="76" y="2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111" name="Freeform 4439">
                <a:extLst>
                  <a:ext uri="{FF2B5EF4-FFF2-40B4-BE49-F238E27FC236}">
                    <a16:creationId xmlns:a16="http://schemas.microsoft.com/office/drawing/2014/main" id="{00000000-0008-0000-0000-000057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1" y="233"/>
                <a:ext cx="45" cy="8"/>
              </a:xfrm>
              <a:custGeom>
                <a:avLst/>
                <a:gdLst/>
                <a:ahLst/>
                <a:cxnLst>
                  <a:cxn ang="0">
                    <a:pos x="0" y="8"/>
                  </a:cxn>
                  <a:cxn ang="0">
                    <a:pos x="30" y="1"/>
                  </a:cxn>
                  <a:cxn ang="0">
                    <a:pos x="45" y="3"/>
                  </a:cxn>
                </a:cxnLst>
                <a:rect l="0" t="0" r="r" b="b"/>
                <a:pathLst>
                  <a:path w="45" h="8">
                    <a:moveTo>
                      <a:pt x="0" y="8"/>
                    </a:moveTo>
                    <a:cubicBezTo>
                      <a:pt x="7" y="4"/>
                      <a:pt x="15" y="1"/>
                      <a:pt x="30" y="1"/>
                    </a:cubicBezTo>
                    <a:cubicBezTo>
                      <a:pt x="37" y="0"/>
                      <a:pt x="43" y="3"/>
                      <a:pt x="45" y="3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33112" name="Group 4440">
                <a:extLst>
                  <a:ext uri="{FF2B5EF4-FFF2-40B4-BE49-F238E27FC236}">
                    <a16:creationId xmlns:a16="http://schemas.microsoft.com/office/drawing/2014/main" id="{00000000-0008-0000-0000-000058810000}"/>
                  </a:ext>
                </a:extLst>
              </xdr:cNvPr>
              <xdr:cNvGrpSpPr>
                <a:grpSpLocks/>
              </xdr:cNvGrpSpPr>
            </xdr:nvGrpSpPr>
            <xdr:grpSpPr bwMode="auto">
              <a:xfrm flipV="1">
                <a:off x="702" y="277"/>
                <a:ext cx="120" cy="47"/>
                <a:chOff x="671" y="89"/>
                <a:chExt cx="120" cy="47"/>
              </a:xfrm>
            </xdr:grpSpPr>
            <xdr:sp macro="[0]!Арматура2" textlink="">
              <xdr:nvSpPr>
                <xdr:cNvPr id="33113" name="Freeform 4441">
                  <a:extLst>
                    <a:ext uri="{FF2B5EF4-FFF2-40B4-BE49-F238E27FC236}">
                      <a16:creationId xmlns:a16="http://schemas.microsoft.com/office/drawing/2014/main" id="{00000000-0008-0000-0000-000059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1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14" name="Freeform 4442">
                  <a:extLst>
                    <a:ext uri="{FF2B5EF4-FFF2-40B4-BE49-F238E27FC236}">
                      <a16:creationId xmlns:a16="http://schemas.microsoft.com/office/drawing/2014/main" id="{00000000-0008-0000-0000-00005A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2" y="90"/>
                  <a:ext cx="64" cy="33"/>
                </a:xfrm>
                <a:custGeom>
                  <a:avLst/>
                  <a:gdLst/>
                  <a:ahLst/>
                  <a:cxnLst>
                    <a:cxn ang="0">
                      <a:pos x="0" y="33"/>
                    </a:cxn>
                    <a:cxn ang="0">
                      <a:pos x="42" y="2"/>
                    </a:cxn>
                    <a:cxn ang="0">
                      <a:pos x="64" y="2"/>
                    </a:cxn>
                  </a:cxnLst>
                  <a:rect l="0" t="0" r="r" b="b"/>
                  <a:pathLst>
                    <a:path w="64" h="33">
                      <a:moveTo>
                        <a:pt x="0" y="33"/>
                      </a:moveTo>
                      <a:cubicBezTo>
                        <a:pt x="7" y="28"/>
                        <a:pt x="31" y="7"/>
                        <a:pt x="42" y="2"/>
                      </a:cubicBezTo>
                      <a:cubicBezTo>
                        <a:pt x="53" y="0"/>
                        <a:pt x="54" y="2"/>
                        <a:pt x="64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15" name="Freeform 4443">
                  <a:extLst>
                    <a:ext uri="{FF2B5EF4-FFF2-40B4-BE49-F238E27FC236}">
                      <a16:creationId xmlns:a16="http://schemas.microsoft.com/office/drawing/2014/main" id="{00000000-0008-0000-0000-00005B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3116" name="Group 4444">
                <a:extLst>
                  <a:ext uri="{FF2B5EF4-FFF2-40B4-BE49-F238E27FC236}">
                    <a16:creationId xmlns:a16="http://schemas.microsoft.com/office/drawing/2014/main" id="{00000000-0008-0000-0000-00005C810000}"/>
                  </a:ext>
                </a:extLst>
              </xdr:cNvPr>
              <xdr:cNvGrpSpPr>
                <a:grpSpLocks/>
              </xdr:cNvGrpSpPr>
            </xdr:nvGrpSpPr>
            <xdr:grpSpPr bwMode="auto">
              <a:xfrm flipV="1">
                <a:off x="783" y="277"/>
                <a:ext cx="131" cy="47"/>
                <a:chOff x="752" y="89"/>
                <a:chExt cx="131" cy="47"/>
              </a:xfrm>
            </xdr:grpSpPr>
            <xdr:sp macro="[0]!Арматура2" textlink="">
              <xdr:nvSpPr>
                <xdr:cNvPr id="33117" name="Freeform 4445">
                  <a:extLst>
                    <a:ext uri="{FF2B5EF4-FFF2-40B4-BE49-F238E27FC236}">
                      <a16:creationId xmlns:a16="http://schemas.microsoft.com/office/drawing/2014/main" id="{00000000-0008-0000-0000-00005D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18" name="Freeform 4446">
                  <a:extLst>
                    <a:ext uri="{FF2B5EF4-FFF2-40B4-BE49-F238E27FC236}">
                      <a16:creationId xmlns:a16="http://schemas.microsoft.com/office/drawing/2014/main" id="{00000000-0008-0000-0000-00005E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90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19" name="Freeform 4447">
                  <a:extLst>
                    <a:ext uri="{FF2B5EF4-FFF2-40B4-BE49-F238E27FC236}">
                      <a16:creationId xmlns:a16="http://schemas.microsoft.com/office/drawing/2014/main" id="{00000000-0008-0000-0000-00005F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3120" name="Group 4448">
                <a:extLst>
                  <a:ext uri="{FF2B5EF4-FFF2-40B4-BE49-F238E27FC236}">
                    <a16:creationId xmlns:a16="http://schemas.microsoft.com/office/drawing/2014/main" id="{00000000-0008-0000-0000-000060810000}"/>
                  </a:ext>
                </a:extLst>
              </xdr:cNvPr>
              <xdr:cNvGrpSpPr>
                <a:grpSpLocks/>
              </xdr:cNvGrpSpPr>
            </xdr:nvGrpSpPr>
            <xdr:grpSpPr bwMode="auto">
              <a:xfrm flipV="1">
                <a:off x="876" y="277"/>
                <a:ext cx="131" cy="47"/>
                <a:chOff x="752" y="89"/>
                <a:chExt cx="131" cy="47"/>
              </a:xfrm>
            </xdr:grpSpPr>
            <xdr:sp macro="[0]!Арматура2" textlink="">
              <xdr:nvSpPr>
                <xdr:cNvPr id="33121" name="Freeform 4449">
                  <a:extLst>
                    <a:ext uri="{FF2B5EF4-FFF2-40B4-BE49-F238E27FC236}">
                      <a16:creationId xmlns:a16="http://schemas.microsoft.com/office/drawing/2014/main" id="{00000000-0008-0000-0000-000061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89"/>
                  <a:ext cx="120" cy="47"/>
                </a:xfrm>
                <a:custGeom>
                  <a:avLst/>
                  <a:gdLst/>
                  <a:ahLst/>
                  <a:cxnLst>
                    <a:cxn ang="0">
                      <a:pos x="0" y="47"/>
                    </a:cxn>
                    <a:cxn ang="0">
                      <a:pos x="60" y="4"/>
                    </a:cxn>
                    <a:cxn ang="0">
                      <a:pos x="97" y="23"/>
                    </a:cxn>
                    <a:cxn ang="0">
                      <a:pos x="120" y="13"/>
                    </a:cxn>
                  </a:cxnLst>
                  <a:rect l="0" t="0" r="r" b="b"/>
                  <a:pathLst>
                    <a:path w="120" h="47">
                      <a:moveTo>
                        <a:pt x="0" y="47"/>
                      </a:moveTo>
                      <a:cubicBezTo>
                        <a:pt x="22" y="27"/>
                        <a:pt x="44" y="8"/>
                        <a:pt x="60" y="4"/>
                      </a:cubicBezTo>
                      <a:cubicBezTo>
                        <a:pt x="77" y="0"/>
                        <a:pt x="87" y="21"/>
                        <a:pt x="97" y="23"/>
                      </a:cubicBezTo>
                      <a:cubicBezTo>
                        <a:pt x="107" y="25"/>
                        <a:pt x="116" y="15"/>
                        <a:pt x="120" y="1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22" name="Freeform 4450">
                  <a:extLst>
                    <a:ext uri="{FF2B5EF4-FFF2-40B4-BE49-F238E27FC236}">
                      <a16:creationId xmlns:a16="http://schemas.microsoft.com/office/drawing/2014/main" id="{00000000-0008-0000-0000-000062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90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3123" name="Freeform 4451">
                  <a:extLst>
                    <a:ext uri="{FF2B5EF4-FFF2-40B4-BE49-F238E27FC236}">
                      <a16:creationId xmlns:a16="http://schemas.microsoft.com/office/drawing/2014/main" id="{00000000-0008-0000-0000-00006381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03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sp macro="[0]!Арматура2" textlink="">
            <xdr:nvSpPr>
              <xdr:cNvPr id="33124" name="Freeform 4452">
                <a:extLst>
                  <a:ext uri="{FF2B5EF4-FFF2-40B4-BE49-F238E27FC236}">
                    <a16:creationId xmlns:a16="http://schemas.microsoft.com/office/drawing/2014/main" id="{00000000-0008-0000-0000-000064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9" y="278"/>
                <a:ext cx="52" cy="37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2" y="37"/>
                  </a:cxn>
                </a:cxnLst>
                <a:rect l="0" t="0" r="r" b="b"/>
                <a:pathLst>
                  <a:path w="52" h="37">
                    <a:moveTo>
                      <a:pt x="0" y="0"/>
                    </a:moveTo>
                    <a:cubicBezTo>
                      <a:pt x="29" y="25"/>
                      <a:pt x="38" y="32"/>
                      <a:pt x="52" y="37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125" name="Freeform 4453">
                <a:extLst>
                  <a:ext uri="{FF2B5EF4-FFF2-40B4-BE49-F238E27FC236}">
                    <a16:creationId xmlns:a16="http://schemas.microsoft.com/office/drawing/2014/main" id="{00000000-0008-0000-0000-000065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8" y="279"/>
                <a:ext cx="66" cy="44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5" y="42"/>
                  </a:cxn>
                  <a:cxn ang="0">
                    <a:pos x="65" y="43"/>
                  </a:cxn>
                </a:cxnLst>
                <a:rect l="0" t="0" r="r" b="b"/>
                <a:pathLst>
                  <a:path w="66" h="44">
                    <a:moveTo>
                      <a:pt x="0" y="0"/>
                    </a:moveTo>
                    <a:cubicBezTo>
                      <a:pt x="17" y="18"/>
                      <a:pt x="42" y="35"/>
                      <a:pt x="55" y="42"/>
                    </a:cubicBezTo>
                    <a:cubicBezTo>
                      <a:pt x="66" y="44"/>
                      <a:pt x="55" y="42"/>
                      <a:pt x="65" y="43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126" name="Freeform 4454">
                <a:extLst>
                  <a:ext uri="{FF2B5EF4-FFF2-40B4-BE49-F238E27FC236}">
                    <a16:creationId xmlns:a16="http://schemas.microsoft.com/office/drawing/2014/main" id="{00000000-0008-0000-0000-000066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0" y="303"/>
                <a:ext cx="22" cy="7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22" y="7"/>
                  </a:cxn>
                </a:cxnLst>
                <a:rect l="0" t="0" r="r" b="b"/>
                <a:pathLst>
                  <a:path w="22" h="7">
                    <a:moveTo>
                      <a:pt x="0" y="0"/>
                    </a:moveTo>
                    <a:cubicBezTo>
                      <a:pt x="7" y="4"/>
                      <a:pt x="7" y="7"/>
                      <a:pt x="22" y="7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127" name="Freeform 4455">
                <a:extLst>
                  <a:ext uri="{FF2B5EF4-FFF2-40B4-BE49-F238E27FC236}">
                    <a16:creationId xmlns:a16="http://schemas.microsoft.com/office/drawing/2014/main" id="{00000000-0008-0000-0000-000067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2" y="266"/>
                <a:ext cx="331" cy="12"/>
              </a:xfrm>
              <a:custGeom>
                <a:avLst/>
                <a:gdLst/>
                <a:ahLst/>
                <a:cxnLst>
                  <a:cxn ang="0">
                    <a:pos x="331" y="12"/>
                  </a:cxn>
                  <a:cxn ang="0">
                    <a:pos x="0" y="12"/>
                  </a:cxn>
                  <a:cxn ang="0">
                    <a:pos x="1" y="0"/>
                  </a:cxn>
                  <a:cxn ang="0">
                    <a:pos x="327" y="0"/>
                  </a:cxn>
                  <a:cxn ang="0">
                    <a:pos x="331" y="12"/>
                  </a:cxn>
                </a:cxnLst>
                <a:rect l="0" t="0" r="r" b="b"/>
                <a:pathLst>
                  <a:path w="331" h="12">
                    <a:moveTo>
                      <a:pt x="331" y="12"/>
                    </a:moveTo>
                    <a:cubicBezTo>
                      <a:pt x="274" y="12"/>
                      <a:pt x="61" y="12"/>
                      <a:pt x="0" y="12"/>
                    </a:cubicBezTo>
                    <a:cubicBezTo>
                      <a:pt x="0" y="7"/>
                      <a:pt x="1" y="6"/>
                      <a:pt x="1" y="0"/>
                    </a:cubicBezTo>
                    <a:cubicBezTo>
                      <a:pt x="177" y="0"/>
                      <a:pt x="267" y="0"/>
                      <a:pt x="327" y="0"/>
                    </a:cubicBezTo>
                    <a:cubicBezTo>
                      <a:pt x="328" y="5"/>
                      <a:pt x="328" y="4"/>
                      <a:pt x="331" y="12"/>
                    </a:cubicBezTo>
                    <a:close/>
                  </a:path>
                </a:pathLst>
              </a:custGeom>
              <a:noFill/>
              <a:ln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:ln>
            </xdr:spPr>
          </xdr:sp>
          <xdr:sp macro="[0]!Арматура2" textlink="">
            <xdr:nvSpPr>
              <xdr:cNvPr id="33128" name="Freeform 4456">
                <a:extLst>
                  <a:ext uri="{FF2B5EF4-FFF2-40B4-BE49-F238E27FC236}">
                    <a16:creationId xmlns:a16="http://schemas.microsoft.com/office/drawing/2014/main" id="{00000000-0008-0000-0000-000068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3" y="303"/>
                <a:ext cx="30" cy="11"/>
              </a:xfrm>
              <a:custGeom>
                <a:avLst/>
                <a:gdLst/>
                <a:ahLst/>
                <a:cxnLst>
                  <a:cxn ang="0">
                    <a:pos x="1" y="4"/>
                  </a:cxn>
                  <a:cxn ang="0">
                    <a:pos x="7" y="1"/>
                  </a:cxn>
                  <a:cxn ang="0">
                    <a:pos x="30" y="11"/>
                  </a:cxn>
                </a:cxnLst>
                <a:rect l="0" t="0" r="r" b="b"/>
                <a:pathLst>
                  <a:path w="30" h="11">
                    <a:moveTo>
                      <a:pt x="1" y="4"/>
                    </a:moveTo>
                    <a:cubicBezTo>
                      <a:pt x="4" y="0"/>
                      <a:pt x="0" y="2"/>
                      <a:pt x="7" y="1"/>
                    </a:cubicBezTo>
                    <a:cubicBezTo>
                      <a:pt x="12" y="2"/>
                      <a:pt x="26" y="9"/>
                      <a:pt x="30" y="11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129" name="Freeform 4457">
                <a:extLst>
                  <a:ext uri="{FF2B5EF4-FFF2-40B4-BE49-F238E27FC236}">
                    <a16:creationId xmlns:a16="http://schemas.microsoft.com/office/drawing/2014/main" id="{00000000-0008-0000-0000-000069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7" y="239"/>
                <a:ext cx="9" cy="69"/>
              </a:xfrm>
              <a:custGeom>
                <a:avLst/>
                <a:gdLst/>
                <a:ahLst/>
                <a:cxnLst>
                  <a:cxn ang="0">
                    <a:pos x="6" y="0"/>
                  </a:cxn>
                  <a:cxn ang="0">
                    <a:pos x="0" y="18"/>
                  </a:cxn>
                  <a:cxn ang="0">
                    <a:pos x="6" y="28"/>
                  </a:cxn>
                  <a:cxn ang="0">
                    <a:pos x="4" y="37"/>
                  </a:cxn>
                  <a:cxn ang="0">
                    <a:pos x="9" y="57"/>
                  </a:cxn>
                  <a:cxn ang="0">
                    <a:pos x="6" y="69"/>
                  </a:cxn>
                </a:cxnLst>
                <a:rect l="0" t="0" r="r" b="b"/>
                <a:pathLst>
                  <a:path w="9" h="69">
                    <a:moveTo>
                      <a:pt x="6" y="0"/>
                    </a:moveTo>
                    <a:cubicBezTo>
                      <a:pt x="3" y="6"/>
                      <a:pt x="0" y="13"/>
                      <a:pt x="0" y="18"/>
                    </a:cubicBezTo>
                    <a:cubicBezTo>
                      <a:pt x="0" y="23"/>
                      <a:pt x="5" y="25"/>
                      <a:pt x="6" y="28"/>
                    </a:cubicBezTo>
                    <a:cubicBezTo>
                      <a:pt x="7" y="31"/>
                      <a:pt x="4" y="32"/>
                      <a:pt x="4" y="37"/>
                    </a:cubicBezTo>
                    <a:cubicBezTo>
                      <a:pt x="4" y="42"/>
                      <a:pt x="9" y="52"/>
                      <a:pt x="9" y="57"/>
                    </a:cubicBezTo>
                    <a:cubicBezTo>
                      <a:pt x="9" y="62"/>
                      <a:pt x="7" y="67"/>
                      <a:pt x="6" y="69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3130" name="Freeform 4458">
                <a:extLst>
                  <a:ext uri="{FF2B5EF4-FFF2-40B4-BE49-F238E27FC236}">
                    <a16:creationId xmlns:a16="http://schemas.microsoft.com/office/drawing/2014/main" id="{00000000-0008-0000-0000-00006A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8" y="225"/>
                <a:ext cx="9" cy="97"/>
              </a:xfrm>
              <a:custGeom>
                <a:avLst/>
                <a:gdLst/>
                <a:ahLst/>
                <a:cxnLst>
                  <a:cxn ang="0">
                    <a:pos x="2" y="0"/>
                  </a:cxn>
                  <a:cxn ang="0">
                    <a:pos x="9" y="13"/>
                  </a:cxn>
                  <a:cxn ang="0">
                    <a:pos x="4" y="29"/>
                  </a:cxn>
                  <a:cxn ang="0">
                    <a:pos x="0" y="41"/>
                  </a:cxn>
                  <a:cxn ang="0">
                    <a:pos x="5" y="53"/>
                  </a:cxn>
                  <a:cxn ang="0">
                    <a:pos x="3" y="65"/>
                  </a:cxn>
                  <a:cxn ang="0">
                    <a:pos x="6" y="72"/>
                  </a:cxn>
                  <a:cxn ang="0">
                    <a:pos x="3" y="83"/>
                  </a:cxn>
                  <a:cxn ang="0">
                    <a:pos x="4" y="97"/>
                  </a:cxn>
                </a:cxnLst>
                <a:rect l="0" t="0" r="r" b="b"/>
                <a:pathLst>
                  <a:path w="9" h="97">
                    <a:moveTo>
                      <a:pt x="2" y="0"/>
                    </a:moveTo>
                    <a:cubicBezTo>
                      <a:pt x="5" y="4"/>
                      <a:pt x="9" y="8"/>
                      <a:pt x="9" y="13"/>
                    </a:cubicBezTo>
                    <a:cubicBezTo>
                      <a:pt x="9" y="18"/>
                      <a:pt x="5" y="24"/>
                      <a:pt x="4" y="29"/>
                    </a:cubicBezTo>
                    <a:cubicBezTo>
                      <a:pt x="3" y="34"/>
                      <a:pt x="0" y="37"/>
                      <a:pt x="0" y="41"/>
                    </a:cubicBezTo>
                    <a:cubicBezTo>
                      <a:pt x="0" y="45"/>
                      <a:pt x="4" y="49"/>
                      <a:pt x="5" y="53"/>
                    </a:cubicBezTo>
                    <a:cubicBezTo>
                      <a:pt x="6" y="57"/>
                      <a:pt x="3" y="62"/>
                      <a:pt x="3" y="65"/>
                    </a:cubicBezTo>
                    <a:cubicBezTo>
                      <a:pt x="3" y="68"/>
                      <a:pt x="6" y="69"/>
                      <a:pt x="6" y="72"/>
                    </a:cubicBezTo>
                    <a:cubicBezTo>
                      <a:pt x="6" y="75"/>
                      <a:pt x="3" y="79"/>
                      <a:pt x="3" y="83"/>
                    </a:cubicBezTo>
                    <a:cubicBezTo>
                      <a:pt x="3" y="87"/>
                      <a:pt x="3" y="92"/>
                      <a:pt x="4" y="97"/>
                    </a:cubicBezTo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</xdr:grpSp>
    <xdr:clientData fPrintsWithSheet="0"/>
  </xdr:twoCellAnchor>
  <xdr:twoCellAnchor editAs="oneCell">
    <xdr:from>
      <xdr:col>4</xdr:col>
      <xdr:colOff>390525</xdr:colOff>
      <xdr:row>11</xdr:row>
      <xdr:rowOff>28575</xdr:rowOff>
    </xdr:from>
    <xdr:to>
      <xdr:col>7</xdr:col>
      <xdr:colOff>390525</xdr:colOff>
      <xdr:row>15</xdr:row>
      <xdr:rowOff>9525</xdr:rowOff>
    </xdr:to>
    <xdr:grpSp>
      <xdr:nvGrpSpPr>
        <xdr:cNvPr id="33196" name="Group 4524">
          <a:extLst>
            <a:ext uri="{FF2B5EF4-FFF2-40B4-BE49-F238E27FC236}">
              <a16:creationId xmlns:a16="http://schemas.microsoft.com/office/drawing/2014/main" id="{00000000-0008-0000-0000-0000AC810000}"/>
            </a:ext>
          </a:extLst>
        </xdr:cNvPr>
        <xdr:cNvGrpSpPr>
          <a:grpSpLocks/>
        </xdr:cNvGrpSpPr>
      </xdr:nvGrpSpPr>
      <xdr:grpSpPr bwMode="auto">
        <a:xfrm>
          <a:off x="2828925" y="1809750"/>
          <a:ext cx="1828800" cy="628650"/>
          <a:chOff x="162" y="339"/>
          <a:chExt cx="192" cy="66"/>
        </a:xfrm>
      </xdr:grpSpPr>
      <xdr:sp macro="[0]!Трубаканализ" textlink="">
        <xdr:nvSpPr>
          <xdr:cNvPr id="33140" name="Rectangle 4468">
            <a:extLst>
              <a:ext uri="{FF2B5EF4-FFF2-40B4-BE49-F238E27FC236}">
                <a16:creationId xmlns:a16="http://schemas.microsoft.com/office/drawing/2014/main" id="{00000000-0008-0000-0000-000074810000}"/>
              </a:ext>
            </a:extLst>
          </xdr:cNvPr>
          <xdr:cNvSpPr>
            <a:spLocks noChangeArrowheads="1"/>
          </xdr:cNvSpPr>
        </xdr:nvSpPr>
        <xdr:spPr bwMode="auto">
          <a:xfrm>
            <a:off x="162" y="339"/>
            <a:ext cx="189" cy="63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3193" name="Group 4521">
            <a:extLst>
              <a:ext uri="{FF2B5EF4-FFF2-40B4-BE49-F238E27FC236}">
                <a16:creationId xmlns:a16="http://schemas.microsoft.com/office/drawing/2014/main" id="{00000000-0008-0000-0000-0000A9810000}"/>
              </a:ext>
            </a:extLst>
          </xdr:cNvPr>
          <xdr:cNvGrpSpPr>
            <a:grpSpLocks/>
          </xdr:cNvGrpSpPr>
        </xdr:nvGrpSpPr>
        <xdr:grpSpPr bwMode="auto">
          <a:xfrm>
            <a:off x="169" y="342"/>
            <a:ext cx="114" cy="50"/>
            <a:chOff x="258" y="348"/>
            <a:chExt cx="233" cy="126"/>
          </a:xfrm>
        </xdr:grpSpPr>
        <xdr:grpSp>
          <xdr:nvGrpSpPr>
            <xdr:cNvPr id="33142" name="Group 4470">
              <a:extLst>
                <a:ext uri="{FF2B5EF4-FFF2-40B4-BE49-F238E27FC236}">
                  <a16:creationId xmlns:a16="http://schemas.microsoft.com/office/drawing/2014/main" id="{00000000-0008-0000-0000-0000768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58" y="348"/>
              <a:ext cx="161" cy="126"/>
              <a:chOff x="165" y="148"/>
              <a:chExt cx="161" cy="126"/>
            </a:xfrm>
          </xdr:grpSpPr>
          <xdr:sp macro="[0]!Трубаканализ" textlink="">
            <xdr:nvSpPr>
              <xdr:cNvPr id="33143" name="Freeform 4471" descr="Светлый диагональный 1">
                <a:extLst>
                  <a:ext uri="{FF2B5EF4-FFF2-40B4-BE49-F238E27FC236}">
                    <a16:creationId xmlns:a16="http://schemas.microsoft.com/office/drawing/2014/main" id="{00000000-0008-0000-0000-000077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5" y="148"/>
                <a:ext cx="161" cy="41"/>
              </a:xfrm>
              <a:custGeom>
                <a:avLst/>
                <a:gdLst/>
                <a:ahLst/>
                <a:cxnLst>
                  <a:cxn ang="0">
                    <a:pos x="13" y="0"/>
                  </a:cxn>
                  <a:cxn ang="0">
                    <a:pos x="26" y="14"/>
                  </a:cxn>
                  <a:cxn ang="0">
                    <a:pos x="55" y="14"/>
                  </a:cxn>
                  <a:cxn ang="0">
                    <a:pos x="73" y="26"/>
                  </a:cxn>
                  <a:cxn ang="0">
                    <a:pos x="155" y="26"/>
                  </a:cxn>
                  <a:cxn ang="0">
                    <a:pos x="158" y="31"/>
                  </a:cxn>
                  <a:cxn ang="0">
                    <a:pos x="153" y="34"/>
                  </a:cxn>
                  <a:cxn ang="0">
                    <a:pos x="161" y="39"/>
                  </a:cxn>
                  <a:cxn ang="0">
                    <a:pos x="155" y="41"/>
                  </a:cxn>
                  <a:cxn ang="0">
                    <a:pos x="55" y="41"/>
                  </a:cxn>
                  <a:cxn ang="0">
                    <a:pos x="55" y="29"/>
                  </a:cxn>
                  <a:cxn ang="0">
                    <a:pos x="0" y="17"/>
                  </a:cxn>
                  <a:cxn ang="0">
                    <a:pos x="0" y="0"/>
                  </a:cxn>
                  <a:cxn ang="0">
                    <a:pos x="13" y="0"/>
                  </a:cxn>
                </a:cxnLst>
                <a:rect l="0" t="0" r="r" b="b"/>
                <a:pathLst>
                  <a:path w="161" h="41">
                    <a:moveTo>
                      <a:pt x="13" y="0"/>
                    </a:moveTo>
                    <a:cubicBezTo>
                      <a:pt x="17" y="2"/>
                      <a:pt x="16" y="12"/>
                      <a:pt x="26" y="14"/>
                    </a:cubicBezTo>
                    <a:lnTo>
                      <a:pt x="55" y="14"/>
                    </a:lnTo>
                    <a:lnTo>
                      <a:pt x="73" y="26"/>
                    </a:lnTo>
                    <a:lnTo>
                      <a:pt x="155" y="26"/>
                    </a:lnTo>
                    <a:lnTo>
                      <a:pt x="158" y="31"/>
                    </a:lnTo>
                    <a:lnTo>
                      <a:pt x="153" y="34"/>
                    </a:lnTo>
                    <a:lnTo>
                      <a:pt x="161" y="39"/>
                    </a:lnTo>
                    <a:lnTo>
                      <a:pt x="155" y="41"/>
                    </a:lnTo>
                    <a:lnTo>
                      <a:pt x="55" y="41"/>
                    </a:lnTo>
                    <a:lnTo>
                      <a:pt x="55" y="29"/>
                    </a:lnTo>
                    <a:lnTo>
                      <a:pt x="0" y="17"/>
                    </a:lnTo>
                    <a:lnTo>
                      <a:pt x="0" y="0"/>
                    </a:lnTo>
                    <a:lnTo>
                      <a:pt x="13" y="0"/>
                    </a:lnTo>
                    <a:close/>
                  </a:path>
                </a:pathLst>
              </a:custGeom>
              <a:pattFill prst="ltDnDiag">
                <a:fgClr>
                  <a:srgbClr val="000000"/>
                </a:fgClr>
                <a:bgClr>
                  <a:srgbClr val="FFFFFF"/>
                </a:bgClr>
              </a:pattFill>
              <a:ln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:ln>
            </xdr:spPr>
          </xdr:sp>
          <xdr:sp macro="[0]!Трубаканализ" textlink="">
            <xdr:nvSpPr>
              <xdr:cNvPr id="33144" name="Freeform 4472" descr="Светлый диагональный 1">
                <a:extLst>
                  <a:ext uri="{FF2B5EF4-FFF2-40B4-BE49-F238E27FC236}">
                    <a16:creationId xmlns:a16="http://schemas.microsoft.com/office/drawing/2014/main" id="{00000000-0008-0000-0000-000078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5" y="233"/>
                <a:ext cx="160" cy="41"/>
              </a:xfrm>
              <a:custGeom>
                <a:avLst/>
                <a:gdLst/>
                <a:ahLst/>
                <a:cxnLst>
                  <a:cxn ang="0">
                    <a:pos x="13" y="41"/>
                  </a:cxn>
                  <a:cxn ang="0">
                    <a:pos x="26" y="27"/>
                  </a:cxn>
                  <a:cxn ang="0">
                    <a:pos x="55" y="27"/>
                  </a:cxn>
                  <a:cxn ang="0">
                    <a:pos x="73" y="15"/>
                  </a:cxn>
                  <a:cxn ang="0">
                    <a:pos x="155" y="15"/>
                  </a:cxn>
                  <a:cxn ang="0">
                    <a:pos x="151" y="11"/>
                  </a:cxn>
                  <a:cxn ang="0">
                    <a:pos x="157" y="9"/>
                  </a:cxn>
                  <a:cxn ang="0">
                    <a:pos x="154" y="5"/>
                  </a:cxn>
                  <a:cxn ang="0">
                    <a:pos x="160" y="0"/>
                  </a:cxn>
                  <a:cxn ang="0">
                    <a:pos x="55" y="0"/>
                  </a:cxn>
                  <a:cxn ang="0">
                    <a:pos x="55" y="12"/>
                  </a:cxn>
                  <a:cxn ang="0">
                    <a:pos x="0" y="24"/>
                  </a:cxn>
                  <a:cxn ang="0">
                    <a:pos x="0" y="41"/>
                  </a:cxn>
                  <a:cxn ang="0">
                    <a:pos x="13" y="41"/>
                  </a:cxn>
                </a:cxnLst>
                <a:rect l="0" t="0" r="r" b="b"/>
                <a:pathLst>
                  <a:path w="160" h="41">
                    <a:moveTo>
                      <a:pt x="13" y="41"/>
                    </a:moveTo>
                    <a:cubicBezTo>
                      <a:pt x="17" y="39"/>
                      <a:pt x="16" y="29"/>
                      <a:pt x="26" y="27"/>
                    </a:cubicBezTo>
                    <a:lnTo>
                      <a:pt x="55" y="27"/>
                    </a:lnTo>
                    <a:lnTo>
                      <a:pt x="73" y="15"/>
                    </a:lnTo>
                    <a:lnTo>
                      <a:pt x="155" y="15"/>
                    </a:lnTo>
                    <a:lnTo>
                      <a:pt x="151" y="11"/>
                    </a:lnTo>
                    <a:lnTo>
                      <a:pt x="157" y="9"/>
                    </a:lnTo>
                    <a:lnTo>
                      <a:pt x="154" y="5"/>
                    </a:lnTo>
                    <a:lnTo>
                      <a:pt x="160" y="0"/>
                    </a:lnTo>
                    <a:lnTo>
                      <a:pt x="55" y="0"/>
                    </a:lnTo>
                    <a:lnTo>
                      <a:pt x="55" y="12"/>
                    </a:lnTo>
                    <a:lnTo>
                      <a:pt x="0" y="24"/>
                    </a:lnTo>
                    <a:lnTo>
                      <a:pt x="0" y="41"/>
                    </a:lnTo>
                    <a:lnTo>
                      <a:pt x="13" y="41"/>
                    </a:lnTo>
                    <a:close/>
                  </a:path>
                </a:pathLst>
              </a:custGeom>
              <a:pattFill prst="ltDnDiag">
                <a:fgClr>
                  <a:srgbClr val="000000"/>
                </a:fgClr>
                <a:bgClr>
                  <a:srgbClr val="FFFFFF"/>
                </a:bgClr>
              </a:pattFill>
              <a:ln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:ln>
            </xdr:spPr>
          </xdr:sp>
          <xdr:sp macro="[0]!Трубаканализ" textlink="">
            <xdr:nvSpPr>
              <xdr:cNvPr id="33145" name="Freeform 4473">
                <a:extLst>
                  <a:ext uri="{FF2B5EF4-FFF2-40B4-BE49-F238E27FC236}">
                    <a16:creationId xmlns:a16="http://schemas.microsoft.com/office/drawing/2014/main" id="{00000000-0008-0000-0000-000079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5" y="165"/>
                <a:ext cx="55" cy="92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5" y="12"/>
                  </a:cxn>
                  <a:cxn ang="0">
                    <a:pos x="55" y="80"/>
                  </a:cxn>
                  <a:cxn ang="0">
                    <a:pos x="0" y="92"/>
                  </a:cxn>
                  <a:cxn ang="0">
                    <a:pos x="0" y="0"/>
                  </a:cxn>
                </a:cxnLst>
                <a:rect l="0" t="0" r="r" b="b"/>
                <a:pathLst>
                  <a:path w="55" h="92">
                    <a:moveTo>
                      <a:pt x="0" y="0"/>
                    </a:moveTo>
                    <a:lnTo>
                      <a:pt x="55" y="12"/>
                    </a:lnTo>
                    <a:lnTo>
                      <a:pt x="55" y="80"/>
                    </a:lnTo>
                    <a:lnTo>
                      <a:pt x="0" y="92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Трубаканализ" textlink="">
            <xdr:nvSpPr>
              <xdr:cNvPr id="33146" name="Rectangle 4474">
                <a:extLst>
                  <a:ext uri="{FF2B5EF4-FFF2-40B4-BE49-F238E27FC236}">
                    <a16:creationId xmlns:a16="http://schemas.microsoft.com/office/drawing/2014/main" id="{00000000-0008-0000-0000-00007A8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20" y="189"/>
                <a:ext cx="100" cy="44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grpSp>
          <xdr:nvGrpSpPr>
            <xdr:cNvPr id="33175" name="Group 4503">
              <a:extLst>
                <a:ext uri="{FF2B5EF4-FFF2-40B4-BE49-F238E27FC236}">
                  <a16:creationId xmlns:a16="http://schemas.microsoft.com/office/drawing/2014/main" id="{00000000-0008-0000-0000-0000978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19" y="374"/>
              <a:ext cx="72" cy="74"/>
              <a:chOff x="326" y="174"/>
              <a:chExt cx="72" cy="74"/>
            </a:xfrm>
          </xdr:grpSpPr>
          <xdr:sp macro="[0]!Трубаканализ" textlink="">
            <xdr:nvSpPr>
              <xdr:cNvPr id="33176" name="Freeform 4504" descr="Светлый диагональный 1">
                <a:extLst>
                  <a:ext uri="{FF2B5EF4-FFF2-40B4-BE49-F238E27FC236}">
                    <a16:creationId xmlns:a16="http://schemas.microsoft.com/office/drawing/2014/main" id="{00000000-0008-0000-0000-0000988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74"/>
                <a:ext cx="72" cy="74"/>
              </a:xfrm>
              <a:custGeom>
                <a:avLst/>
                <a:gdLst/>
                <a:ahLst/>
                <a:cxnLst>
                  <a:cxn ang="0">
                    <a:pos x="71" y="0"/>
                  </a:cxn>
                  <a:cxn ang="0">
                    <a:pos x="71" y="76"/>
                  </a:cxn>
                  <a:cxn ang="0">
                    <a:pos x="2" y="76"/>
                  </a:cxn>
                  <a:cxn ang="0">
                    <a:pos x="0" y="72"/>
                  </a:cxn>
                  <a:cxn ang="0">
                    <a:pos x="4" y="70"/>
                  </a:cxn>
                  <a:cxn ang="0">
                    <a:pos x="1" y="65"/>
                  </a:cxn>
                  <a:cxn ang="0">
                    <a:pos x="7" y="59"/>
                  </a:cxn>
                  <a:cxn ang="0">
                    <a:pos x="7" y="15"/>
                  </a:cxn>
                  <a:cxn ang="0">
                    <a:pos x="16" y="13"/>
                  </a:cxn>
                  <a:cxn ang="0">
                    <a:pos x="8" y="8"/>
                  </a:cxn>
                  <a:cxn ang="0">
                    <a:pos x="11" y="5"/>
                  </a:cxn>
                  <a:cxn ang="0">
                    <a:pos x="6" y="0"/>
                  </a:cxn>
                  <a:cxn ang="0">
                    <a:pos x="71" y="0"/>
                  </a:cxn>
                </a:cxnLst>
                <a:rect l="0" t="0" r="r" b="b"/>
                <a:pathLst>
                  <a:path w="71" h="76">
                    <a:moveTo>
                      <a:pt x="71" y="0"/>
                    </a:moveTo>
                    <a:lnTo>
                      <a:pt x="71" y="76"/>
                    </a:lnTo>
                    <a:lnTo>
                      <a:pt x="2" y="76"/>
                    </a:lnTo>
                    <a:lnTo>
                      <a:pt x="0" y="72"/>
                    </a:lnTo>
                    <a:lnTo>
                      <a:pt x="4" y="70"/>
                    </a:lnTo>
                    <a:lnTo>
                      <a:pt x="1" y="65"/>
                    </a:lnTo>
                    <a:lnTo>
                      <a:pt x="7" y="59"/>
                    </a:lnTo>
                    <a:lnTo>
                      <a:pt x="7" y="15"/>
                    </a:lnTo>
                    <a:lnTo>
                      <a:pt x="16" y="13"/>
                    </a:lnTo>
                    <a:lnTo>
                      <a:pt x="8" y="8"/>
                    </a:lnTo>
                    <a:lnTo>
                      <a:pt x="11" y="5"/>
                    </a:lnTo>
                    <a:lnTo>
                      <a:pt x="6" y="0"/>
                    </a:lnTo>
                    <a:lnTo>
                      <a:pt x="71" y="0"/>
                    </a:lnTo>
                    <a:close/>
                  </a:path>
                </a:pathLst>
              </a:custGeom>
              <a:pattFill prst="ltDnDiag">
                <a:fgClr>
                  <a:srgbClr val="000000"/>
                </a:fgClr>
                <a:bgClr>
                  <a:srgbClr val="FFFFFF"/>
                </a:bgClr>
              </a:pattFill>
              <a:ln w="9525" cap="flat" cmpd="sng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sp macro="[0]!Трубаканализ" textlink="">
            <xdr:nvSpPr>
              <xdr:cNvPr id="33177" name="Rectangle 4505">
                <a:extLst>
                  <a:ext uri="{FF2B5EF4-FFF2-40B4-BE49-F238E27FC236}">
                    <a16:creationId xmlns:a16="http://schemas.microsoft.com/office/drawing/2014/main" id="{00000000-0008-0000-0000-0000998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33" y="189"/>
                <a:ext cx="65" cy="44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</xdr:grpSp>
      <xdr:sp macro="[0]!Трубаканализ" textlink="">
        <xdr:nvSpPr>
          <xdr:cNvPr id="33194" name="Text Box 4522">
            <a:extLst>
              <a:ext uri="{FF2B5EF4-FFF2-40B4-BE49-F238E27FC236}">
                <a16:creationId xmlns:a16="http://schemas.microsoft.com/office/drawing/2014/main" id="{00000000-0008-0000-0000-0000AA8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7" y="349"/>
            <a:ext cx="28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20</a:t>
            </a:r>
          </a:p>
        </xdr:txBody>
      </xdr:sp>
      <xdr:sp macro="[0]!Трубаканализ" textlink="">
        <xdr:nvSpPr>
          <xdr:cNvPr id="33195" name="Text Box 4523">
            <a:extLst>
              <a:ext uri="{FF2B5EF4-FFF2-40B4-BE49-F238E27FC236}">
                <a16:creationId xmlns:a16="http://schemas.microsoft.com/office/drawing/2014/main" id="{00000000-0008-0000-0000-0000AB8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9" y="385"/>
            <a:ext cx="15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9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Трубы канализационные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19</xdr:row>
          <xdr:rowOff>9525</xdr:rowOff>
        </xdr:from>
        <xdr:to>
          <xdr:col>8</xdr:col>
          <xdr:colOff>247650</xdr:colOff>
          <xdr:row>19</xdr:row>
          <xdr:rowOff>114300</xdr:rowOff>
        </xdr:to>
        <xdr:sp macro="" textlink="">
          <xdr:nvSpPr>
            <xdr:cNvPr id="4444" name="Drop Down 3420" hidden="1">
              <a:extLst>
                <a:ext uri="{63B3BB69-23CF-44E3-9099-C40C66FF867C}">
                  <a14:compatExt spid="_x0000_s4444"/>
                </a:ext>
                <a:ext uri="{FF2B5EF4-FFF2-40B4-BE49-F238E27FC236}">
                  <a16:creationId xmlns:a16="http://schemas.microsoft.com/office/drawing/2014/main" id="{00000000-0008-0000-0000-00005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95250</xdr:rowOff>
    </xdr:from>
    <xdr:to>
      <xdr:col>3</xdr:col>
      <xdr:colOff>104775</xdr:colOff>
      <xdr:row>9</xdr:row>
      <xdr:rowOff>0</xdr:rowOff>
    </xdr:to>
    <xdr:grpSp>
      <xdr:nvGrpSpPr>
        <xdr:cNvPr id="5305" name="Group 185">
          <a:extLst>
            <a:ext uri="{FF2B5EF4-FFF2-40B4-BE49-F238E27FC236}">
              <a16:creationId xmlns:a16="http://schemas.microsoft.com/office/drawing/2014/main" id="{00000000-0008-0000-0100-0000B9140000}"/>
            </a:ext>
          </a:extLst>
        </xdr:cNvPr>
        <xdr:cNvGrpSpPr>
          <a:grpSpLocks/>
        </xdr:cNvGrpSpPr>
      </xdr:nvGrpSpPr>
      <xdr:grpSpPr bwMode="auto">
        <a:xfrm>
          <a:off x="114300" y="95250"/>
          <a:ext cx="1657350" cy="1819275"/>
          <a:chOff x="12" y="10"/>
          <a:chExt cx="174" cy="191"/>
        </a:xfrm>
      </xdr:grpSpPr>
      <xdr:grpSp>
        <xdr:nvGrpSpPr>
          <xdr:cNvPr id="5220" name="Group 100">
            <a:extLst>
              <a:ext uri="{FF2B5EF4-FFF2-40B4-BE49-F238E27FC236}">
                <a16:creationId xmlns:a16="http://schemas.microsoft.com/office/drawing/2014/main" id="{00000000-0008-0000-0100-000064140000}"/>
              </a:ext>
            </a:extLst>
          </xdr:cNvPr>
          <xdr:cNvGrpSpPr>
            <a:grpSpLocks/>
          </xdr:cNvGrpSpPr>
        </xdr:nvGrpSpPr>
        <xdr:grpSpPr bwMode="auto">
          <a:xfrm>
            <a:off x="12" y="10"/>
            <a:ext cx="174" cy="191"/>
            <a:chOff x="160000" y="4"/>
            <a:chExt cx="3480000" cy="191"/>
          </a:xfrm>
        </xdr:grpSpPr>
        <xdr:sp macro="" textlink="">
          <xdr:nvSpPr>
            <xdr:cNvPr id="5221" name="Rectangle 101">
              <a:extLs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000" y="4"/>
              <a:ext cx="3480000" cy="191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22" name="Group 102">
              <a:extLst>
                <a:ext uri="{FF2B5EF4-FFF2-40B4-BE49-F238E27FC236}">
                  <a16:creationId xmlns:a16="http://schemas.microsoft.com/office/drawing/2014/main" id="{00000000-0008-0000-0100-0000661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040000" y="105"/>
              <a:ext cx="120000" cy="17"/>
              <a:chOff x="3040000" y="2180000"/>
              <a:chExt cx="120000" cy="340000"/>
            </a:xfrm>
          </xdr:grpSpPr>
          <xdr:sp macro="" textlink="">
            <xdr:nvSpPr>
              <xdr:cNvPr id="5223" name="Объект 25">
                <a:extLst>
                  <a:ext uri="{FF2B5EF4-FFF2-40B4-BE49-F238E27FC236}">
                    <a16:creationId xmlns:a16="http://schemas.microsoft.com/office/drawing/2014/main" id="{00000000-0008-0000-0100-0000671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00000" y="2180000"/>
                <a:ext cx="20000" cy="28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0" y="11083"/>
                  </a:cxn>
                  <a:cxn ang="0">
                    <a:pos x="0" y="6746"/>
                  </a:cxn>
                  <a:cxn ang="0">
                    <a:pos x="0" y="3855"/>
                  </a:cxn>
                  <a:cxn ang="0">
                    <a:pos x="0" y="2168"/>
                  </a:cxn>
                  <a:cxn ang="0">
                    <a:pos x="0" y="964"/>
                  </a:cxn>
                  <a:cxn ang="0">
                    <a:pos x="0" y="241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0" y="11083"/>
                    </a:lnTo>
                    <a:lnTo>
                      <a:pt x="0" y="6746"/>
                    </a:lnTo>
                    <a:lnTo>
                      <a:pt x="0" y="3855"/>
                    </a:lnTo>
                    <a:lnTo>
                      <a:pt x="0" y="2168"/>
                    </a:lnTo>
                    <a:lnTo>
                      <a:pt x="0" y="964"/>
                    </a:lnTo>
                    <a:lnTo>
                      <a:pt x="0" y="241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4" name="Объект 26">
                <a:extLst>
                  <a:ext uri="{FF2B5EF4-FFF2-40B4-BE49-F238E27FC236}">
                    <a16:creationId xmlns:a16="http://schemas.microsoft.com/office/drawing/2014/main" id="{00000000-0008-0000-0100-0000681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0000" y="2380000"/>
                <a:ext cx="120000" cy="140000"/>
              </a:xfrm>
              <a:custGeom>
                <a:avLst/>
                <a:gdLst/>
                <a:ahLst/>
                <a:cxnLst>
                  <a:cxn ang="0">
                    <a:pos x="8704" y="16384"/>
                  </a:cxn>
                  <a:cxn ang="0">
                    <a:pos x="0" y="0"/>
                  </a:cxn>
                  <a:cxn ang="0">
                    <a:pos x="512" y="840"/>
                  </a:cxn>
                  <a:cxn ang="0">
                    <a:pos x="1024" y="840"/>
                  </a:cxn>
                  <a:cxn ang="0">
                    <a:pos x="1024" y="1260"/>
                  </a:cxn>
                  <a:cxn ang="0">
                    <a:pos x="2048" y="1260"/>
                  </a:cxn>
                  <a:cxn ang="0">
                    <a:pos x="2560" y="1260"/>
                  </a:cxn>
                  <a:cxn ang="0">
                    <a:pos x="3072" y="1260"/>
                  </a:cxn>
                  <a:cxn ang="0">
                    <a:pos x="3072" y="1680"/>
                  </a:cxn>
                  <a:cxn ang="0">
                    <a:pos x="4096" y="1680"/>
                  </a:cxn>
                  <a:cxn ang="0">
                    <a:pos x="4608" y="1680"/>
                  </a:cxn>
                  <a:cxn ang="0">
                    <a:pos x="5120" y="1680"/>
                  </a:cxn>
                  <a:cxn ang="0">
                    <a:pos x="5632" y="1680"/>
                  </a:cxn>
                  <a:cxn ang="0">
                    <a:pos x="6656" y="1680"/>
                  </a:cxn>
                  <a:cxn ang="0">
                    <a:pos x="7168" y="2101"/>
                  </a:cxn>
                  <a:cxn ang="0">
                    <a:pos x="7680" y="2101"/>
                  </a:cxn>
                  <a:cxn ang="0">
                    <a:pos x="8704" y="2101"/>
                  </a:cxn>
                  <a:cxn ang="0">
                    <a:pos x="9216" y="2101"/>
                  </a:cxn>
                  <a:cxn ang="0">
                    <a:pos x="9728" y="1680"/>
                  </a:cxn>
                  <a:cxn ang="0">
                    <a:pos x="10240" y="1680"/>
                  </a:cxn>
                  <a:cxn ang="0">
                    <a:pos x="11264" y="1680"/>
                  </a:cxn>
                  <a:cxn ang="0">
                    <a:pos x="11776" y="1680"/>
                  </a:cxn>
                  <a:cxn ang="0">
                    <a:pos x="12288" y="1680"/>
                  </a:cxn>
                  <a:cxn ang="0">
                    <a:pos x="12800" y="1680"/>
                  </a:cxn>
                  <a:cxn ang="0">
                    <a:pos x="12800" y="1260"/>
                  </a:cxn>
                  <a:cxn ang="0">
                    <a:pos x="13824" y="1260"/>
                  </a:cxn>
                  <a:cxn ang="0">
                    <a:pos x="14336" y="1260"/>
                  </a:cxn>
                  <a:cxn ang="0">
                    <a:pos x="14848" y="1260"/>
                  </a:cxn>
                  <a:cxn ang="0">
                    <a:pos x="15872" y="840"/>
                  </a:cxn>
                  <a:cxn ang="0">
                    <a:pos x="16384" y="0"/>
                  </a:cxn>
                  <a:cxn ang="0">
                    <a:pos x="8704" y="16384"/>
                  </a:cxn>
                </a:cxnLst>
                <a:rect l="0" t="0" r="r" b="b"/>
                <a:pathLst>
                  <a:path w="16384" h="16384">
                    <a:moveTo>
                      <a:pt x="8704" y="16384"/>
                    </a:moveTo>
                    <a:lnTo>
                      <a:pt x="0" y="0"/>
                    </a:lnTo>
                    <a:lnTo>
                      <a:pt x="512" y="840"/>
                    </a:lnTo>
                    <a:lnTo>
                      <a:pt x="1024" y="840"/>
                    </a:lnTo>
                    <a:lnTo>
                      <a:pt x="1024" y="1260"/>
                    </a:lnTo>
                    <a:lnTo>
                      <a:pt x="2048" y="1260"/>
                    </a:lnTo>
                    <a:lnTo>
                      <a:pt x="2560" y="1260"/>
                    </a:lnTo>
                    <a:lnTo>
                      <a:pt x="3072" y="1260"/>
                    </a:lnTo>
                    <a:lnTo>
                      <a:pt x="3072" y="1680"/>
                    </a:lnTo>
                    <a:lnTo>
                      <a:pt x="4096" y="1680"/>
                    </a:lnTo>
                    <a:lnTo>
                      <a:pt x="4608" y="1680"/>
                    </a:lnTo>
                    <a:lnTo>
                      <a:pt x="5120" y="1680"/>
                    </a:lnTo>
                    <a:lnTo>
                      <a:pt x="5632" y="1680"/>
                    </a:lnTo>
                    <a:lnTo>
                      <a:pt x="6656" y="1680"/>
                    </a:lnTo>
                    <a:lnTo>
                      <a:pt x="7168" y="2101"/>
                    </a:lnTo>
                    <a:lnTo>
                      <a:pt x="7680" y="2101"/>
                    </a:lnTo>
                    <a:lnTo>
                      <a:pt x="8704" y="2101"/>
                    </a:lnTo>
                    <a:lnTo>
                      <a:pt x="9216" y="2101"/>
                    </a:lnTo>
                    <a:lnTo>
                      <a:pt x="9728" y="1680"/>
                    </a:lnTo>
                    <a:lnTo>
                      <a:pt x="10240" y="1680"/>
                    </a:lnTo>
                    <a:lnTo>
                      <a:pt x="11264" y="1680"/>
                    </a:lnTo>
                    <a:lnTo>
                      <a:pt x="11776" y="1680"/>
                    </a:lnTo>
                    <a:lnTo>
                      <a:pt x="12288" y="1680"/>
                    </a:lnTo>
                    <a:lnTo>
                      <a:pt x="12800" y="1680"/>
                    </a:lnTo>
                    <a:lnTo>
                      <a:pt x="12800" y="1260"/>
                    </a:lnTo>
                    <a:lnTo>
                      <a:pt x="13824" y="1260"/>
                    </a:lnTo>
                    <a:lnTo>
                      <a:pt x="14336" y="1260"/>
                    </a:lnTo>
                    <a:lnTo>
                      <a:pt x="14848" y="1260"/>
                    </a:lnTo>
                    <a:lnTo>
                      <a:pt x="15872" y="840"/>
                    </a:lnTo>
                    <a:lnTo>
                      <a:pt x="16384" y="0"/>
                    </a:lnTo>
                    <a:lnTo>
                      <a:pt x="8704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</xdr:grpSp>
        <xdr:sp macro="" textlink="">
          <xdr:nvSpPr>
            <xdr:cNvPr id="5225" name="Объект 5">
              <a:extLst>
                <a:ext uri="{FF2B5EF4-FFF2-40B4-BE49-F238E27FC236}">
                  <a16:creationId xmlns:a16="http://schemas.microsoft.com/office/drawing/2014/main" id="{00000000-0008-0000-0100-000069140000}"/>
                </a:ext>
              </a:extLst>
            </xdr:cNvPr>
            <xdr:cNvSpPr>
              <a:spLocks/>
            </xdr:cNvSpPr>
          </xdr:nvSpPr>
          <xdr:spPr bwMode="auto">
            <a:xfrm>
              <a:off x="1100000" y="18"/>
              <a:ext cx="20000" cy="16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4145"/>
                </a:cxn>
                <a:cxn ang="0">
                  <a:pos x="0" y="7699"/>
                </a:cxn>
                <a:cxn ang="0">
                  <a:pos x="0" y="10857"/>
                </a:cxn>
                <a:cxn ang="0">
                  <a:pos x="0" y="12831"/>
                </a:cxn>
                <a:cxn ang="0">
                  <a:pos x="0" y="14607"/>
                </a:cxn>
                <a:cxn ang="0">
                  <a:pos x="0" y="15594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4145"/>
                  </a:lnTo>
                  <a:lnTo>
                    <a:pt x="0" y="7699"/>
                  </a:lnTo>
                  <a:lnTo>
                    <a:pt x="0" y="10857"/>
                  </a:lnTo>
                  <a:lnTo>
                    <a:pt x="0" y="12831"/>
                  </a:lnTo>
                  <a:lnTo>
                    <a:pt x="0" y="14607"/>
                  </a:lnTo>
                  <a:lnTo>
                    <a:pt x="0" y="15594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26" name="Объект 6">
              <a:extLst>
                <a:ext uri="{FF2B5EF4-FFF2-40B4-BE49-F238E27FC236}">
                  <a16:creationId xmlns:a16="http://schemas.microsoft.com/office/drawing/2014/main" id="{00000000-0008-0000-0100-00006A140000}"/>
                </a:ext>
              </a:extLst>
            </xdr:cNvPr>
            <xdr:cNvSpPr>
              <a:spLocks/>
            </xdr:cNvSpPr>
          </xdr:nvSpPr>
          <xdr:spPr bwMode="auto">
            <a:xfrm>
              <a:off x="1340000" y="18"/>
              <a:ext cx="20000" cy="21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4058"/>
                </a:cxn>
                <a:cxn ang="0">
                  <a:pos x="0" y="7215"/>
                </a:cxn>
                <a:cxn ang="0">
                  <a:pos x="0" y="10221"/>
                </a:cxn>
                <a:cxn ang="0">
                  <a:pos x="0" y="12476"/>
                </a:cxn>
                <a:cxn ang="0">
                  <a:pos x="0" y="14129"/>
                </a:cxn>
                <a:cxn ang="0">
                  <a:pos x="0" y="15332"/>
                </a:cxn>
                <a:cxn ang="0">
                  <a:pos x="0" y="16083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4058"/>
                  </a:lnTo>
                  <a:lnTo>
                    <a:pt x="0" y="7215"/>
                  </a:lnTo>
                  <a:lnTo>
                    <a:pt x="0" y="10221"/>
                  </a:lnTo>
                  <a:lnTo>
                    <a:pt x="0" y="12476"/>
                  </a:lnTo>
                  <a:lnTo>
                    <a:pt x="0" y="14129"/>
                  </a:lnTo>
                  <a:lnTo>
                    <a:pt x="0" y="15332"/>
                  </a:lnTo>
                  <a:lnTo>
                    <a:pt x="0" y="16083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27" name="Объект 7">
              <a:extLst>
                <a:ext uri="{FF2B5EF4-FFF2-40B4-BE49-F238E27FC236}">
                  <a16:creationId xmlns:a16="http://schemas.microsoft.com/office/drawing/2014/main" id="{00000000-0008-0000-0100-00006B140000}"/>
                </a:ext>
              </a:extLst>
            </xdr:cNvPr>
            <xdr:cNvSpPr>
              <a:spLocks/>
            </xdr:cNvSpPr>
          </xdr:nvSpPr>
          <xdr:spPr bwMode="auto">
            <a:xfrm>
              <a:off x="780000" y="25"/>
              <a:ext cx="260000" cy="1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5542" y="0"/>
                </a:cxn>
                <a:cxn ang="0">
                  <a:pos x="9397" y="0"/>
                </a:cxn>
                <a:cxn ang="0">
                  <a:pos x="12288" y="0"/>
                </a:cxn>
                <a:cxn ang="0">
                  <a:pos x="14456" y="0"/>
                </a:cxn>
                <a:cxn ang="0">
                  <a:pos x="15420" y="0"/>
                </a:cxn>
                <a:cxn ang="0">
                  <a:pos x="15902" y="0"/>
                </a:cxn>
                <a:cxn ang="0">
                  <a:pos x="16384" y="0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5542" y="0"/>
                  </a:lnTo>
                  <a:lnTo>
                    <a:pt x="9397" y="0"/>
                  </a:lnTo>
                  <a:lnTo>
                    <a:pt x="12288" y="0"/>
                  </a:lnTo>
                  <a:lnTo>
                    <a:pt x="14456" y="0"/>
                  </a:lnTo>
                  <a:lnTo>
                    <a:pt x="15420" y="0"/>
                  </a:lnTo>
                  <a:lnTo>
                    <a:pt x="15902" y="0"/>
                  </a:lnTo>
                  <a:lnTo>
                    <a:pt x="16384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28" name="Объект 8">
              <a:extLst>
                <a:ext uri="{FF2B5EF4-FFF2-40B4-BE49-F238E27FC236}">
                  <a16:creationId xmlns:a16="http://schemas.microsoft.com/office/drawing/2014/main" id="{00000000-0008-0000-0100-00006C140000}"/>
                </a:ext>
              </a:extLst>
            </xdr:cNvPr>
            <xdr:cNvSpPr>
              <a:spLocks/>
            </xdr:cNvSpPr>
          </xdr:nvSpPr>
          <xdr:spPr bwMode="auto">
            <a:xfrm>
              <a:off x="960000" y="21"/>
              <a:ext cx="140000" cy="6"/>
            </a:xfrm>
            <a:custGeom>
              <a:avLst/>
              <a:gdLst/>
              <a:ahLst/>
              <a:cxnLst>
                <a:cxn ang="0">
                  <a:pos x="16384" y="8704"/>
                </a:cxn>
                <a:cxn ang="0">
                  <a:pos x="0" y="0"/>
                </a:cxn>
                <a:cxn ang="0">
                  <a:pos x="0" y="1024"/>
                </a:cxn>
                <a:cxn ang="0">
                  <a:pos x="0" y="1536"/>
                </a:cxn>
                <a:cxn ang="0">
                  <a:pos x="443" y="2048"/>
                </a:cxn>
                <a:cxn ang="0">
                  <a:pos x="443" y="2560"/>
                </a:cxn>
                <a:cxn ang="0">
                  <a:pos x="443" y="3584"/>
                </a:cxn>
                <a:cxn ang="0">
                  <a:pos x="886" y="4096"/>
                </a:cxn>
                <a:cxn ang="0">
                  <a:pos x="886" y="4608"/>
                </a:cxn>
                <a:cxn ang="0">
                  <a:pos x="886" y="5632"/>
                </a:cxn>
                <a:cxn ang="0">
                  <a:pos x="886" y="6144"/>
                </a:cxn>
                <a:cxn ang="0">
                  <a:pos x="1328" y="6656"/>
                </a:cxn>
                <a:cxn ang="0">
                  <a:pos x="1328" y="7168"/>
                </a:cxn>
                <a:cxn ang="0">
                  <a:pos x="1328" y="8192"/>
                </a:cxn>
                <a:cxn ang="0">
                  <a:pos x="1328" y="8704"/>
                </a:cxn>
                <a:cxn ang="0">
                  <a:pos x="1328" y="9216"/>
                </a:cxn>
                <a:cxn ang="0">
                  <a:pos x="1328" y="10240"/>
                </a:cxn>
                <a:cxn ang="0">
                  <a:pos x="1328" y="10752"/>
                </a:cxn>
                <a:cxn ang="0">
                  <a:pos x="886" y="11264"/>
                </a:cxn>
                <a:cxn ang="0">
                  <a:pos x="886" y="11776"/>
                </a:cxn>
                <a:cxn ang="0">
                  <a:pos x="886" y="12800"/>
                </a:cxn>
                <a:cxn ang="0">
                  <a:pos x="886" y="13312"/>
                </a:cxn>
                <a:cxn ang="0">
                  <a:pos x="443" y="13824"/>
                </a:cxn>
                <a:cxn ang="0">
                  <a:pos x="443" y="14848"/>
                </a:cxn>
                <a:cxn ang="0">
                  <a:pos x="443" y="15360"/>
                </a:cxn>
                <a:cxn ang="0">
                  <a:pos x="0" y="15872"/>
                </a:cxn>
                <a:cxn ang="0">
                  <a:pos x="0" y="16384"/>
                </a:cxn>
                <a:cxn ang="0">
                  <a:pos x="16384" y="8704"/>
                </a:cxn>
              </a:cxnLst>
              <a:rect l="0" t="0" r="r" b="b"/>
              <a:pathLst>
                <a:path w="16384" h="16384">
                  <a:moveTo>
                    <a:pt x="16384" y="8704"/>
                  </a:moveTo>
                  <a:lnTo>
                    <a:pt x="0" y="0"/>
                  </a:lnTo>
                  <a:lnTo>
                    <a:pt x="0" y="1024"/>
                  </a:lnTo>
                  <a:lnTo>
                    <a:pt x="0" y="1536"/>
                  </a:lnTo>
                  <a:lnTo>
                    <a:pt x="443" y="2048"/>
                  </a:lnTo>
                  <a:lnTo>
                    <a:pt x="443" y="2560"/>
                  </a:lnTo>
                  <a:lnTo>
                    <a:pt x="443" y="3584"/>
                  </a:lnTo>
                  <a:lnTo>
                    <a:pt x="886" y="4096"/>
                  </a:lnTo>
                  <a:lnTo>
                    <a:pt x="886" y="4608"/>
                  </a:lnTo>
                  <a:lnTo>
                    <a:pt x="886" y="5632"/>
                  </a:lnTo>
                  <a:lnTo>
                    <a:pt x="886" y="6144"/>
                  </a:lnTo>
                  <a:lnTo>
                    <a:pt x="1328" y="6656"/>
                  </a:lnTo>
                  <a:lnTo>
                    <a:pt x="1328" y="7168"/>
                  </a:lnTo>
                  <a:lnTo>
                    <a:pt x="1328" y="8192"/>
                  </a:lnTo>
                  <a:lnTo>
                    <a:pt x="1328" y="8704"/>
                  </a:lnTo>
                  <a:lnTo>
                    <a:pt x="1328" y="9216"/>
                  </a:lnTo>
                  <a:lnTo>
                    <a:pt x="1328" y="10240"/>
                  </a:lnTo>
                  <a:lnTo>
                    <a:pt x="1328" y="10752"/>
                  </a:lnTo>
                  <a:lnTo>
                    <a:pt x="886" y="11264"/>
                  </a:lnTo>
                  <a:lnTo>
                    <a:pt x="886" y="11776"/>
                  </a:lnTo>
                  <a:lnTo>
                    <a:pt x="886" y="12800"/>
                  </a:lnTo>
                  <a:lnTo>
                    <a:pt x="886" y="13312"/>
                  </a:lnTo>
                  <a:lnTo>
                    <a:pt x="443" y="13824"/>
                  </a:lnTo>
                  <a:lnTo>
                    <a:pt x="443" y="14848"/>
                  </a:lnTo>
                  <a:lnTo>
                    <a:pt x="443" y="15360"/>
                  </a:lnTo>
                  <a:lnTo>
                    <a:pt x="0" y="15872"/>
                  </a:lnTo>
                  <a:lnTo>
                    <a:pt x="0" y="16384"/>
                  </a:lnTo>
                  <a:lnTo>
                    <a:pt x="16384" y="870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29" name="Объект 9">
              <a:extLst>
                <a:ext uri="{FF2B5EF4-FFF2-40B4-BE49-F238E27FC236}">
                  <a16:creationId xmlns:a16="http://schemas.microsoft.com/office/drawing/2014/main" id="{00000000-0008-0000-0100-00006D140000}"/>
                </a:ext>
              </a:extLst>
            </xdr:cNvPr>
            <xdr:cNvSpPr>
              <a:spLocks/>
            </xdr:cNvSpPr>
          </xdr:nvSpPr>
          <xdr:spPr bwMode="auto">
            <a:xfrm>
              <a:off x="1420000" y="25"/>
              <a:ext cx="260000" cy="1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5301" y="0"/>
                </a:cxn>
                <a:cxn ang="0">
                  <a:pos x="9397" y="0"/>
                </a:cxn>
                <a:cxn ang="0">
                  <a:pos x="12529" y="0"/>
                </a:cxn>
                <a:cxn ang="0">
                  <a:pos x="14216" y="0"/>
                </a:cxn>
                <a:cxn ang="0">
                  <a:pos x="15420" y="0"/>
                </a:cxn>
                <a:cxn ang="0">
                  <a:pos x="16143" y="0"/>
                </a:cxn>
                <a:cxn ang="0">
                  <a:pos x="16384" y="0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5301" y="0"/>
                  </a:lnTo>
                  <a:lnTo>
                    <a:pt x="9397" y="0"/>
                  </a:lnTo>
                  <a:lnTo>
                    <a:pt x="12529" y="0"/>
                  </a:lnTo>
                  <a:lnTo>
                    <a:pt x="14216" y="0"/>
                  </a:lnTo>
                  <a:lnTo>
                    <a:pt x="15420" y="0"/>
                  </a:lnTo>
                  <a:lnTo>
                    <a:pt x="16143" y="0"/>
                  </a:lnTo>
                  <a:lnTo>
                    <a:pt x="16384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30" name="Объект 10">
              <a:extLst>
                <a:ext uri="{FF2B5EF4-FFF2-40B4-BE49-F238E27FC236}">
                  <a16:creationId xmlns:a16="http://schemas.microsoft.com/office/drawing/2014/main" id="{00000000-0008-0000-0100-00006E140000}"/>
                </a:ext>
              </a:extLst>
            </xdr:cNvPr>
            <xdr:cNvSpPr>
              <a:spLocks/>
            </xdr:cNvSpPr>
          </xdr:nvSpPr>
          <xdr:spPr bwMode="auto">
            <a:xfrm>
              <a:off x="1340000" y="21"/>
              <a:ext cx="140000" cy="6"/>
            </a:xfrm>
            <a:custGeom>
              <a:avLst/>
              <a:gdLst/>
              <a:ahLst/>
              <a:cxnLst>
                <a:cxn ang="0">
                  <a:pos x="0" y="8704"/>
                </a:cxn>
                <a:cxn ang="0">
                  <a:pos x="16384" y="0"/>
                </a:cxn>
                <a:cxn ang="0">
                  <a:pos x="16384" y="1024"/>
                </a:cxn>
                <a:cxn ang="0">
                  <a:pos x="15941" y="1536"/>
                </a:cxn>
                <a:cxn ang="0">
                  <a:pos x="15941" y="2048"/>
                </a:cxn>
                <a:cxn ang="0">
                  <a:pos x="15941" y="2560"/>
                </a:cxn>
                <a:cxn ang="0">
                  <a:pos x="15498" y="3584"/>
                </a:cxn>
                <a:cxn ang="0">
                  <a:pos x="15498" y="4096"/>
                </a:cxn>
                <a:cxn ang="0">
                  <a:pos x="15498" y="4608"/>
                </a:cxn>
                <a:cxn ang="0">
                  <a:pos x="14613" y="5632"/>
                </a:cxn>
                <a:cxn ang="0">
                  <a:pos x="14613" y="6144"/>
                </a:cxn>
                <a:cxn ang="0">
                  <a:pos x="14613" y="6656"/>
                </a:cxn>
                <a:cxn ang="0">
                  <a:pos x="14613" y="7168"/>
                </a:cxn>
                <a:cxn ang="0">
                  <a:pos x="14613" y="8192"/>
                </a:cxn>
                <a:cxn ang="0">
                  <a:pos x="14613" y="8704"/>
                </a:cxn>
                <a:cxn ang="0">
                  <a:pos x="14613" y="9216"/>
                </a:cxn>
                <a:cxn ang="0">
                  <a:pos x="14613" y="10240"/>
                </a:cxn>
                <a:cxn ang="0">
                  <a:pos x="14613" y="10752"/>
                </a:cxn>
                <a:cxn ang="0">
                  <a:pos x="14613" y="11264"/>
                </a:cxn>
                <a:cxn ang="0">
                  <a:pos x="15498" y="11776"/>
                </a:cxn>
                <a:cxn ang="0">
                  <a:pos x="15498" y="12800"/>
                </a:cxn>
                <a:cxn ang="0">
                  <a:pos x="15498" y="13312"/>
                </a:cxn>
                <a:cxn ang="0">
                  <a:pos x="15498" y="13824"/>
                </a:cxn>
                <a:cxn ang="0">
                  <a:pos x="15941" y="13824"/>
                </a:cxn>
                <a:cxn ang="0">
                  <a:pos x="15941" y="14848"/>
                </a:cxn>
                <a:cxn ang="0">
                  <a:pos x="15941" y="15360"/>
                </a:cxn>
                <a:cxn ang="0">
                  <a:pos x="15941" y="15872"/>
                </a:cxn>
                <a:cxn ang="0">
                  <a:pos x="16384" y="16384"/>
                </a:cxn>
                <a:cxn ang="0">
                  <a:pos x="0" y="8704"/>
                </a:cxn>
              </a:cxnLst>
              <a:rect l="0" t="0" r="r" b="b"/>
              <a:pathLst>
                <a:path w="16384" h="16384">
                  <a:moveTo>
                    <a:pt x="0" y="8704"/>
                  </a:moveTo>
                  <a:lnTo>
                    <a:pt x="16384" y="0"/>
                  </a:lnTo>
                  <a:lnTo>
                    <a:pt x="16384" y="1024"/>
                  </a:lnTo>
                  <a:lnTo>
                    <a:pt x="15941" y="1536"/>
                  </a:lnTo>
                  <a:lnTo>
                    <a:pt x="15941" y="2048"/>
                  </a:lnTo>
                  <a:lnTo>
                    <a:pt x="15941" y="2560"/>
                  </a:lnTo>
                  <a:lnTo>
                    <a:pt x="15498" y="3584"/>
                  </a:lnTo>
                  <a:lnTo>
                    <a:pt x="15498" y="4096"/>
                  </a:lnTo>
                  <a:lnTo>
                    <a:pt x="15498" y="4608"/>
                  </a:lnTo>
                  <a:lnTo>
                    <a:pt x="14613" y="5632"/>
                  </a:lnTo>
                  <a:lnTo>
                    <a:pt x="14613" y="6144"/>
                  </a:lnTo>
                  <a:lnTo>
                    <a:pt x="14613" y="6656"/>
                  </a:lnTo>
                  <a:lnTo>
                    <a:pt x="14613" y="7168"/>
                  </a:lnTo>
                  <a:lnTo>
                    <a:pt x="14613" y="8192"/>
                  </a:lnTo>
                  <a:lnTo>
                    <a:pt x="14613" y="8704"/>
                  </a:lnTo>
                  <a:lnTo>
                    <a:pt x="14613" y="9216"/>
                  </a:lnTo>
                  <a:lnTo>
                    <a:pt x="14613" y="10240"/>
                  </a:lnTo>
                  <a:lnTo>
                    <a:pt x="14613" y="10752"/>
                  </a:lnTo>
                  <a:lnTo>
                    <a:pt x="14613" y="11264"/>
                  </a:lnTo>
                  <a:lnTo>
                    <a:pt x="15498" y="11776"/>
                  </a:lnTo>
                  <a:lnTo>
                    <a:pt x="15498" y="12800"/>
                  </a:lnTo>
                  <a:lnTo>
                    <a:pt x="15498" y="13312"/>
                  </a:lnTo>
                  <a:lnTo>
                    <a:pt x="15498" y="13824"/>
                  </a:lnTo>
                  <a:lnTo>
                    <a:pt x="15941" y="13824"/>
                  </a:lnTo>
                  <a:lnTo>
                    <a:pt x="15941" y="14848"/>
                  </a:lnTo>
                  <a:lnTo>
                    <a:pt x="15941" y="15360"/>
                  </a:lnTo>
                  <a:lnTo>
                    <a:pt x="15941" y="15872"/>
                  </a:lnTo>
                  <a:lnTo>
                    <a:pt x="16384" y="16384"/>
                  </a:lnTo>
                  <a:lnTo>
                    <a:pt x="0" y="870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31" name="Объект 11">
              <a:extLst>
                <a:ext uri="{FF2B5EF4-FFF2-40B4-BE49-F238E27FC236}">
                  <a16:creationId xmlns:a16="http://schemas.microsoft.com/office/drawing/2014/main" id="{00000000-0008-0000-0100-00006F140000}"/>
                </a:ext>
              </a:extLst>
            </xdr:cNvPr>
            <xdr:cNvSpPr>
              <a:spLocks/>
            </xdr:cNvSpPr>
          </xdr:nvSpPr>
          <xdr:spPr bwMode="auto">
            <a:xfrm>
              <a:off x="1100000" y="36"/>
              <a:ext cx="1840000" cy="98"/>
            </a:xfrm>
            <a:custGeom>
              <a:avLst/>
              <a:gdLst/>
              <a:ahLst/>
              <a:cxnLst>
                <a:cxn ang="0">
                  <a:pos x="14966" y="14406"/>
                </a:cxn>
                <a:cxn ang="0">
                  <a:pos x="15164" y="14406"/>
                </a:cxn>
                <a:cxn ang="0">
                  <a:pos x="15329" y="14439"/>
                </a:cxn>
                <a:cxn ang="0">
                  <a:pos x="15494" y="14472"/>
                </a:cxn>
                <a:cxn ang="0">
                  <a:pos x="15659" y="14571"/>
                </a:cxn>
                <a:cxn ang="0">
                  <a:pos x="15922" y="14769"/>
                </a:cxn>
                <a:cxn ang="0">
                  <a:pos x="16087" y="15032"/>
                </a:cxn>
                <a:cxn ang="0">
                  <a:pos x="16219" y="15329"/>
                </a:cxn>
                <a:cxn ang="0">
                  <a:pos x="16318" y="15659"/>
                </a:cxn>
                <a:cxn ang="0">
                  <a:pos x="16384" y="15988"/>
                </a:cxn>
                <a:cxn ang="0">
                  <a:pos x="16384" y="16384"/>
                </a:cxn>
                <a:cxn ang="0">
                  <a:pos x="0" y="16384"/>
                </a:cxn>
                <a:cxn ang="0">
                  <a:pos x="0" y="0"/>
                </a:cxn>
                <a:cxn ang="0">
                  <a:pos x="396" y="33"/>
                </a:cxn>
                <a:cxn ang="0">
                  <a:pos x="725" y="66"/>
                </a:cxn>
                <a:cxn ang="0">
                  <a:pos x="1088" y="198"/>
                </a:cxn>
                <a:cxn ang="0">
                  <a:pos x="1385" y="363"/>
                </a:cxn>
                <a:cxn ang="0">
                  <a:pos x="1681" y="593"/>
                </a:cxn>
                <a:cxn ang="0">
                  <a:pos x="1912" y="857"/>
                </a:cxn>
                <a:cxn ang="0">
                  <a:pos x="1978" y="956"/>
                </a:cxn>
                <a:cxn ang="0">
                  <a:pos x="2077" y="1154"/>
                </a:cxn>
                <a:cxn ang="0">
                  <a:pos x="2110" y="1319"/>
                </a:cxn>
                <a:cxn ang="0">
                  <a:pos x="2110" y="1483"/>
                </a:cxn>
                <a:cxn ang="0">
                  <a:pos x="2110" y="12692"/>
                </a:cxn>
                <a:cxn ang="0">
                  <a:pos x="2143" y="13087"/>
                </a:cxn>
                <a:cxn ang="0">
                  <a:pos x="2209" y="13384"/>
                </a:cxn>
                <a:cxn ang="0">
                  <a:pos x="2341" y="13681"/>
                </a:cxn>
                <a:cxn ang="0">
                  <a:pos x="2505" y="13945"/>
                </a:cxn>
                <a:cxn ang="0">
                  <a:pos x="2703" y="14109"/>
                </a:cxn>
                <a:cxn ang="0">
                  <a:pos x="2967" y="14274"/>
                </a:cxn>
                <a:cxn ang="0">
                  <a:pos x="3297" y="14340"/>
                </a:cxn>
                <a:cxn ang="0">
                  <a:pos x="3626" y="14406"/>
                </a:cxn>
                <a:cxn ang="0">
                  <a:pos x="14966" y="14406"/>
                </a:cxn>
              </a:cxnLst>
              <a:rect l="0" t="0" r="r" b="b"/>
              <a:pathLst>
                <a:path w="16384" h="16384">
                  <a:moveTo>
                    <a:pt x="14966" y="14406"/>
                  </a:moveTo>
                  <a:lnTo>
                    <a:pt x="15164" y="14406"/>
                  </a:lnTo>
                  <a:lnTo>
                    <a:pt x="15329" y="14439"/>
                  </a:lnTo>
                  <a:lnTo>
                    <a:pt x="15494" y="14472"/>
                  </a:lnTo>
                  <a:lnTo>
                    <a:pt x="15659" y="14571"/>
                  </a:lnTo>
                  <a:lnTo>
                    <a:pt x="15922" y="14769"/>
                  </a:lnTo>
                  <a:lnTo>
                    <a:pt x="16087" y="15032"/>
                  </a:lnTo>
                  <a:lnTo>
                    <a:pt x="16219" y="15329"/>
                  </a:lnTo>
                  <a:lnTo>
                    <a:pt x="16318" y="15659"/>
                  </a:lnTo>
                  <a:lnTo>
                    <a:pt x="16384" y="15988"/>
                  </a:lnTo>
                  <a:lnTo>
                    <a:pt x="16384" y="16384"/>
                  </a:lnTo>
                  <a:lnTo>
                    <a:pt x="0" y="16384"/>
                  </a:lnTo>
                  <a:lnTo>
                    <a:pt x="0" y="0"/>
                  </a:lnTo>
                  <a:lnTo>
                    <a:pt x="396" y="33"/>
                  </a:lnTo>
                  <a:lnTo>
                    <a:pt x="725" y="66"/>
                  </a:lnTo>
                  <a:lnTo>
                    <a:pt x="1088" y="198"/>
                  </a:lnTo>
                  <a:lnTo>
                    <a:pt x="1385" y="363"/>
                  </a:lnTo>
                  <a:lnTo>
                    <a:pt x="1681" y="593"/>
                  </a:lnTo>
                  <a:lnTo>
                    <a:pt x="1912" y="857"/>
                  </a:lnTo>
                  <a:lnTo>
                    <a:pt x="1978" y="956"/>
                  </a:lnTo>
                  <a:lnTo>
                    <a:pt x="2077" y="1154"/>
                  </a:lnTo>
                  <a:lnTo>
                    <a:pt x="2110" y="1319"/>
                  </a:lnTo>
                  <a:lnTo>
                    <a:pt x="2110" y="1483"/>
                  </a:lnTo>
                  <a:lnTo>
                    <a:pt x="2110" y="12692"/>
                  </a:lnTo>
                  <a:lnTo>
                    <a:pt x="2143" y="13087"/>
                  </a:lnTo>
                  <a:lnTo>
                    <a:pt x="2209" y="13384"/>
                  </a:lnTo>
                  <a:lnTo>
                    <a:pt x="2341" y="13681"/>
                  </a:lnTo>
                  <a:lnTo>
                    <a:pt x="2505" y="13945"/>
                  </a:lnTo>
                  <a:lnTo>
                    <a:pt x="2703" y="14109"/>
                  </a:lnTo>
                  <a:lnTo>
                    <a:pt x="2967" y="14274"/>
                  </a:lnTo>
                  <a:lnTo>
                    <a:pt x="3297" y="14340"/>
                  </a:lnTo>
                  <a:lnTo>
                    <a:pt x="3626" y="14406"/>
                  </a:lnTo>
                  <a:lnTo>
                    <a:pt x="14966" y="14406"/>
                  </a:lnTo>
                  <a:close/>
                </a:path>
              </a:pathLst>
            </a:custGeom>
            <a:solidFill>
              <a:srgbClr val="CCCC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32" name="Объект 12">
              <a:extLst>
                <a:ext uri="{FF2B5EF4-FFF2-40B4-BE49-F238E27FC236}">
                  <a16:creationId xmlns:a16="http://schemas.microsoft.com/office/drawing/2014/main" id="{00000000-0008-0000-0100-000070140000}"/>
                </a:ext>
              </a:extLst>
            </xdr:cNvPr>
            <xdr:cNvSpPr>
              <a:spLocks/>
            </xdr:cNvSpPr>
          </xdr:nvSpPr>
          <xdr:spPr bwMode="auto">
            <a:xfrm>
              <a:off x="1100000" y="36"/>
              <a:ext cx="1840000" cy="98"/>
            </a:xfrm>
            <a:custGeom>
              <a:avLst/>
              <a:gdLst/>
              <a:ahLst/>
              <a:cxnLst>
                <a:cxn ang="0">
                  <a:pos x="14966" y="14406"/>
                </a:cxn>
                <a:cxn ang="0">
                  <a:pos x="15164" y="14406"/>
                </a:cxn>
                <a:cxn ang="0">
                  <a:pos x="15329" y="14439"/>
                </a:cxn>
                <a:cxn ang="0">
                  <a:pos x="15494" y="14472"/>
                </a:cxn>
                <a:cxn ang="0">
                  <a:pos x="15659" y="14571"/>
                </a:cxn>
                <a:cxn ang="0">
                  <a:pos x="15922" y="14769"/>
                </a:cxn>
                <a:cxn ang="0">
                  <a:pos x="16087" y="15032"/>
                </a:cxn>
                <a:cxn ang="0">
                  <a:pos x="16219" y="15329"/>
                </a:cxn>
                <a:cxn ang="0">
                  <a:pos x="16318" y="15659"/>
                </a:cxn>
                <a:cxn ang="0">
                  <a:pos x="16384" y="15988"/>
                </a:cxn>
                <a:cxn ang="0">
                  <a:pos x="16384" y="16384"/>
                </a:cxn>
                <a:cxn ang="0">
                  <a:pos x="0" y="16384"/>
                </a:cxn>
                <a:cxn ang="0">
                  <a:pos x="0" y="0"/>
                </a:cxn>
                <a:cxn ang="0">
                  <a:pos x="396" y="33"/>
                </a:cxn>
                <a:cxn ang="0">
                  <a:pos x="725" y="66"/>
                </a:cxn>
                <a:cxn ang="0">
                  <a:pos x="1088" y="198"/>
                </a:cxn>
                <a:cxn ang="0">
                  <a:pos x="1385" y="363"/>
                </a:cxn>
                <a:cxn ang="0">
                  <a:pos x="1681" y="593"/>
                </a:cxn>
                <a:cxn ang="0">
                  <a:pos x="1912" y="857"/>
                </a:cxn>
                <a:cxn ang="0">
                  <a:pos x="1978" y="956"/>
                </a:cxn>
                <a:cxn ang="0">
                  <a:pos x="2077" y="1154"/>
                </a:cxn>
                <a:cxn ang="0">
                  <a:pos x="2110" y="1319"/>
                </a:cxn>
                <a:cxn ang="0">
                  <a:pos x="2110" y="1483"/>
                </a:cxn>
                <a:cxn ang="0">
                  <a:pos x="2110" y="12692"/>
                </a:cxn>
                <a:cxn ang="0">
                  <a:pos x="2143" y="13087"/>
                </a:cxn>
                <a:cxn ang="0">
                  <a:pos x="2209" y="13384"/>
                </a:cxn>
                <a:cxn ang="0">
                  <a:pos x="2341" y="13681"/>
                </a:cxn>
                <a:cxn ang="0">
                  <a:pos x="2505" y="13945"/>
                </a:cxn>
                <a:cxn ang="0">
                  <a:pos x="2703" y="14109"/>
                </a:cxn>
                <a:cxn ang="0">
                  <a:pos x="2967" y="14274"/>
                </a:cxn>
                <a:cxn ang="0">
                  <a:pos x="3297" y="14340"/>
                </a:cxn>
                <a:cxn ang="0">
                  <a:pos x="3626" y="14406"/>
                </a:cxn>
                <a:cxn ang="0">
                  <a:pos x="14966" y="14406"/>
                </a:cxn>
              </a:cxnLst>
              <a:rect l="0" t="0" r="r" b="b"/>
              <a:pathLst>
                <a:path w="16384" h="16384">
                  <a:moveTo>
                    <a:pt x="14966" y="14406"/>
                  </a:moveTo>
                  <a:lnTo>
                    <a:pt x="15164" y="14406"/>
                  </a:lnTo>
                  <a:lnTo>
                    <a:pt x="15329" y="14439"/>
                  </a:lnTo>
                  <a:lnTo>
                    <a:pt x="15494" y="14472"/>
                  </a:lnTo>
                  <a:lnTo>
                    <a:pt x="15659" y="14571"/>
                  </a:lnTo>
                  <a:lnTo>
                    <a:pt x="15922" y="14769"/>
                  </a:lnTo>
                  <a:lnTo>
                    <a:pt x="16087" y="15032"/>
                  </a:lnTo>
                  <a:lnTo>
                    <a:pt x="16219" y="15329"/>
                  </a:lnTo>
                  <a:lnTo>
                    <a:pt x="16318" y="15659"/>
                  </a:lnTo>
                  <a:lnTo>
                    <a:pt x="16384" y="15988"/>
                  </a:lnTo>
                  <a:lnTo>
                    <a:pt x="16384" y="16384"/>
                  </a:lnTo>
                  <a:lnTo>
                    <a:pt x="0" y="16384"/>
                  </a:lnTo>
                  <a:lnTo>
                    <a:pt x="0" y="0"/>
                  </a:lnTo>
                  <a:lnTo>
                    <a:pt x="396" y="33"/>
                  </a:lnTo>
                  <a:lnTo>
                    <a:pt x="725" y="66"/>
                  </a:lnTo>
                  <a:lnTo>
                    <a:pt x="1088" y="198"/>
                  </a:lnTo>
                  <a:lnTo>
                    <a:pt x="1385" y="363"/>
                  </a:lnTo>
                  <a:lnTo>
                    <a:pt x="1681" y="593"/>
                  </a:lnTo>
                  <a:lnTo>
                    <a:pt x="1912" y="857"/>
                  </a:lnTo>
                  <a:lnTo>
                    <a:pt x="1978" y="956"/>
                  </a:lnTo>
                  <a:lnTo>
                    <a:pt x="2077" y="1154"/>
                  </a:lnTo>
                  <a:lnTo>
                    <a:pt x="2110" y="1319"/>
                  </a:lnTo>
                  <a:lnTo>
                    <a:pt x="2110" y="1483"/>
                  </a:lnTo>
                  <a:lnTo>
                    <a:pt x="2110" y="12692"/>
                  </a:lnTo>
                  <a:lnTo>
                    <a:pt x="2143" y="13087"/>
                  </a:lnTo>
                  <a:lnTo>
                    <a:pt x="2209" y="13384"/>
                  </a:lnTo>
                  <a:lnTo>
                    <a:pt x="2341" y="13681"/>
                  </a:lnTo>
                  <a:lnTo>
                    <a:pt x="2505" y="13945"/>
                  </a:lnTo>
                  <a:lnTo>
                    <a:pt x="2703" y="14109"/>
                  </a:lnTo>
                  <a:lnTo>
                    <a:pt x="2967" y="14274"/>
                  </a:lnTo>
                  <a:lnTo>
                    <a:pt x="3297" y="14340"/>
                  </a:lnTo>
                  <a:lnTo>
                    <a:pt x="3626" y="14406"/>
                  </a:lnTo>
                  <a:lnTo>
                    <a:pt x="14966" y="14406"/>
                  </a:lnTo>
                </a:path>
              </a:pathLst>
            </a:custGeom>
            <a:noFill/>
            <a:ln w="1" cap="flat">
              <a:solidFill>
                <a:srgbClr val="33330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33" name="Объект 22">
              <a:extLst>
                <a:ext uri="{FF2B5EF4-FFF2-40B4-BE49-F238E27FC236}">
                  <a16:creationId xmlns:a16="http://schemas.microsoft.com/office/drawing/2014/main" id="{00000000-0008-0000-0100-000071140000}"/>
                </a:ext>
              </a:extLst>
            </xdr:cNvPr>
            <xdr:cNvSpPr>
              <a:spLocks/>
            </xdr:cNvSpPr>
          </xdr:nvSpPr>
          <xdr:spPr bwMode="auto">
            <a:xfrm>
              <a:off x="2900000" y="122"/>
              <a:ext cx="300000" cy="0"/>
            </a:xfrm>
            <a:custGeom>
              <a:avLst/>
              <a:gdLst/>
              <a:ahLst/>
              <a:cxnLst>
                <a:cxn ang="0">
                  <a:pos x="16384" y="0"/>
                </a:cxn>
                <a:cxn ang="0">
                  <a:pos x="12393" y="0"/>
                </a:cxn>
                <a:cxn ang="0">
                  <a:pos x="9032" y="0"/>
                </a:cxn>
                <a:cxn ang="0">
                  <a:pos x="6091" y="0"/>
                </a:cxn>
                <a:cxn ang="0">
                  <a:pos x="3781" y="0"/>
                </a:cxn>
                <a:cxn ang="0">
                  <a:pos x="2101" y="0"/>
                </a:cxn>
                <a:cxn ang="0">
                  <a:pos x="840" y="0"/>
                </a:cxn>
                <a:cxn ang="0">
                  <a:pos x="210" y="0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16384" y="0"/>
                  </a:moveTo>
                  <a:lnTo>
                    <a:pt x="12393" y="0"/>
                  </a:lnTo>
                  <a:lnTo>
                    <a:pt x="9032" y="0"/>
                  </a:lnTo>
                  <a:lnTo>
                    <a:pt x="6091" y="0"/>
                  </a:lnTo>
                  <a:lnTo>
                    <a:pt x="3781" y="0"/>
                  </a:lnTo>
                  <a:lnTo>
                    <a:pt x="2101" y="0"/>
                  </a:lnTo>
                  <a:lnTo>
                    <a:pt x="840" y="0"/>
                  </a:lnTo>
                  <a:lnTo>
                    <a:pt x="210" y="0"/>
                  </a:lnTo>
                  <a:lnTo>
                    <a:pt x="0" y="0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34" name="Объект 23">
              <a:extLst>
                <a:ext uri="{FF2B5EF4-FFF2-40B4-BE49-F238E27FC236}">
                  <a16:creationId xmlns:a16="http://schemas.microsoft.com/office/drawing/2014/main" id="{00000000-0008-0000-0100-000072140000}"/>
                </a:ext>
              </a:extLst>
            </xdr:cNvPr>
            <xdr:cNvSpPr>
              <a:spLocks/>
            </xdr:cNvSpPr>
          </xdr:nvSpPr>
          <xdr:spPr bwMode="auto">
            <a:xfrm>
              <a:off x="3100000" y="138"/>
              <a:ext cx="20000" cy="15"/>
            </a:xfrm>
            <a:custGeom>
              <a:avLst/>
              <a:gdLst/>
              <a:ahLst/>
              <a:cxnLst>
                <a:cxn ang="0">
                  <a:pos x="0" y="16384"/>
                </a:cxn>
                <a:cxn ang="0">
                  <a:pos x="0" y="10923"/>
                </a:cxn>
                <a:cxn ang="0">
                  <a:pos x="0" y="6886"/>
                </a:cxn>
                <a:cxn ang="0">
                  <a:pos x="0" y="4037"/>
                </a:cxn>
                <a:cxn ang="0">
                  <a:pos x="0" y="2137"/>
                </a:cxn>
                <a:cxn ang="0">
                  <a:pos x="0" y="950"/>
                </a:cxn>
                <a:cxn ang="0">
                  <a:pos x="0" y="237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0" y="16384"/>
                  </a:moveTo>
                  <a:lnTo>
                    <a:pt x="0" y="10923"/>
                  </a:lnTo>
                  <a:lnTo>
                    <a:pt x="0" y="6886"/>
                  </a:lnTo>
                  <a:lnTo>
                    <a:pt x="0" y="4037"/>
                  </a:lnTo>
                  <a:lnTo>
                    <a:pt x="0" y="2137"/>
                  </a:lnTo>
                  <a:lnTo>
                    <a:pt x="0" y="950"/>
                  </a:lnTo>
                  <a:lnTo>
                    <a:pt x="0" y="237"/>
                  </a:lnTo>
                  <a:lnTo>
                    <a:pt x="0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35" name="Объект 24">
              <a:extLst>
                <a:ext uri="{FF2B5EF4-FFF2-40B4-BE49-F238E27FC236}">
                  <a16:creationId xmlns:a16="http://schemas.microsoft.com/office/drawing/2014/main" id="{00000000-0008-0000-0100-000073140000}"/>
                </a:ext>
              </a:extLst>
            </xdr:cNvPr>
            <xdr:cNvSpPr>
              <a:spLocks/>
            </xdr:cNvSpPr>
          </xdr:nvSpPr>
          <xdr:spPr bwMode="auto">
            <a:xfrm>
              <a:off x="3040000" y="135"/>
              <a:ext cx="120000" cy="7"/>
            </a:xfrm>
            <a:custGeom>
              <a:avLst/>
              <a:gdLst/>
              <a:ahLst/>
              <a:cxnLst>
                <a:cxn ang="0">
                  <a:pos x="8704" y="0"/>
                </a:cxn>
                <a:cxn ang="0">
                  <a:pos x="0" y="16384"/>
                </a:cxn>
                <a:cxn ang="0">
                  <a:pos x="512" y="16384"/>
                </a:cxn>
                <a:cxn ang="0">
                  <a:pos x="1024" y="15941"/>
                </a:cxn>
                <a:cxn ang="0">
                  <a:pos x="2048" y="15941"/>
                </a:cxn>
                <a:cxn ang="0">
                  <a:pos x="2560" y="15498"/>
                </a:cxn>
                <a:cxn ang="0">
                  <a:pos x="3072" y="15498"/>
                </a:cxn>
                <a:cxn ang="0">
                  <a:pos x="4096" y="15498"/>
                </a:cxn>
                <a:cxn ang="0">
                  <a:pos x="4608" y="15498"/>
                </a:cxn>
                <a:cxn ang="0">
                  <a:pos x="5120" y="14613"/>
                </a:cxn>
                <a:cxn ang="0">
                  <a:pos x="5632" y="14613"/>
                </a:cxn>
                <a:cxn ang="0">
                  <a:pos x="6656" y="14613"/>
                </a:cxn>
                <a:cxn ang="0">
                  <a:pos x="7168" y="14613"/>
                </a:cxn>
                <a:cxn ang="0">
                  <a:pos x="7680" y="14613"/>
                </a:cxn>
                <a:cxn ang="0">
                  <a:pos x="8704" y="14613"/>
                </a:cxn>
                <a:cxn ang="0">
                  <a:pos x="9216" y="14613"/>
                </a:cxn>
                <a:cxn ang="0">
                  <a:pos x="9728" y="14613"/>
                </a:cxn>
                <a:cxn ang="0">
                  <a:pos x="10240" y="14613"/>
                </a:cxn>
                <a:cxn ang="0">
                  <a:pos x="11264" y="14613"/>
                </a:cxn>
                <a:cxn ang="0">
                  <a:pos x="11776" y="15498"/>
                </a:cxn>
                <a:cxn ang="0">
                  <a:pos x="12288" y="15498"/>
                </a:cxn>
                <a:cxn ang="0">
                  <a:pos x="12800" y="15498"/>
                </a:cxn>
                <a:cxn ang="0">
                  <a:pos x="13824" y="15498"/>
                </a:cxn>
                <a:cxn ang="0">
                  <a:pos x="14336" y="15941"/>
                </a:cxn>
                <a:cxn ang="0">
                  <a:pos x="14848" y="15941"/>
                </a:cxn>
                <a:cxn ang="0">
                  <a:pos x="15872" y="15941"/>
                </a:cxn>
                <a:cxn ang="0">
                  <a:pos x="15872" y="16384"/>
                </a:cxn>
                <a:cxn ang="0">
                  <a:pos x="16384" y="16384"/>
                </a:cxn>
                <a:cxn ang="0">
                  <a:pos x="8704" y="0"/>
                </a:cxn>
              </a:cxnLst>
              <a:rect l="0" t="0" r="r" b="b"/>
              <a:pathLst>
                <a:path w="16384" h="16384">
                  <a:moveTo>
                    <a:pt x="8704" y="0"/>
                  </a:moveTo>
                  <a:lnTo>
                    <a:pt x="0" y="16384"/>
                  </a:lnTo>
                  <a:lnTo>
                    <a:pt x="512" y="16384"/>
                  </a:lnTo>
                  <a:lnTo>
                    <a:pt x="1024" y="15941"/>
                  </a:lnTo>
                  <a:lnTo>
                    <a:pt x="2048" y="15941"/>
                  </a:lnTo>
                  <a:lnTo>
                    <a:pt x="2560" y="15498"/>
                  </a:lnTo>
                  <a:lnTo>
                    <a:pt x="3072" y="15498"/>
                  </a:lnTo>
                  <a:lnTo>
                    <a:pt x="4096" y="15498"/>
                  </a:lnTo>
                  <a:lnTo>
                    <a:pt x="4608" y="15498"/>
                  </a:lnTo>
                  <a:lnTo>
                    <a:pt x="5120" y="14613"/>
                  </a:lnTo>
                  <a:lnTo>
                    <a:pt x="5632" y="14613"/>
                  </a:lnTo>
                  <a:lnTo>
                    <a:pt x="6656" y="14613"/>
                  </a:lnTo>
                  <a:lnTo>
                    <a:pt x="7168" y="14613"/>
                  </a:lnTo>
                  <a:lnTo>
                    <a:pt x="7680" y="14613"/>
                  </a:lnTo>
                  <a:lnTo>
                    <a:pt x="8704" y="14613"/>
                  </a:lnTo>
                  <a:lnTo>
                    <a:pt x="9216" y="14613"/>
                  </a:lnTo>
                  <a:lnTo>
                    <a:pt x="9728" y="14613"/>
                  </a:lnTo>
                  <a:lnTo>
                    <a:pt x="10240" y="14613"/>
                  </a:lnTo>
                  <a:lnTo>
                    <a:pt x="11264" y="14613"/>
                  </a:lnTo>
                  <a:lnTo>
                    <a:pt x="11776" y="15498"/>
                  </a:lnTo>
                  <a:lnTo>
                    <a:pt x="12288" y="15498"/>
                  </a:lnTo>
                  <a:lnTo>
                    <a:pt x="12800" y="15498"/>
                  </a:lnTo>
                  <a:lnTo>
                    <a:pt x="13824" y="15498"/>
                  </a:lnTo>
                  <a:lnTo>
                    <a:pt x="14336" y="15941"/>
                  </a:lnTo>
                  <a:lnTo>
                    <a:pt x="14848" y="15941"/>
                  </a:lnTo>
                  <a:lnTo>
                    <a:pt x="15872" y="15941"/>
                  </a:lnTo>
                  <a:lnTo>
                    <a:pt x="15872" y="16384"/>
                  </a:lnTo>
                  <a:lnTo>
                    <a:pt x="16384" y="16384"/>
                  </a:lnTo>
                  <a:lnTo>
                    <a:pt x="8704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36" name="Объект 27">
              <a:extLst>
                <a:ext uri="{FF2B5EF4-FFF2-40B4-BE49-F238E27FC236}">
                  <a16:creationId xmlns:a16="http://schemas.microsoft.com/office/drawing/2014/main" id="{00000000-0008-0000-0100-000074140000}"/>
                </a:ext>
              </a:extLst>
            </xdr:cNvPr>
            <xdr:cNvSpPr>
              <a:spLocks/>
            </xdr:cNvSpPr>
          </xdr:nvSpPr>
          <xdr:spPr bwMode="auto">
            <a:xfrm>
              <a:off x="780000" y="36"/>
              <a:ext cx="280000" cy="1"/>
            </a:xfrm>
            <a:custGeom>
              <a:avLst/>
              <a:gdLst/>
              <a:ahLst/>
              <a:cxnLst>
                <a:cxn ang="0">
                  <a:pos x="16384" y="0"/>
                </a:cxn>
                <a:cxn ang="0">
                  <a:pos x="10997" y="0"/>
                </a:cxn>
                <a:cxn ang="0">
                  <a:pos x="6958" y="0"/>
                </a:cxn>
                <a:cxn ang="0">
                  <a:pos x="4040" y="0"/>
                </a:cxn>
                <a:cxn ang="0">
                  <a:pos x="2020" y="0"/>
                </a:cxn>
                <a:cxn ang="0">
                  <a:pos x="898" y="0"/>
                </a:cxn>
                <a:cxn ang="0">
                  <a:pos x="224" y="0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16384" y="0"/>
                  </a:moveTo>
                  <a:lnTo>
                    <a:pt x="10997" y="0"/>
                  </a:lnTo>
                  <a:lnTo>
                    <a:pt x="6958" y="0"/>
                  </a:lnTo>
                  <a:lnTo>
                    <a:pt x="4040" y="0"/>
                  </a:lnTo>
                  <a:lnTo>
                    <a:pt x="2020" y="0"/>
                  </a:lnTo>
                  <a:lnTo>
                    <a:pt x="898" y="0"/>
                  </a:lnTo>
                  <a:lnTo>
                    <a:pt x="224" y="0"/>
                  </a:lnTo>
                  <a:lnTo>
                    <a:pt x="0" y="0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37" name="Объект 28">
              <a:extLs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>
              <a:spLocks/>
            </xdr:cNvSpPr>
          </xdr:nvSpPr>
          <xdr:spPr bwMode="auto">
            <a:xfrm>
              <a:off x="780000" y="134"/>
              <a:ext cx="280000" cy="1"/>
            </a:xfrm>
            <a:custGeom>
              <a:avLst/>
              <a:gdLst/>
              <a:ahLst/>
              <a:cxnLst>
                <a:cxn ang="0">
                  <a:pos x="16384" y="0"/>
                </a:cxn>
                <a:cxn ang="0">
                  <a:pos x="11150" y="0"/>
                </a:cxn>
                <a:cxn ang="0">
                  <a:pos x="7054" y="0"/>
                </a:cxn>
                <a:cxn ang="0">
                  <a:pos x="4096" y="0"/>
                </a:cxn>
                <a:cxn ang="0">
                  <a:pos x="2048" y="0"/>
                </a:cxn>
                <a:cxn ang="0">
                  <a:pos x="910" y="0"/>
                </a:cxn>
                <a:cxn ang="0">
                  <a:pos x="228" y="0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16384" y="0"/>
                  </a:moveTo>
                  <a:lnTo>
                    <a:pt x="11150" y="0"/>
                  </a:lnTo>
                  <a:lnTo>
                    <a:pt x="7054" y="0"/>
                  </a:lnTo>
                  <a:lnTo>
                    <a:pt x="4096" y="0"/>
                  </a:lnTo>
                  <a:lnTo>
                    <a:pt x="2048" y="0"/>
                  </a:lnTo>
                  <a:lnTo>
                    <a:pt x="910" y="0"/>
                  </a:lnTo>
                  <a:lnTo>
                    <a:pt x="228" y="0"/>
                  </a:lnTo>
                  <a:lnTo>
                    <a:pt x="0" y="0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38" name="Объект 29">
              <a:extLs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>
              <a:spLocks/>
            </xdr:cNvSpPr>
          </xdr:nvSpPr>
          <xdr:spPr bwMode="auto">
            <a:xfrm>
              <a:off x="900000" y="39"/>
              <a:ext cx="20000" cy="4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5406"/>
                </a:cxn>
                <a:cxn ang="0">
                  <a:pos x="0" y="9481"/>
                </a:cxn>
                <a:cxn ang="0">
                  <a:pos x="0" y="12309"/>
                </a:cxn>
                <a:cxn ang="0">
                  <a:pos x="0" y="14305"/>
                </a:cxn>
                <a:cxn ang="0">
                  <a:pos x="0" y="15552"/>
                </a:cxn>
                <a:cxn ang="0">
                  <a:pos x="0" y="16051"/>
                </a:cxn>
                <a:cxn ang="0">
                  <a:pos x="0" y="16301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5406"/>
                  </a:lnTo>
                  <a:lnTo>
                    <a:pt x="0" y="9481"/>
                  </a:lnTo>
                  <a:lnTo>
                    <a:pt x="0" y="12309"/>
                  </a:lnTo>
                  <a:lnTo>
                    <a:pt x="0" y="14305"/>
                  </a:lnTo>
                  <a:lnTo>
                    <a:pt x="0" y="15552"/>
                  </a:lnTo>
                  <a:lnTo>
                    <a:pt x="0" y="16051"/>
                  </a:lnTo>
                  <a:lnTo>
                    <a:pt x="0" y="16301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39" name="Объект 30">
              <a:extLs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>
              <a:spLocks/>
            </xdr:cNvSpPr>
          </xdr:nvSpPr>
          <xdr:spPr bwMode="auto">
            <a:xfrm>
              <a:off x="840000" y="36"/>
              <a:ext cx="120000" cy="7"/>
            </a:xfrm>
            <a:custGeom>
              <a:avLst/>
              <a:gdLst/>
              <a:ahLst/>
              <a:cxnLst>
                <a:cxn ang="0">
                  <a:pos x="7680" y="0"/>
                </a:cxn>
                <a:cxn ang="0">
                  <a:pos x="16384" y="16384"/>
                </a:cxn>
                <a:cxn ang="0">
                  <a:pos x="15360" y="16384"/>
                </a:cxn>
                <a:cxn ang="0">
                  <a:pos x="14848" y="15964"/>
                </a:cxn>
                <a:cxn ang="0">
                  <a:pos x="14336" y="15964"/>
                </a:cxn>
                <a:cxn ang="0">
                  <a:pos x="13312" y="15124"/>
                </a:cxn>
                <a:cxn ang="0">
                  <a:pos x="12800" y="15124"/>
                </a:cxn>
                <a:cxn ang="0">
                  <a:pos x="12288" y="15124"/>
                </a:cxn>
                <a:cxn ang="0">
                  <a:pos x="11776" y="14704"/>
                </a:cxn>
                <a:cxn ang="0">
                  <a:pos x="10752" y="14704"/>
                </a:cxn>
                <a:cxn ang="0">
                  <a:pos x="10240" y="14704"/>
                </a:cxn>
                <a:cxn ang="0">
                  <a:pos x="9728" y="14704"/>
                </a:cxn>
                <a:cxn ang="0">
                  <a:pos x="9216" y="14704"/>
                </a:cxn>
                <a:cxn ang="0">
                  <a:pos x="8192" y="14704"/>
                </a:cxn>
                <a:cxn ang="0">
                  <a:pos x="7680" y="14704"/>
                </a:cxn>
                <a:cxn ang="0">
                  <a:pos x="7168" y="14704"/>
                </a:cxn>
                <a:cxn ang="0">
                  <a:pos x="6144" y="14704"/>
                </a:cxn>
                <a:cxn ang="0">
                  <a:pos x="5632" y="14704"/>
                </a:cxn>
                <a:cxn ang="0">
                  <a:pos x="5120" y="14704"/>
                </a:cxn>
                <a:cxn ang="0">
                  <a:pos x="4608" y="14704"/>
                </a:cxn>
                <a:cxn ang="0">
                  <a:pos x="3584" y="15124"/>
                </a:cxn>
                <a:cxn ang="0">
                  <a:pos x="3072" y="15124"/>
                </a:cxn>
                <a:cxn ang="0">
                  <a:pos x="2560" y="15124"/>
                </a:cxn>
                <a:cxn ang="0">
                  <a:pos x="1536" y="15964"/>
                </a:cxn>
                <a:cxn ang="0">
                  <a:pos x="1024" y="15964"/>
                </a:cxn>
                <a:cxn ang="0">
                  <a:pos x="512" y="15964"/>
                </a:cxn>
                <a:cxn ang="0">
                  <a:pos x="0" y="16384"/>
                </a:cxn>
                <a:cxn ang="0">
                  <a:pos x="7680" y="0"/>
                </a:cxn>
              </a:cxnLst>
              <a:rect l="0" t="0" r="r" b="b"/>
              <a:pathLst>
                <a:path w="16384" h="16384">
                  <a:moveTo>
                    <a:pt x="7680" y="0"/>
                  </a:moveTo>
                  <a:lnTo>
                    <a:pt x="16384" y="16384"/>
                  </a:lnTo>
                  <a:lnTo>
                    <a:pt x="15360" y="16384"/>
                  </a:lnTo>
                  <a:lnTo>
                    <a:pt x="14848" y="15964"/>
                  </a:lnTo>
                  <a:lnTo>
                    <a:pt x="14336" y="15964"/>
                  </a:lnTo>
                  <a:lnTo>
                    <a:pt x="13312" y="15124"/>
                  </a:lnTo>
                  <a:lnTo>
                    <a:pt x="12800" y="15124"/>
                  </a:lnTo>
                  <a:lnTo>
                    <a:pt x="12288" y="15124"/>
                  </a:lnTo>
                  <a:lnTo>
                    <a:pt x="11776" y="14704"/>
                  </a:lnTo>
                  <a:lnTo>
                    <a:pt x="10752" y="14704"/>
                  </a:lnTo>
                  <a:lnTo>
                    <a:pt x="10240" y="14704"/>
                  </a:lnTo>
                  <a:lnTo>
                    <a:pt x="9728" y="14704"/>
                  </a:lnTo>
                  <a:lnTo>
                    <a:pt x="9216" y="14704"/>
                  </a:lnTo>
                  <a:lnTo>
                    <a:pt x="8192" y="14704"/>
                  </a:lnTo>
                  <a:lnTo>
                    <a:pt x="7680" y="14704"/>
                  </a:lnTo>
                  <a:lnTo>
                    <a:pt x="7168" y="14704"/>
                  </a:lnTo>
                  <a:lnTo>
                    <a:pt x="6144" y="14704"/>
                  </a:lnTo>
                  <a:lnTo>
                    <a:pt x="5632" y="14704"/>
                  </a:lnTo>
                  <a:lnTo>
                    <a:pt x="5120" y="14704"/>
                  </a:lnTo>
                  <a:lnTo>
                    <a:pt x="4608" y="14704"/>
                  </a:lnTo>
                  <a:lnTo>
                    <a:pt x="3584" y="15124"/>
                  </a:lnTo>
                  <a:lnTo>
                    <a:pt x="3072" y="15124"/>
                  </a:lnTo>
                  <a:lnTo>
                    <a:pt x="2560" y="15124"/>
                  </a:lnTo>
                  <a:lnTo>
                    <a:pt x="1536" y="15964"/>
                  </a:lnTo>
                  <a:lnTo>
                    <a:pt x="1024" y="15964"/>
                  </a:lnTo>
                  <a:lnTo>
                    <a:pt x="512" y="15964"/>
                  </a:lnTo>
                  <a:lnTo>
                    <a:pt x="0" y="16384"/>
                  </a:lnTo>
                  <a:lnTo>
                    <a:pt x="7680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40" name="Объект 31">
              <a:extLs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>
              <a:spLocks/>
            </xdr:cNvSpPr>
          </xdr:nvSpPr>
          <xdr:spPr bwMode="auto">
            <a:xfrm>
              <a:off x="900000" y="92"/>
              <a:ext cx="20000" cy="39"/>
            </a:xfrm>
            <a:custGeom>
              <a:avLst/>
              <a:gdLst/>
              <a:ahLst/>
              <a:cxnLst>
                <a:cxn ang="0">
                  <a:pos x="0" y="16384"/>
                </a:cxn>
                <a:cxn ang="0">
                  <a:pos x="0" y="10978"/>
                </a:cxn>
                <a:cxn ang="0">
                  <a:pos x="0" y="6903"/>
                </a:cxn>
                <a:cxn ang="0">
                  <a:pos x="0" y="3992"/>
                </a:cxn>
                <a:cxn ang="0">
                  <a:pos x="0" y="1996"/>
                </a:cxn>
                <a:cxn ang="0">
                  <a:pos x="0" y="832"/>
                </a:cxn>
                <a:cxn ang="0">
                  <a:pos x="0" y="333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0" y="16384"/>
                  </a:moveTo>
                  <a:lnTo>
                    <a:pt x="0" y="10978"/>
                  </a:lnTo>
                  <a:lnTo>
                    <a:pt x="0" y="6903"/>
                  </a:lnTo>
                  <a:lnTo>
                    <a:pt x="0" y="3992"/>
                  </a:lnTo>
                  <a:lnTo>
                    <a:pt x="0" y="1996"/>
                  </a:lnTo>
                  <a:lnTo>
                    <a:pt x="0" y="832"/>
                  </a:lnTo>
                  <a:lnTo>
                    <a:pt x="0" y="333"/>
                  </a:lnTo>
                  <a:lnTo>
                    <a:pt x="0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41" name="Объект 32">
              <a:extLst>
                <a:ext uri="{FF2B5EF4-FFF2-40B4-BE49-F238E27FC236}">
                  <a16:creationId xmlns:a16="http://schemas.microsoft.com/office/drawing/2014/main" id="{00000000-0008-0000-0100-000079140000}"/>
                </a:ext>
              </a:extLst>
            </xdr:cNvPr>
            <xdr:cNvSpPr>
              <a:spLocks/>
            </xdr:cNvSpPr>
          </xdr:nvSpPr>
          <xdr:spPr bwMode="auto">
            <a:xfrm>
              <a:off x="840000" y="127"/>
              <a:ext cx="120000" cy="7"/>
            </a:xfrm>
            <a:custGeom>
              <a:avLst/>
              <a:gdLst/>
              <a:ahLst/>
              <a:cxnLst>
                <a:cxn ang="0">
                  <a:pos x="7680" y="16384"/>
                </a:cxn>
                <a:cxn ang="0">
                  <a:pos x="0" y="0"/>
                </a:cxn>
                <a:cxn ang="0">
                  <a:pos x="512" y="443"/>
                </a:cxn>
                <a:cxn ang="0">
                  <a:pos x="1024" y="443"/>
                </a:cxn>
                <a:cxn ang="0">
                  <a:pos x="1536" y="443"/>
                </a:cxn>
                <a:cxn ang="0">
                  <a:pos x="2560" y="886"/>
                </a:cxn>
                <a:cxn ang="0">
                  <a:pos x="3072" y="886"/>
                </a:cxn>
                <a:cxn ang="0">
                  <a:pos x="3584" y="886"/>
                </a:cxn>
                <a:cxn ang="0">
                  <a:pos x="4608" y="1771"/>
                </a:cxn>
                <a:cxn ang="0">
                  <a:pos x="5120" y="1771"/>
                </a:cxn>
                <a:cxn ang="0">
                  <a:pos x="5632" y="1771"/>
                </a:cxn>
                <a:cxn ang="0">
                  <a:pos x="6144" y="1771"/>
                </a:cxn>
                <a:cxn ang="0">
                  <a:pos x="7168" y="1771"/>
                </a:cxn>
                <a:cxn ang="0">
                  <a:pos x="7680" y="1771"/>
                </a:cxn>
                <a:cxn ang="0">
                  <a:pos x="8192" y="1771"/>
                </a:cxn>
                <a:cxn ang="0">
                  <a:pos x="9216" y="1771"/>
                </a:cxn>
                <a:cxn ang="0">
                  <a:pos x="9728" y="1771"/>
                </a:cxn>
                <a:cxn ang="0">
                  <a:pos x="10240" y="1771"/>
                </a:cxn>
                <a:cxn ang="0">
                  <a:pos x="10752" y="1771"/>
                </a:cxn>
                <a:cxn ang="0">
                  <a:pos x="11776" y="1771"/>
                </a:cxn>
                <a:cxn ang="0">
                  <a:pos x="12288" y="886"/>
                </a:cxn>
                <a:cxn ang="0">
                  <a:pos x="12800" y="886"/>
                </a:cxn>
                <a:cxn ang="0">
                  <a:pos x="13312" y="886"/>
                </a:cxn>
                <a:cxn ang="0">
                  <a:pos x="14336" y="443"/>
                </a:cxn>
                <a:cxn ang="0">
                  <a:pos x="14848" y="443"/>
                </a:cxn>
                <a:cxn ang="0">
                  <a:pos x="15360" y="0"/>
                </a:cxn>
                <a:cxn ang="0">
                  <a:pos x="16384" y="0"/>
                </a:cxn>
                <a:cxn ang="0">
                  <a:pos x="7680" y="16384"/>
                </a:cxn>
              </a:cxnLst>
              <a:rect l="0" t="0" r="r" b="b"/>
              <a:pathLst>
                <a:path w="16384" h="16384">
                  <a:moveTo>
                    <a:pt x="7680" y="16384"/>
                  </a:moveTo>
                  <a:lnTo>
                    <a:pt x="0" y="0"/>
                  </a:lnTo>
                  <a:lnTo>
                    <a:pt x="512" y="443"/>
                  </a:lnTo>
                  <a:lnTo>
                    <a:pt x="1024" y="443"/>
                  </a:lnTo>
                  <a:lnTo>
                    <a:pt x="1536" y="443"/>
                  </a:lnTo>
                  <a:lnTo>
                    <a:pt x="2560" y="886"/>
                  </a:lnTo>
                  <a:lnTo>
                    <a:pt x="3072" y="886"/>
                  </a:lnTo>
                  <a:lnTo>
                    <a:pt x="3584" y="886"/>
                  </a:lnTo>
                  <a:lnTo>
                    <a:pt x="4608" y="1771"/>
                  </a:lnTo>
                  <a:lnTo>
                    <a:pt x="5120" y="1771"/>
                  </a:lnTo>
                  <a:lnTo>
                    <a:pt x="5632" y="1771"/>
                  </a:lnTo>
                  <a:lnTo>
                    <a:pt x="6144" y="1771"/>
                  </a:lnTo>
                  <a:lnTo>
                    <a:pt x="7168" y="1771"/>
                  </a:lnTo>
                  <a:lnTo>
                    <a:pt x="7680" y="1771"/>
                  </a:lnTo>
                  <a:lnTo>
                    <a:pt x="8192" y="1771"/>
                  </a:lnTo>
                  <a:lnTo>
                    <a:pt x="9216" y="1771"/>
                  </a:lnTo>
                  <a:lnTo>
                    <a:pt x="9728" y="1771"/>
                  </a:lnTo>
                  <a:lnTo>
                    <a:pt x="10240" y="1771"/>
                  </a:lnTo>
                  <a:lnTo>
                    <a:pt x="10752" y="1771"/>
                  </a:lnTo>
                  <a:lnTo>
                    <a:pt x="11776" y="1771"/>
                  </a:lnTo>
                  <a:lnTo>
                    <a:pt x="12288" y="886"/>
                  </a:lnTo>
                  <a:lnTo>
                    <a:pt x="12800" y="886"/>
                  </a:lnTo>
                  <a:lnTo>
                    <a:pt x="13312" y="886"/>
                  </a:lnTo>
                  <a:lnTo>
                    <a:pt x="14336" y="443"/>
                  </a:lnTo>
                  <a:lnTo>
                    <a:pt x="14848" y="443"/>
                  </a:lnTo>
                  <a:lnTo>
                    <a:pt x="15360" y="0"/>
                  </a:lnTo>
                  <a:lnTo>
                    <a:pt x="16384" y="0"/>
                  </a:lnTo>
                  <a:lnTo>
                    <a:pt x="7680" y="1638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42" name="Объект 33">
              <a:extLst>
                <a:ext uri="{FF2B5EF4-FFF2-40B4-BE49-F238E27FC236}">
                  <a16:creationId xmlns:a16="http://schemas.microsoft.com/office/drawing/2014/main" id="{00000000-0008-0000-0100-00007A140000}"/>
                </a:ext>
              </a:extLst>
            </xdr:cNvPr>
            <xdr:cNvSpPr>
              <a:spLocks/>
            </xdr:cNvSpPr>
          </xdr:nvSpPr>
          <xdr:spPr bwMode="auto">
            <a:xfrm>
              <a:off x="1100000" y="138"/>
              <a:ext cx="20000" cy="15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5307"/>
                </a:cxn>
                <a:cxn ang="0">
                  <a:pos x="0" y="9461"/>
                </a:cxn>
                <a:cxn ang="0">
                  <a:pos x="0" y="12692"/>
                </a:cxn>
                <a:cxn ang="0">
                  <a:pos x="0" y="14307"/>
                </a:cxn>
                <a:cxn ang="0">
                  <a:pos x="0" y="15692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5307"/>
                  </a:lnTo>
                  <a:lnTo>
                    <a:pt x="0" y="9461"/>
                  </a:lnTo>
                  <a:lnTo>
                    <a:pt x="0" y="12692"/>
                  </a:lnTo>
                  <a:lnTo>
                    <a:pt x="0" y="14307"/>
                  </a:lnTo>
                  <a:lnTo>
                    <a:pt x="0" y="15692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43" name="Объект 34">
              <a:extLst>
                <a:ext uri="{FF2B5EF4-FFF2-40B4-BE49-F238E27FC236}">
                  <a16:creationId xmlns:a16="http://schemas.microsoft.com/office/drawing/2014/main" id="{00000000-0008-0000-0100-00007B140000}"/>
                </a:ext>
              </a:extLst>
            </xdr:cNvPr>
            <xdr:cNvSpPr>
              <a:spLocks/>
            </xdr:cNvSpPr>
          </xdr:nvSpPr>
          <xdr:spPr bwMode="auto">
            <a:xfrm>
              <a:off x="2940000" y="138"/>
              <a:ext cx="20000" cy="15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5387"/>
                </a:cxn>
                <a:cxn ang="0">
                  <a:pos x="0" y="9426"/>
                </a:cxn>
                <a:cxn ang="0">
                  <a:pos x="0" y="12344"/>
                </a:cxn>
                <a:cxn ang="0">
                  <a:pos x="0" y="14364"/>
                </a:cxn>
                <a:cxn ang="0">
                  <a:pos x="0" y="15486"/>
                </a:cxn>
                <a:cxn ang="0">
                  <a:pos x="0" y="15935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5387"/>
                  </a:lnTo>
                  <a:lnTo>
                    <a:pt x="0" y="9426"/>
                  </a:lnTo>
                  <a:lnTo>
                    <a:pt x="0" y="12344"/>
                  </a:lnTo>
                  <a:lnTo>
                    <a:pt x="0" y="14364"/>
                  </a:lnTo>
                  <a:lnTo>
                    <a:pt x="0" y="15486"/>
                  </a:lnTo>
                  <a:lnTo>
                    <a:pt x="0" y="15935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44" name="Объект 35">
              <a:extLst>
                <a:ext uri="{FF2B5EF4-FFF2-40B4-BE49-F238E27FC236}">
                  <a16:creationId xmlns:a16="http://schemas.microsoft.com/office/drawing/2014/main" id="{00000000-0008-0000-0100-00007C140000}"/>
                </a:ext>
              </a:extLst>
            </xdr:cNvPr>
            <xdr:cNvSpPr>
              <a:spLocks/>
            </xdr:cNvSpPr>
          </xdr:nvSpPr>
          <xdr:spPr bwMode="auto">
            <a:xfrm>
              <a:off x="1160000" y="146"/>
              <a:ext cx="740000" cy="1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5350" y="0"/>
                </a:cxn>
                <a:cxn ang="0">
                  <a:pos x="9446" y="0"/>
                </a:cxn>
                <a:cxn ang="0">
                  <a:pos x="12455" y="0"/>
                </a:cxn>
                <a:cxn ang="0">
                  <a:pos x="14378" y="0"/>
                </a:cxn>
                <a:cxn ang="0">
                  <a:pos x="15548" y="0"/>
                </a:cxn>
                <a:cxn ang="0">
                  <a:pos x="16133" y="0"/>
                </a:cxn>
                <a:cxn ang="0">
                  <a:pos x="16384" y="0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5350" y="0"/>
                  </a:lnTo>
                  <a:lnTo>
                    <a:pt x="9446" y="0"/>
                  </a:lnTo>
                  <a:lnTo>
                    <a:pt x="12455" y="0"/>
                  </a:lnTo>
                  <a:lnTo>
                    <a:pt x="14378" y="0"/>
                  </a:lnTo>
                  <a:lnTo>
                    <a:pt x="15548" y="0"/>
                  </a:lnTo>
                  <a:lnTo>
                    <a:pt x="16133" y="0"/>
                  </a:lnTo>
                  <a:lnTo>
                    <a:pt x="16384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45" name="Объект 36">
              <a:extLst>
                <a:ext uri="{FF2B5EF4-FFF2-40B4-BE49-F238E27FC236}">
                  <a16:creationId xmlns:a16="http://schemas.microsoft.com/office/drawing/2014/main" id="{00000000-0008-0000-0100-00007D140000}"/>
                </a:ext>
              </a:extLst>
            </xdr:cNvPr>
            <xdr:cNvSpPr>
              <a:spLocks/>
            </xdr:cNvSpPr>
          </xdr:nvSpPr>
          <xdr:spPr bwMode="auto">
            <a:xfrm>
              <a:off x="1100000" y="143"/>
              <a:ext cx="140000" cy="7"/>
            </a:xfrm>
            <a:custGeom>
              <a:avLst/>
              <a:gdLst/>
              <a:ahLst/>
              <a:cxnLst>
                <a:cxn ang="0">
                  <a:pos x="0" y="8704"/>
                </a:cxn>
                <a:cxn ang="0">
                  <a:pos x="16384" y="0"/>
                </a:cxn>
                <a:cxn ang="0">
                  <a:pos x="16384" y="512"/>
                </a:cxn>
                <a:cxn ang="0">
                  <a:pos x="15941" y="1536"/>
                </a:cxn>
                <a:cxn ang="0">
                  <a:pos x="15941" y="2048"/>
                </a:cxn>
                <a:cxn ang="0">
                  <a:pos x="15941" y="2560"/>
                </a:cxn>
                <a:cxn ang="0">
                  <a:pos x="15056" y="3072"/>
                </a:cxn>
                <a:cxn ang="0">
                  <a:pos x="15056" y="4096"/>
                </a:cxn>
                <a:cxn ang="0">
                  <a:pos x="15056" y="4608"/>
                </a:cxn>
                <a:cxn ang="0">
                  <a:pos x="15056" y="5120"/>
                </a:cxn>
                <a:cxn ang="0">
                  <a:pos x="14613" y="6144"/>
                </a:cxn>
                <a:cxn ang="0">
                  <a:pos x="14613" y="6656"/>
                </a:cxn>
                <a:cxn ang="0">
                  <a:pos x="14613" y="7168"/>
                </a:cxn>
                <a:cxn ang="0">
                  <a:pos x="14613" y="7680"/>
                </a:cxn>
                <a:cxn ang="0">
                  <a:pos x="14613" y="8704"/>
                </a:cxn>
                <a:cxn ang="0">
                  <a:pos x="14613" y="9216"/>
                </a:cxn>
                <a:cxn ang="0">
                  <a:pos x="14613" y="9728"/>
                </a:cxn>
                <a:cxn ang="0">
                  <a:pos x="14613" y="10752"/>
                </a:cxn>
                <a:cxn ang="0">
                  <a:pos x="15056" y="11264"/>
                </a:cxn>
                <a:cxn ang="0">
                  <a:pos x="15056" y="11776"/>
                </a:cxn>
                <a:cxn ang="0">
                  <a:pos x="15056" y="12288"/>
                </a:cxn>
                <a:cxn ang="0">
                  <a:pos x="15056" y="13312"/>
                </a:cxn>
                <a:cxn ang="0">
                  <a:pos x="15941" y="13824"/>
                </a:cxn>
                <a:cxn ang="0">
                  <a:pos x="15941" y="14336"/>
                </a:cxn>
                <a:cxn ang="0">
                  <a:pos x="15941" y="15360"/>
                </a:cxn>
                <a:cxn ang="0">
                  <a:pos x="16384" y="15872"/>
                </a:cxn>
                <a:cxn ang="0">
                  <a:pos x="16384" y="16384"/>
                </a:cxn>
                <a:cxn ang="0">
                  <a:pos x="0" y="8704"/>
                </a:cxn>
              </a:cxnLst>
              <a:rect l="0" t="0" r="r" b="b"/>
              <a:pathLst>
                <a:path w="16384" h="16384">
                  <a:moveTo>
                    <a:pt x="0" y="8704"/>
                  </a:moveTo>
                  <a:lnTo>
                    <a:pt x="16384" y="0"/>
                  </a:lnTo>
                  <a:lnTo>
                    <a:pt x="16384" y="512"/>
                  </a:lnTo>
                  <a:lnTo>
                    <a:pt x="15941" y="1536"/>
                  </a:lnTo>
                  <a:lnTo>
                    <a:pt x="15941" y="2048"/>
                  </a:lnTo>
                  <a:lnTo>
                    <a:pt x="15941" y="2560"/>
                  </a:lnTo>
                  <a:lnTo>
                    <a:pt x="15056" y="3072"/>
                  </a:lnTo>
                  <a:lnTo>
                    <a:pt x="15056" y="4096"/>
                  </a:lnTo>
                  <a:lnTo>
                    <a:pt x="15056" y="4608"/>
                  </a:lnTo>
                  <a:lnTo>
                    <a:pt x="15056" y="5120"/>
                  </a:lnTo>
                  <a:lnTo>
                    <a:pt x="14613" y="6144"/>
                  </a:lnTo>
                  <a:lnTo>
                    <a:pt x="14613" y="6656"/>
                  </a:lnTo>
                  <a:lnTo>
                    <a:pt x="14613" y="7168"/>
                  </a:lnTo>
                  <a:lnTo>
                    <a:pt x="14613" y="7680"/>
                  </a:lnTo>
                  <a:lnTo>
                    <a:pt x="14613" y="8704"/>
                  </a:lnTo>
                  <a:lnTo>
                    <a:pt x="14613" y="9216"/>
                  </a:lnTo>
                  <a:lnTo>
                    <a:pt x="14613" y="9728"/>
                  </a:lnTo>
                  <a:lnTo>
                    <a:pt x="14613" y="10752"/>
                  </a:lnTo>
                  <a:lnTo>
                    <a:pt x="15056" y="11264"/>
                  </a:lnTo>
                  <a:lnTo>
                    <a:pt x="15056" y="11776"/>
                  </a:lnTo>
                  <a:lnTo>
                    <a:pt x="15056" y="12288"/>
                  </a:lnTo>
                  <a:lnTo>
                    <a:pt x="15056" y="13312"/>
                  </a:lnTo>
                  <a:lnTo>
                    <a:pt x="15941" y="13824"/>
                  </a:lnTo>
                  <a:lnTo>
                    <a:pt x="15941" y="14336"/>
                  </a:lnTo>
                  <a:lnTo>
                    <a:pt x="15941" y="15360"/>
                  </a:lnTo>
                  <a:lnTo>
                    <a:pt x="16384" y="15872"/>
                  </a:lnTo>
                  <a:lnTo>
                    <a:pt x="16384" y="16384"/>
                  </a:lnTo>
                  <a:lnTo>
                    <a:pt x="0" y="870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46" name="Объект 37">
              <a:extLst>
                <a:ext uri="{FF2B5EF4-FFF2-40B4-BE49-F238E27FC236}">
                  <a16:creationId xmlns:a16="http://schemas.microsoft.com/office/drawing/2014/main" id="{00000000-0008-0000-0100-00007E140000}"/>
                </a:ext>
              </a:extLst>
            </xdr:cNvPr>
            <xdr:cNvSpPr>
              <a:spLocks/>
            </xdr:cNvSpPr>
          </xdr:nvSpPr>
          <xdr:spPr bwMode="auto">
            <a:xfrm>
              <a:off x="2160000" y="146"/>
              <a:ext cx="720000" cy="1"/>
            </a:xfrm>
            <a:custGeom>
              <a:avLst/>
              <a:gdLst/>
              <a:ahLst/>
              <a:cxnLst>
                <a:cxn ang="0">
                  <a:pos x="16384" y="0"/>
                </a:cxn>
                <a:cxn ang="0">
                  <a:pos x="10951" y="0"/>
                </a:cxn>
                <a:cxn ang="0">
                  <a:pos x="6855" y="0"/>
                </a:cxn>
                <a:cxn ang="0">
                  <a:pos x="4012" y="0"/>
                </a:cxn>
                <a:cxn ang="0">
                  <a:pos x="2090" y="0"/>
                </a:cxn>
                <a:cxn ang="0">
                  <a:pos x="836" y="0"/>
                </a:cxn>
                <a:cxn ang="0">
                  <a:pos x="251" y="0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16384" y="0"/>
                  </a:moveTo>
                  <a:lnTo>
                    <a:pt x="10951" y="0"/>
                  </a:lnTo>
                  <a:lnTo>
                    <a:pt x="6855" y="0"/>
                  </a:lnTo>
                  <a:lnTo>
                    <a:pt x="4012" y="0"/>
                  </a:lnTo>
                  <a:lnTo>
                    <a:pt x="2090" y="0"/>
                  </a:lnTo>
                  <a:lnTo>
                    <a:pt x="836" y="0"/>
                  </a:lnTo>
                  <a:lnTo>
                    <a:pt x="251" y="0"/>
                  </a:lnTo>
                  <a:lnTo>
                    <a:pt x="0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47" name="Объект 38">
              <a:extLst>
                <a:ext uri="{FF2B5EF4-FFF2-40B4-BE49-F238E27FC236}">
                  <a16:creationId xmlns:a16="http://schemas.microsoft.com/office/drawing/2014/main" id="{00000000-0008-0000-0100-00007F140000}"/>
                </a:ext>
              </a:extLst>
            </xdr:cNvPr>
            <xdr:cNvSpPr>
              <a:spLocks/>
            </xdr:cNvSpPr>
          </xdr:nvSpPr>
          <xdr:spPr bwMode="auto">
            <a:xfrm>
              <a:off x="2800000" y="143"/>
              <a:ext cx="160000" cy="7"/>
            </a:xfrm>
            <a:custGeom>
              <a:avLst/>
              <a:gdLst/>
              <a:ahLst/>
              <a:cxnLst>
                <a:cxn ang="0">
                  <a:pos x="16384" y="8704"/>
                </a:cxn>
                <a:cxn ang="0">
                  <a:pos x="0" y="16384"/>
                </a:cxn>
                <a:cxn ang="0">
                  <a:pos x="0" y="15872"/>
                </a:cxn>
                <a:cxn ang="0">
                  <a:pos x="862" y="15360"/>
                </a:cxn>
                <a:cxn ang="0">
                  <a:pos x="862" y="14336"/>
                </a:cxn>
                <a:cxn ang="0">
                  <a:pos x="862" y="13824"/>
                </a:cxn>
                <a:cxn ang="0">
                  <a:pos x="862" y="13312"/>
                </a:cxn>
                <a:cxn ang="0">
                  <a:pos x="1293" y="13312"/>
                </a:cxn>
                <a:cxn ang="0">
                  <a:pos x="1293" y="12288"/>
                </a:cxn>
                <a:cxn ang="0">
                  <a:pos x="1293" y="11776"/>
                </a:cxn>
                <a:cxn ang="0">
                  <a:pos x="1293" y="11264"/>
                </a:cxn>
                <a:cxn ang="0">
                  <a:pos x="1293" y="10752"/>
                </a:cxn>
                <a:cxn ang="0">
                  <a:pos x="1725" y="9728"/>
                </a:cxn>
                <a:cxn ang="0">
                  <a:pos x="1725" y="9216"/>
                </a:cxn>
                <a:cxn ang="0">
                  <a:pos x="1725" y="8704"/>
                </a:cxn>
                <a:cxn ang="0">
                  <a:pos x="1725" y="7680"/>
                </a:cxn>
                <a:cxn ang="0">
                  <a:pos x="1725" y="7168"/>
                </a:cxn>
                <a:cxn ang="0">
                  <a:pos x="1725" y="6656"/>
                </a:cxn>
                <a:cxn ang="0">
                  <a:pos x="1293" y="6144"/>
                </a:cxn>
                <a:cxn ang="0">
                  <a:pos x="1293" y="5120"/>
                </a:cxn>
                <a:cxn ang="0">
                  <a:pos x="1293" y="4608"/>
                </a:cxn>
                <a:cxn ang="0">
                  <a:pos x="1293" y="4096"/>
                </a:cxn>
                <a:cxn ang="0">
                  <a:pos x="1293" y="3072"/>
                </a:cxn>
                <a:cxn ang="0">
                  <a:pos x="862" y="3072"/>
                </a:cxn>
                <a:cxn ang="0">
                  <a:pos x="862" y="2560"/>
                </a:cxn>
                <a:cxn ang="0">
                  <a:pos x="862" y="2048"/>
                </a:cxn>
                <a:cxn ang="0">
                  <a:pos x="862" y="1536"/>
                </a:cxn>
                <a:cxn ang="0">
                  <a:pos x="0" y="512"/>
                </a:cxn>
                <a:cxn ang="0">
                  <a:pos x="0" y="0"/>
                </a:cxn>
                <a:cxn ang="0">
                  <a:pos x="16384" y="8704"/>
                </a:cxn>
              </a:cxnLst>
              <a:rect l="0" t="0" r="r" b="b"/>
              <a:pathLst>
                <a:path w="16384" h="16384">
                  <a:moveTo>
                    <a:pt x="16384" y="8704"/>
                  </a:moveTo>
                  <a:lnTo>
                    <a:pt x="0" y="16384"/>
                  </a:lnTo>
                  <a:lnTo>
                    <a:pt x="0" y="15872"/>
                  </a:lnTo>
                  <a:lnTo>
                    <a:pt x="862" y="15360"/>
                  </a:lnTo>
                  <a:lnTo>
                    <a:pt x="862" y="14336"/>
                  </a:lnTo>
                  <a:lnTo>
                    <a:pt x="862" y="13824"/>
                  </a:lnTo>
                  <a:lnTo>
                    <a:pt x="862" y="13312"/>
                  </a:lnTo>
                  <a:lnTo>
                    <a:pt x="1293" y="13312"/>
                  </a:lnTo>
                  <a:lnTo>
                    <a:pt x="1293" y="12288"/>
                  </a:lnTo>
                  <a:lnTo>
                    <a:pt x="1293" y="11776"/>
                  </a:lnTo>
                  <a:lnTo>
                    <a:pt x="1293" y="11264"/>
                  </a:lnTo>
                  <a:lnTo>
                    <a:pt x="1293" y="10752"/>
                  </a:lnTo>
                  <a:lnTo>
                    <a:pt x="1725" y="9728"/>
                  </a:lnTo>
                  <a:lnTo>
                    <a:pt x="1725" y="9216"/>
                  </a:lnTo>
                  <a:lnTo>
                    <a:pt x="1725" y="8704"/>
                  </a:lnTo>
                  <a:lnTo>
                    <a:pt x="1725" y="7680"/>
                  </a:lnTo>
                  <a:lnTo>
                    <a:pt x="1725" y="7168"/>
                  </a:lnTo>
                  <a:lnTo>
                    <a:pt x="1725" y="6656"/>
                  </a:lnTo>
                  <a:lnTo>
                    <a:pt x="1293" y="6144"/>
                  </a:lnTo>
                  <a:lnTo>
                    <a:pt x="1293" y="5120"/>
                  </a:lnTo>
                  <a:lnTo>
                    <a:pt x="1293" y="4608"/>
                  </a:lnTo>
                  <a:lnTo>
                    <a:pt x="1293" y="4096"/>
                  </a:lnTo>
                  <a:lnTo>
                    <a:pt x="1293" y="3072"/>
                  </a:lnTo>
                  <a:lnTo>
                    <a:pt x="862" y="3072"/>
                  </a:lnTo>
                  <a:lnTo>
                    <a:pt x="862" y="2560"/>
                  </a:lnTo>
                  <a:lnTo>
                    <a:pt x="862" y="2048"/>
                  </a:lnTo>
                  <a:lnTo>
                    <a:pt x="862" y="1536"/>
                  </a:lnTo>
                  <a:lnTo>
                    <a:pt x="0" y="512"/>
                  </a:lnTo>
                  <a:lnTo>
                    <a:pt x="0" y="0"/>
                  </a:lnTo>
                  <a:lnTo>
                    <a:pt x="16384" y="870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48" name="Объект 39">
              <a:extLst>
                <a:ext uri="{FF2B5EF4-FFF2-40B4-BE49-F238E27FC236}">
                  <a16:creationId xmlns:a16="http://schemas.microsoft.com/office/drawing/2014/main" id="{00000000-0008-0000-0100-000080140000}"/>
                </a:ext>
              </a:extLst>
            </xdr:cNvPr>
            <xdr:cNvSpPr>
              <a:spLocks/>
            </xdr:cNvSpPr>
          </xdr:nvSpPr>
          <xdr:spPr bwMode="auto">
            <a:xfrm>
              <a:off x="1200000" y="38"/>
              <a:ext cx="60000" cy="4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4819" y="0"/>
                </a:cxn>
                <a:cxn ang="0">
                  <a:pos x="16384" y="14494"/>
                </a:cxn>
                <a:cxn ang="0">
                  <a:pos x="11565" y="16384"/>
                </a:cxn>
                <a:cxn ang="0">
                  <a:pos x="0" y="1890"/>
                </a:cxn>
                <a:cxn ang="0">
                  <a:pos x="4819" y="2521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4819" y="0"/>
                  </a:lnTo>
                  <a:lnTo>
                    <a:pt x="16384" y="14494"/>
                  </a:lnTo>
                  <a:lnTo>
                    <a:pt x="11565" y="16384"/>
                  </a:lnTo>
                  <a:lnTo>
                    <a:pt x="0" y="1890"/>
                  </a:lnTo>
                  <a:lnTo>
                    <a:pt x="4819" y="252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49" name="Объект 40">
              <a:extLst>
                <a:ext uri="{FF2B5EF4-FFF2-40B4-BE49-F238E27FC236}">
                  <a16:creationId xmlns:a16="http://schemas.microsoft.com/office/drawing/2014/main" id="{00000000-0008-0000-0100-000081140000}"/>
                </a:ext>
              </a:extLst>
            </xdr:cNvPr>
            <xdr:cNvSpPr>
              <a:spLocks/>
            </xdr:cNvSpPr>
          </xdr:nvSpPr>
          <xdr:spPr bwMode="auto">
            <a:xfrm>
              <a:off x="1200000" y="38"/>
              <a:ext cx="20000" cy="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9830" y="16384"/>
                </a:cxn>
                <a:cxn ang="0">
                  <a:pos x="16384" y="0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9830" y="16384"/>
                  </a:lnTo>
                  <a:lnTo>
                    <a:pt x="16384" y="0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50" name="Объект 41">
              <a:extLst>
                <a:ext uri="{FF2B5EF4-FFF2-40B4-BE49-F238E27FC236}">
                  <a16:creationId xmlns:a16="http://schemas.microsoft.com/office/drawing/2014/main" id="{00000000-0008-0000-0100-000082140000}"/>
                </a:ext>
              </a:extLst>
            </xdr:cNvPr>
            <xdr:cNvSpPr>
              <a:spLocks/>
            </xdr:cNvSpPr>
          </xdr:nvSpPr>
          <xdr:spPr bwMode="auto">
            <a:xfrm>
              <a:off x="1140000" y="38"/>
              <a:ext cx="80000" cy="4"/>
            </a:xfrm>
            <a:custGeom>
              <a:avLst/>
              <a:gdLst/>
              <a:ahLst/>
              <a:cxnLst>
                <a:cxn ang="0">
                  <a:pos x="819" y="15672"/>
                </a:cxn>
                <a:cxn ang="0">
                  <a:pos x="0" y="13535"/>
                </a:cxn>
                <a:cxn ang="0">
                  <a:pos x="12288" y="0"/>
                </a:cxn>
                <a:cxn ang="0">
                  <a:pos x="16384" y="2849"/>
                </a:cxn>
                <a:cxn ang="0">
                  <a:pos x="3277" y="16384"/>
                </a:cxn>
                <a:cxn ang="0">
                  <a:pos x="819" y="15672"/>
                </a:cxn>
              </a:cxnLst>
              <a:rect l="0" t="0" r="r" b="b"/>
              <a:pathLst>
                <a:path w="16384" h="16384">
                  <a:moveTo>
                    <a:pt x="819" y="15672"/>
                  </a:moveTo>
                  <a:lnTo>
                    <a:pt x="0" y="13535"/>
                  </a:lnTo>
                  <a:lnTo>
                    <a:pt x="12288" y="0"/>
                  </a:lnTo>
                  <a:lnTo>
                    <a:pt x="16384" y="2849"/>
                  </a:lnTo>
                  <a:lnTo>
                    <a:pt x="3277" y="16384"/>
                  </a:lnTo>
                  <a:lnTo>
                    <a:pt x="819" y="15672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51" name="Объект 42">
              <a:extLst>
                <a:ext uri="{FF2B5EF4-FFF2-40B4-BE49-F238E27FC236}">
                  <a16:creationId xmlns:a16="http://schemas.microsoft.com/office/drawing/2014/main" id="{00000000-0008-0000-0100-000083140000}"/>
                </a:ext>
              </a:extLst>
            </xdr:cNvPr>
            <xdr:cNvSpPr>
              <a:spLocks/>
            </xdr:cNvSpPr>
          </xdr:nvSpPr>
          <xdr:spPr bwMode="auto">
            <a:xfrm>
              <a:off x="1200000" y="38"/>
              <a:ext cx="320000" cy="17"/>
            </a:xfrm>
            <a:custGeom>
              <a:avLst/>
              <a:gdLst/>
              <a:ahLst/>
              <a:cxnLst>
                <a:cxn ang="0">
                  <a:pos x="16384" y="15622"/>
                </a:cxn>
                <a:cxn ang="0">
                  <a:pos x="14911" y="15622"/>
                </a:cxn>
                <a:cxn ang="0">
                  <a:pos x="12518" y="15431"/>
                </a:cxn>
                <a:cxn ang="0">
                  <a:pos x="9941" y="14860"/>
                </a:cxn>
                <a:cxn ang="0">
                  <a:pos x="6811" y="13717"/>
                </a:cxn>
                <a:cxn ang="0">
                  <a:pos x="5707" y="12955"/>
                </a:cxn>
                <a:cxn ang="0">
                  <a:pos x="4234" y="12002"/>
                </a:cxn>
                <a:cxn ang="0">
                  <a:pos x="3130" y="10859"/>
                </a:cxn>
                <a:cxn ang="0">
                  <a:pos x="2209" y="9335"/>
                </a:cxn>
                <a:cxn ang="0">
                  <a:pos x="1289" y="7430"/>
                </a:cxn>
                <a:cxn ang="0">
                  <a:pos x="736" y="5334"/>
                </a:cxn>
                <a:cxn ang="0">
                  <a:pos x="552" y="3048"/>
                </a:cxn>
                <a:cxn ang="0">
                  <a:pos x="736" y="191"/>
                </a:cxn>
                <a:cxn ang="0">
                  <a:pos x="184" y="0"/>
                </a:cxn>
                <a:cxn ang="0">
                  <a:pos x="0" y="3048"/>
                </a:cxn>
                <a:cxn ang="0">
                  <a:pos x="184" y="5334"/>
                </a:cxn>
                <a:cxn ang="0">
                  <a:pos x="736" y="7620"/>
                </a:cxn>
                <a:cxn ang="0">
                  <a:pos x="1657" y="9526"/>
                </a:cxn>
                <a:cxn ang="0">
                  <a:pos x="2577" y="11050"/>
                </a:cxn>
                <a:cxn ang="0">
                  <a:pos x="4050" y="12193"/>
                </a:cxn>
                <a:cxn ang="0">
                  <a:pos x="5155" y="13526"/>
                </a:cxn>
                <a:cxn ang="0">
                  <a:pos x="6811" y="14098"/>
                </a:cxn>
                <a:cxn ang="0">
                  <a:pos x="9757" y="15431"/>
                </a:cxn>
                <a:cxn ang="0">
                  <a:pos x="12518" y="16193"/>
                </a:cxn>
                <a:cxn ang="0">
                  <a:pos x="14911" y="16193"/>
                </a:cxn>
                <a:cxn ang="0">
                  <a:pos x="16384" y="16384"/>
                </a:cxn>
                <a:cxn ang="0">
                  <a:pos x="16384" y="15622"/>
                </a:cxn>
              </a:cxnLst>
              <a:rect l="0" t="0" r="r" b="b"/>
              <a:pathLst>
                <a:path w="16384" h="16384">
                  <a:moveTo>
                    <a:pt x="16384" y="15622"/>
                  </a:moveTo>
                  <a:lnTo>
                    <a:pt x="14911" y="15622"/>
                  </a:lnTo>
                  <a:lnTo>
                    <a:pt x="12518" y="15431"/>
                  </a:lnTo>
                  <a:lnTo>
                    <a:pt x="9941" y="14860"/>
                  </a:lnTo>
                  <a:lnTo>
                    <a:pt x="6811" y="13717"/>
                  </a:lnTo>
                  <a:lnTo>
                    <a:pt x="5707" y="12955"/>
                  </a:lnTo>
                  <a:lnTo>
                    <a:pt x="4234" y="12002"/>
                  </a:lnTo>
                  <a:lnTo>
                    <a:pt x="3130" y="10859"/>
                  </a:lnTo>
                  <a:lnTo>
                    <a:pt x="2209" y="9335"/>
                  </a:lnTo>
                  <a:lnTo>
                    <a:pt x="1289" y="7430"/>
                  </a:lnTo>
                  <a:lnTo>
                    <a:pt x="736" y="5334"/>
                  </a:lnTo>
                  <a:lnTo>
                    <a:pt x="552" y="3048"/>
                  </a:lnTo>
                  <a:lnTo>
                    <a:pt x="736" y="191"/>
                  </a:lnTo>
                  <a:lnTo>
                    <a:pt x="184" y="0"/>
                  </a:lnTo>
                  <a:lnTo>
                    <a:pt x="0" y="3048"/>
                  </a:lnTo>
                  <a:lnTo>
                    <a:pt x="184" y="5334"/>
                  </a:lnTo>
                  <a:lnTo>
                    <a:pt x="736" y="7620"/>
                  </a:lnTo>
                  <a:lnTo>
                    <a:pt x="1657" y="9526"/>
                  </a:lnTo>
                  <a:lnTo>
                    <a:pt x="2577" y="11050"/>
                  </a:lnTo>
                  <a:lnTo>
                    <a:pt x="4050" y="12193"/>
                  </a:lnTo>
                  <a:lnTo>
                    <a:pt x="5155" y="13526"/>
                  </a:lnTo>
                  <a:lnTo>
                    <a:pt x="6811" y="14098"/>
                  </a:lnTo>
                  <a:lnTo>
                    <a:pt x="9757" y="15431"/>
                  </a:lnTo>
                  <a:lnTo>
                    <a:pt x="12518" y="16193"/>
                  </a:lnTo>
                  <a:lnTo>
                    <a:pt x="14911" y="16193"/>
                  </a:lnTo>
                  <a:lnTo>
                    <a:pt x="16384" y="16384"/>
                  </a:lnTo>
                  <a:lnTo>
                    <a:pt x="16384" y="15622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52" name="Текст 43">
              <a:extLst>
                <a:ext uri="{FF2B5EF4-FFF2-40B4-BE49-F238E27FC236}">
                  <a16:creationId xmlns:a16="http://schemas.microsoft.com/office/drawing/2014/main" id="{00000000-0008-0000-0100-000084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20000" y="48"/>
              <a:ext cx="240000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Times New Roman CE"/>
                  <a:cs typeface="Times New Roman CE"/>
                </a:rPr>
                <a:t>r</a:t>
              </a:r>
            </a:p>
          </xdr:txBody>
        </xdr:sp>
        <xdr:sp macro="" textlink="">
          <xdr:nvSpPr>
            <xdr:cNvPr id="5253" name="Объект 44">
              <a:extLst>
                <a:ext uri="{FF2B5EF4-FFF2-40B4-BE49-F238E27FC236}">
                  <a16:creationId xmlns:a16="http://schemas.microsoft.com/office/drawing/2014/main" id="{00000000-0008-0000-0100-000085140000}"/>
                </a:ext>
              </a:extLst>
            </xdr:cNvPr>
            <xdr:cNvSpPr>
              <a:spLocks/>
            </xdr:cNvSpPr>
          </xdr:nvSpPr>
          <xdr:spPr bwMode="auto">
            <a:xfrm>
              <a:off x="2860000" y="129"/>
              <a:ext cx="80000" cy="4"/>
            </a:xfrm>
            <a:custGeom>
              <a:avLst/>
              <a:gdLst/>
              <a:ahLst/>
              <a:cxnLst>
                <a:cxn ang="0">
                  <a:pos x="16384" y="1820"/>
                </a:cxn>
                <a:cxn ang="0">
                  <a:pos x="15754" y="4551"/>
                </a:cxn>
                <a:cxn ang="0">
                  <a:pos x="1890" y="16384"/>
                </a:cxn>
                <a:cxn ang="0">
                  <a:pos x="0" y="12743"/>
                </a:cxn>
                <a:cxn ang="0">
                  <a:pos x="13863" y="0"/>
                </a:cxn>
                <a:cxn ang="0">
                  <a:pos x="13863" y="4551"/>
                </a:cxn>
                <a:cxn ang="0">
                  <a:pos x="16384" y="1820"/>
                </a:cxn>
              </a:cxnLst>
              <a:rect l="0" t="0" r="r" b="b"/>
              <a:pathLst>
                <a:path w="16384" h="16384">
                  <a:moveTo>
                    <a:pt x="16384" y="1820"/>
                  </a:moveTo>
                  <a:lnTo>
                    <a:pt x="15754" y="4551"/>
                  </a:lnTo>
                  <a:lnTo>
                    <a:pt x="1890" y="16384"/>
                  </a:lnTo>
                  <a:lnTo>
                    <a:pt x="0" y="12743"/>
                  </a:lnTo>
                  <a:lnTo>
                    <a:pt x="13863" y="0"/>
                  </a:lnTo>
                  <a:lnTo>
                    <a:pt x="13863" y="4551"/>
                  </a:lnTo>
                  <a:lnTo>
                    <a:pt x="16384" y="182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54" name="Объект 45">
              <a:extLst>
                <a:ext uri="{FF2B5EF4-FFF2-40B4-BE49-F238E27FC236}">
                  <a16:creationId xmlns:a16="http://schemas.microsoft.com/office/drawing/2014/main" id="{00000000-0008-0000-0100-000086140000}"/>
                </a:ext>
              </a:extLst>
            </xdr:cNvPr>
            <xdr:cNvSpPr>
              <a:spLocks/>
            </xdr:cNvSpPr>
          </xdr:nvSpPr>
          <xdr:spPr bwMode="auto">
            <a:xfrm>
              <a:off x="2920000" y="129"/>
              <a:ext cx="20000" cy="1"/>
            </a:xfrm>
            <a:custGeom>
              <a:avLst/>
              <a:gdLst/>
              <a:ahLst/>
              <a:cxnLst>
                <a:cxn ang="0">
                  <a:pos x="16384" y="0"/>
                </a:cxn>
                <a:cxn ang="0">
                  <a:pos x="0" y="5461"/>
                </a:cxn>
                <a:cxn ang="0">
                  <a:pos x="10923" y="16384"/>
                </a:cxn>
                <a:cxn ang="0">
                  <a:pos x="16384" y="0"/>
                </a:cxn>
              </a:cxnLst>
              <a:rect l="0" t="0" r="r" b="b"/>
              <a:pathLst>
                <a:path w="16384" h="16384">
                  <a:moveTo>
                    <a:pt x="16384" y="0"/>
                  </a:moveTo>
                  <a:lnTo>
                    <a:pt x="0" y="5461"/>
                  </a:lnTo>
                  <a:lnTo>
                    <a:pt x="10923" y="16384"/>
                  </a:lnTo>
                  <a:lnTo>
                    <a:pt x="16384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55" name="Объект 46">
              <a:extLst>
                <a:ext uri="{FF2B5EF4-FFF2-40B4-BE49-F238E27FC236}">
                  <a16:creationId xmlns:a16="http://schemas.microsoft.com/office/drawing/2014/main" id="{00000000-0008-0000-0100-000087140000}"/>
                </a:ext>
              </a:extLst>
            </xdr:cNvPr>
            <xdr:cNvSpPr>
              <a:spLocks/>
            </xdr:cNvSpPr>
          </xdr:nvSpPr>
          <xdr:spPr bwMode="auto">
            <a:xfrm>
              <a:off x="2860000" y="127"/>
              <a:ext cx="80000" cy="3"/>
            </a:xfrm>
            <a:custGeom>
              <a:avLst/>
              <a:gdLst/>
              <a:ahLst/>
              <a:cxnLst>
                <a:cxn ang="0">
                  <a:pos x="683" y="2587"/>
                </a:cxn>
                <a:cxn ang="0">
                  <a:pos x="1365" y="0"/>
                </a:cxn>
                <a:cxn ang="0">
                  <a:pos x="16384" y="13797"/>
                </a:cxn>
                <a:cxn ang="0">
                  <a:pos x="13653" y="16384"/>
                </a:cxn>
                <a:cxn ang="0">
                  <a:pos x="0" y="4312"/>
                </a:cxn>
                <a:cxn ang="0">
                  <a:pos x="683" y="2587"/>
                </a:cxn>
              </a:cxnLst>
              <a:rect l="0" t="0" r="r" b="b"/>
              <a:pathLst>
                <a:path w="16384" h="16384">
                  <a:moveTo>
                    <a:pt x="683" y="2587"/>
                  </a:moveTo>
                  <a:lnTo>
                    <a:pt x="1365" y="0"/>
                  </a:lnTo>
                  <a:lnTo>
                    <a:pt x="16384" y="13797"/>
                  </a:lnTo>
                  <a:lnTo>
                    <a:pt x="13653" y="16384"/>
                  </a:lnTo>
                  <a:lnTo>
                    <a:pt x="0" y="4312"/>
                  </a:lnTo>
                  <a:lnTo>
                    <a:pt x="683" y="2587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56" name="Объект 47">
              <a:extLst>
                <a:ext uri="{FF2B5EF4-FFF2-40B4-BE49-F238E27FC236}">
                  <a16:creationId xmlns:a16="http://schemas.microsoft.com/office/drawing/2014/main" id="{00000000-0008-0000-0100-000088140000}"/>
                </a:ext>
              </a:extLst>
            </xdr:cNvPr>
            <xdr:cNvSpPr>
              <a:spLocks/>
            </xdr:cNvSpPr>
          </xdr:nvSpPr>
          <xdr:spPr bwMode="auto">
            <a:xfrm>
              <a:off x="2540000" y="120"/>
              <a:ext cx="380000" cy="1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3277"/>
                </a:cxn>
                <a:cxn ang="0">
                  <a:pos x="0" y="6226"/>
                </a:cxn>
                <a:cxn ang="0">
                  <a:pos x="321" y="7537"/>
                </a:cxn>
                <a:cxn ang="0">
                  <a:pos x="482" y="8847"/>
                </a:cxn>
                <a:cxn ang="0">
                  <a:pos x="803" y="10158"/>
                </a:cxn>
                <a:cxn ang="0">
                  <a:pos x="1446" y="11469"/>
                </a:cxn>
                <a:cxn ang="0">
                  <a:pos x="2249" y="12124"/>
                </a:cxn>
                <a:cxn ang="0">
                  <a:pos x="3213" y="13107"/>
                </a:cxn>
                <a:cxn ang="0">
                  <a:pos x="4498" y="14090"/>
                </a:cxn>
                <a:cxn ang="0">
                  <a:pos x="6264" y="14746"/>
                </a:cxn>
                <a:cxn ang="0">
                  <a:pos x="10280" y="15729"/>
                </a:cxn>
                <a:cxn ang="0">
                  <a:pos x="16384" y="16384"/>
                </a:cxn>
                <a:cxn ang="0">
                  <a:pos x="16384" y="15729"/>
                </a:cxn>
                <a:cxn ang="0">
                  <a:pos x="10280" y="14746"/>
                </a:cxn>
                <a:cxn ang="0">
                  <a:pos x="6264" y="14090"/>
                </a:cxn>
                <a:cxn ang="0">
                  <a:pos x="4498" y="13107"/>
                </a:cxn>
                <a:cxn ang="0">
                  <a:pos x="3373" y="12124"/>
                </a:cxn>
                <a:cxn ang="0">
                  <a:pos x="2570" y="11469"/>
                </a:cxn>
                <a:cxn ang="0">
                  <a:pos x="1767" y="10486"/>
                </a:cxn>
                <a:cxn ang="0">
                  <a:pos x="1285" y="9830"/>
                </a:cxn>
                <a:cxn ang="0">
                  <a:pos x="803" y="8520"/>
                </a:cxn>
                <a:cxn ang="0">
                  <a:pos x="643" y="7209"/>
                </a:cxn>
                <a:cxn ang="0">
                  <a:pos x="482" y="5898"/>
                </a:cxn>
                <a:cxn ang="0">
                  <a:pos x="482" y="3277"/>
                </a:cxn>
                <a:cxn ang="0">
                  <a:pos x="482" y="0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3277"/>
                  </a:lnTo>
                  <a:lnTo>
                    <a:pt x="0" y="6226"/>
                  </a:lnTo>
                  <a:lnTo>
                    <a:pt x="321" y="7537"/>
                  </a:lnTo>
                  <a:lnTo>
                    <a:pt x="482" y="8847"/>
                  </a:lnTo>
                  <a:lnTo>
                    <a:pt x="803" y="10158"/>
                  </a:lnTo>
                  <a:lnTo>
                    <a:pt x="1446" y="11469"/>
                  </a:lnTo>
                  <a:lnTo>
                    <a:pt x="2249" y="12124"/>
                  </a:lnTo>
                  <a:lnTo>
                    <a:pt x="3213" y="13107"/>
                  </a:lnTo>
                  <a:lnTo>
                    <a:pt x="4498" y="14090"/>
                  </a:lnTo>
                  <a:lnTo>
                    <a:pt x="6264" y="14746"/>
                  </a:lnTo>
                  <a:lnTo>
                    <a:pt x="10280" y="15729"/>
                  </a:lnTo>
                  <a:lnTo>
                    <a:pt x="16384" y="16384"/>
                  </a:lnTo>
                  <a:lnTo>
                    <a:pt x="16384" y="15729"/>
                  </a:lnTo>
                  <a:lnTo>
                    <a:pt x="10280" y="14746"/>
                  </a:lnTo>
                  <a:lnTo>
                    <a:pt x="6264" y="14090"/>
                  </a:lnTo>
                  <a:lnTo>
                    <a:pt x="4498" y="13107"/>
                  </a:lnTo>
                  <a:lnTo>
                    <a:pt x="3373" y="12124"/>
                  </a:lnTo>
                  <a:lnTo>
                    <a:pt x="2570" y="11469"/>
                  </a:lnTo>
                  <a:lnTo>
                    <a:pt x="1767" y="10486"/>
                  </a:lnTo>
                  <a:lnTo>
                    <a:pt x="1285" y="9830"/>
                  </a:lnTo>
                  <a:lnTo>
                    <a:pt x="803" y="8520"/>
                  </a:lnTo>
                  <a:lnTo>
                    <a:pt x="643" y="7209"/>
                  </a:lnTo>
                  <a:lnTo>
                    <a:pt x="482" y="5898"/>
                  </a:lnTo>
                  <a:lnTo>
                    <a:pt x="482" y="3277"/>
                  </a:lnTo>
                  <a:lnTo>
                    <a:pt x="482" y="0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57" name="Текст 48">
              <a:extLst>
                <a:ext uri="{FF2B5EF4-FFF2-40B4-BE49-F238E27FC236}">
                  <a16:creationId xmlns:a16="http://schemas.microsoft.com/office/drawing/2014/main" id="{00000000-0008-0000-0100-000089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480000" y="103"/>
              <a:ext cx="240000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Times New Roman CE"/>
                  <a:cs typeface="Times New Roman CE"/>
                </a:rPr>
                <a:t>r</a:t>
              </a:r>
            </a:p>
          </xdr:txBody>
        </xdr:sp>
        <xdr:sp macro="" textlink="">
          <xdr:nvSpPr>
            <xdr:cNvPr id="5258" name="Текст 53">
              <a:extLst>
                <a:ext uri="{FF2B5EF4-FFF2-40B4-BE49-F238E27FC236}">
                  <a16:creationId xmlns:a16="http://schemas.microsoft.com/office/drawing/2014/main" id="{00000000-0008-0000-0100-00008A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00000" y="107"/>
              <a:ext cx="340000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R</a:t>
              </a:r>
            </a:p>
          </xdr:txBody>
        </xdr:sp>
        <xdr:sp macro="" textlink="">
          <xdr:nvSpPr>
            <xdr:cNvPr id="5259" name="Объект 268">
              <a:extLst>
                <a:ext uri="{FF2B5EF4-FFF2-40B4-BE49-F238E27FC236}">
                  <a16:creationId xmlns:a16="http://schemas.microsoft.com/office/drawing/2014/main" id="{00000000-0008-0000-0100-00008B140000}"/>
                </a:ext>
              </a:extLst>
            </xdr:cNvPr>
            <xdr:cNvSpPr>
              <a:spLocks/>
            </xdr:cNvSpPr>
          </xdr:nvSpPr>
          <xdr:spPr bwMode="auto">
            <a:xfrm>
              <a:off x="3320000" y="103"/>
              <a:ext cx="20000" cy="9"/>
            </a:xfrm>
            <a:custGeom>
              <a:avLst/>
              <a:gdLst/>
              <a:ahLst/>
              <a:cxnLst>
                <a:cxn ang="0">
                  <a:pos x="0" y="16384"/>
                </a:cxn>
                <a:cxn ang="0">
                  <a:pos x="0" y="10685"/>
                </a:cxn>
                <a:cxn ang="0">
                  <a:pos x="0" y="6767"/>
                </a:cxn>
                <a:cxn ang="0">
                  <a:pos x="0" y="3918"/>
                </a:cxn>
                <a:cxn ang="0">
                  <a:pos x="0" y="2137"/>
                </a:cxn>
                <a:cxn ang="0">
                  <a:pos x="0" y="712"/>
                </a:cxn>
                <a:cxn ang="0">
                  <a:pos x="0" y="356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0" y="16384"/>
                  </a:moveTo>
                  <a:lnTo>
                    <a:pt x="0" y="10685"/>
                  </a:lnTo>
                  <a:lnTo>
                    <a:pt x="0" y="6767"/>
                  </a:lnTo>
                  <a:lnTo>
                    <a:pt x="0" y="3918"/>
                  </a:lnTo>
                  <a:lnTo>
                    <a:pt x="0" y="2137"/>
                  </a:lnTo>
                  <a:lnTo>
                    <a:pt x="0" y="712"/>
                  </a:lnTo>
                  <a:lnTo>
                    <a:pt x="0" y="356"/>
                  </a:lnTo>
                  <a:lnTo>
                    <a:pt x="0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60" name="Объект 269">
              <a:extLst>
                <a:ext uri="{FF2B5EF4-FFF2-40B4-BE49-F238E27FC236}">
                  <a16:creationId xmlns:a16="http://schemas.microsoft.com/office/drawing/2014/main" id="{00000000-0008-0000-0100-00008C140000}"/>
                </a:ext>
              </a:extLst>
            </xdr:cNvPr>
            <xdr:cNvSpPr>
              <a:spLocks/>
            </xdr:cNvSpPr>
          </xdr:nvSpPr>
          <xdr:spPr bwMode="auto">
            <a:xfrm>
              <a:off x="3260000" y="100"/>
              <a:ext cx="120000" cy="7"/>
            </a:xfrm>
            <a:custGeom>
              <a:avLst/>
              <a:gdLst/>
              <a:ahLst/>
              <a:cxnLst>
                <a:cxn ang="0">
                  <a:pos x="8704" y="0"/>
                </a:cxn>
                <a:cxn ang="0">
                  <a:pos x="0" y="16384"/>
                </a:cxn>
                <a:cxn ang="0">
                  <a:pos x="512" y="16384"/>
                </a:cxn>
                <a:cxn ang="0">
                  <a:pos x="1536" y="15941"/>
                </a:cxn>
                <a:cxn ang="0">
                  <a:pos x="2048" y="15941"/>
                </a:cxn>
                <a:cxn ang="0">
                  <a:pos x="2560" y="15056"/>
                </a:cxn>
                <a:cxn ang="0">
                  <a:pos x="3072" y="15056"/>
                </a:cxn>
                <a:cxn ang="0">
                  <a:pos x="4096" y="15056"/>
                </a:cxn>
                <a:cxn ang="0">
                  <a:pos x="4608" y="15056"/>
                </a:cxn>
                <a:cxn ang="0">
                  <a:pos x="4608" y="14613"/>
                </a:cxn>
                <a:cxn ang="0">
                  <a:pos x="5120" y="14613"/>
                </a:cxn>
                <a:cxn ang="0">
                  <a:pos x="6144" y="14613"/>
                </a:cxn>
                <a:cxn ang="0">
                  <a:pos x="6656" y="14613"/>
                </a:cxn>
                <a:cxn ang="0">
                  <a:pos x="7168" y="14613"/>
                </a:cxn>
                <a:cxn ang="0">
                  <a:pos x="7680" y="14613"/>
                </a:cxn>
                <a:cxn ang="0">
                  <a:pos x="8704" y="14613"/>
                </a:cxn>
                <a:cxn ang="0">
                  <a:pos x="9216" y="14613"/>
                </a:cxn>
                <a:cxn ang="0">
                  <a:pos x="9728" y="14613"/>
                </a:cxn>
                <a:cxn ang="0">
                  <a:pos x="10752" y="14613"/>
                </a:cxn>
                <a:cxn ang="0">
                  <a:pos x="11264" y="14613"/>
                </a:cxn>
                <a:cxn ang="0">
                  <a:pos x="11776" y="14613"/>
                </a:cxn>
                <a:cxn ang="0">
                  <a:pos x="12288" y="15056"/>
                </a:cxn>
                <a:cxn ang="0">
                  <a:pos x="13312" y="15056"/>
                </a:cxn>
                <a:cxn ang="0">
                  <a:pos x="13824" y="15056"/>
                </a:cxn>
                <a:cxn ang="0">
                  <a:pos x="14336" y="15941"/>
                </a:cxn>
                <a:cxn ang="0">
                  <a:pos x="15360" y="15941"/>
                </a:cxn>
                <a:cxn ang="0">
                  <a:pos x="15872" y="15941"/>
                </a:cxn>
                <a:cxn ang="0">
                  <a:pos x="16384" y="16384"/>
                </a:cxn>
                <a:cxn ang="0">
                  <a:pos x="8704" y="0"/>
                </a:cxn>
              </a:cxnLst>
              <a:rect l="0" t="0" r="r" b="b"/>
              <a:pathLst>
                <a:path w="16384" h="16384">
                  <a:moveTo>
                    <a:pt x="8704" y="0"/>
                  </a:moveTo>
                  <a:lnTo>
                    <a:pt x="0" y="16384"/>
                  </a:lnTo>
                  <a:lnTo>
                    <a:pt x="512" y="16384"/>
                  </a:lnTo>
                  <a:lnTo>
                    <a:pt x="1536" y="15941"/>
                  </a:lnTo>
                  <a:lnTo>
                    <a:pt x="2048" y="15941"/>
                  </a:lnTo>
                  <a:lnTo>
                    <a:pt x="2560" y="15056"/>
                  </a:lnTo>
                  <a:lnTo>
                    <a:pt x="3072" y="15056"/>
                  </a:lnTo>
                  <a:lnTo>
                    <a:pt x="4096" y="15056"/>
                  </a:lnTo>
                  <a:lnTo>
                    <a:pt x="4608" y="15056"/>
                  </a:lnTo>
                  <a:lnTo>
                    <a:pt x="4608" y="14613"/>
                  </a:lnTo>
                  <a:lnTo>
                    <a:pt x="5120" y="14613"/>
                  </a:lnTo>
                  <a:lnTo>
                    <a:pt x="6144" y="14613"/>
                  </a:lnTo>
                  <a:lnTo>
                    <a:pt x="6656" y="14613"/>
                  </a:lnTo>
                  <a:lnTo>
                    <a:pt x="7168" y="14613"/>
                  </a:lnTo>
                  <a:lnTo>
                    <a:pt x="7680" y="14613"/>
                  </a:lnTo>
                  <a:lnTo>
                    <a:pt x="8704" y="14613"/>
                  </a:lnTo>
                  <a:lnTo>
                    <a:pt x="9216" y="14613"/>
                  </a:lnTo>
                  <a:lnTo>
                    <a:pt x="9728" y="14613"/>
                  </a:lnTo>
                  <a:lnTo>
                    <a:pt x="10752" y="14613"/>
                  </a:lnTo>
                  <a:lnTo>
                    <a:pt x="11264" y="14613"/>
                  </a:lnTo>
                  <a:lnTo>
                    <a:pt x="11776" y="14613"/>
                  </a:lnTo>
                  <a:lnTo>
                    <a:pt x="12288" y="15056"/>
                  </a:lnTo>
                  <a:lnTo>
                    <a:pt x="13312" y="15056"/>
                  </a:lnTo>
                  <a:lnTo>
                    <a:pt x="13824" y="15056"/>
                  </a:lnTo>
                  <a:lnTo>
                    <a:pt x="14336" y="15941"/>
                  </a:lnTo>
                  <a:lnTo>
                    <a:pt x="15360" y="15941"/>
                  </a:lnTo>
                  <a:lnTo>
                    <a:pt x="15872" y="15941"/>
                  </a:lnTo>
                  <a:lnTo>
                    <a:pt x="16384" y="16384"/>
                  </a:lnTo>
                  <a:lnTo>
                    <a:pt x="8704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61" name="Объект 270">
              <a:extLst>
                <a:ext uri="{FF2B5EF4-FFF2-40B4-BE49-F238E27FC236}">
                  <a16:creationId xmlns:a16="http://schemas.microsoft.com/office/drawing/2014/main" id="{00000000-0008-0000-0100-00008D140000}"/>
                </a:ext>
              </a:extLst>
            </xdr:cNvPr>
            <xdr:cNvSpPr>
              <a:spLocks/>
            </xdr:cNvSpPr>
          </xdr:nvSpPr>
          <xdr:spPr bwMode="auto">
            <a:xfrm>
              <a:off x="3320000" y="123"/>
              <a:ext cx="20000" cy="8"/>
            </a:xfrm>
            <a:custGeom>
              <a:avLst/>
              <a:gdLst/>
              <a:ahLst/>
              <a:cxnLst>
                <a:cxn ang="0">
                  <a:pos x="0" y="16384"/>
                </a:cxn>
                <a:cxn ang="0">
                  <a:pos x="0" y="11287"/>
                </a:cxn>
                <a:cxn ang="0">
                  <a:pos x="0" y="6918"/>
                </a:cxn>
                <a:cxn ang="0">
                  <a:pos x="0" y="4369"/>
                </a:cxn>
                <a:cxn ang="0">
                  <a:pos x="0" y="1820"/>
                </a:cxn>
                <a:cxn ang="0">
                  <a:pos x="0" y="1092"/>
                </a:cxn>
                <a:cxn ang="0">
                  <a:pos x="0" y="364"/>
                </a:cxn>
                <a:cxn ang="0">
                  <a:pos x="0" y="0"/>
                </a:cxn>
              </a:cxnLst>
              <a:rect l="0" t="0" r="r" b="b"/>
              <a:pathLst>
                <a:path w="16384" h="16384">
                  <a:moveTo>
                    <a:pt x="0" y="16384"/>
                  </a:moveTo>
                  <a:lnTo>
                    <a:pt x="0" y="11287"/>
                  </a:lnTo>
                  <a:lnTo>
                    <a:pt x="0" y="6918"/>
                  </a:lnTo>
                  <a:lnTo>
                    <a:pt x="0" y="4369"/>
                  </a:lnTo>
                  <a:lnTo>
                    <a:pt x="0" y="1820"/>
                  </a:lnTo>
                  <a:lnTo>
                    <a:pt x="0" y="1092"/>
                  </a:lnTo>
                  <a:lnTo>
                    <a:pt x="0" y="364"/>
                  </a:lnTo>
                  <a:lnTo>
                    <a:pt x="0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5262" name="Объект 271">
              <a:extLst>
                <a:ext uri="{FF2B5EF4-FFF2-40B4-BE49-F238E27FC236}">
                  <a16:creationId xmlns:a16="http://schemas.microsoft.com/office/drawing/2014/main" id="{00000000-0008-0000-0100-00008E140000}"/>
                </a:ext>
              </a:extLst>
            </xdr:cNvPr>
            <xdr:cNvSpPr>
              <a:spLocks/>
            </xdr:cNvSpPr>
          </xdr:nvSpPr>
          <xdr:spPr bwMode="auto">
            <a:xfrm>
              <a:off x="3260000" y="127"/>
              <a:ext cx="120000" cy="8"/>
            </a:xfrm>
            <a:custGeom>
              <a:avLst/>
              <a:gdLst/>
              <a:ahLst/>
              <a:cxnLst>
                <a:cxn ang="0">
                  <a:pos x="8704" y="16384"/>
                </a:cxn>
                <a:cxn ang="0">
                  <a:pos x="0" y="0"/>
                </a:cxn>
                <a:cxn ang="0">
                  <a:pos x="512" y="0"/>
                </a:cxn>
                <a:cxn ang="0">
                  <a:pos x="1536" y="443"/>
                </a:cxn>
                <a:cxn ang="0">
                  <a:pos x="2048" y="443"/>
                </a:cxn>
                <a:cxn ang="0">
                  <a:pos x="2560" y="1328"/>
                </a:cxn>
                <a:cxn ang="0">
                  <a:pos x="3072" y="1328"/>
                </a:cxn>
                <a:cxn ang="0">
                  <a:pos x="4096" y="1328"/>
                </a:cxn>
                <a:cxn ang="0">
                  <a:pos x="4608" y="1328"/>
                </a:cxn>
                <a:cxn ang="0">
                  <a:pos x="5120" y="1771"/>
                </a:cxn>
                <a:cxn ang="0">
                  <a:pos x="6144" y="1771"/>
                </a:cxn>
                <a:cxn ang="0">
                  <a:pos x="6656" y="1771"/>
                </a:cxn>
                <a:cxn ang="0">
                  <a:pos x="7168" y="1771"/>
                </a:cxn>
                <a:cxn ang="0">
                  <a:pos x="7680" y="1771"/>
                </a:cxn>
                <a:cxn ang="0">
                  <a:pos x="8704" y="1771"/>
                </a:cxn>
                <a:cxn ang="0">
                  <a:pos x="9216" y="1771"/>
                </a:cxn>
                <a:cxn ang="0">
                  <a:pos x="9728" y="1771"/>
                </a:cxn>
                <a:cxn ang="0">
                  <a:pos x="10752" y="1771"/>
                </a:cxn>
                <a:cxn ang="0">
                  <a:pos x="11264" y="1771"/>
                </a:cxn>
                <a:cxn ang="0">
                  <a:pos x="11776" y="1771"/>
                </a:cxn>
                <a:cxn ang="0">
                  <a:pos x="11776" y="1328"/>
                </a:cxn>
                <a:cxn ang="0">
                  <a:pos x="12288" y="1328"/>
                </a:cxn>
                <a:cxn ang="0">
                  <a:pos x="13312" y="1328"/>
                </a:cxn>
                <a:cxn ang="0">
                  <a:pos x="13824" y="1328"/>
                </a:cxn>
                <a:cxn ang="0">
                  <a:pos x="14336" y="443"/>
                </a:cxn>
                <a:cxn ang="0">
                  <a:pos x="15360" y="443"/>
                </a:cxn>
                <a:cxn ang="0">
                  <a:pos x="15872" y="443"/>
                </a:cxn>
                <a:cxn ang="0">
                  <a:pos x="16384" y="0"/>
                </a:cxn>
                <a:cxn ang="0">
                  <a:pos x="8704" y="16384"/>
                </a:cxn>
              </a:cxnLst>
              <a:rect l="0" t="0" r="r" b="b"/>
              <a:pathLst>
                <a:path w="16384" h="16384">
                  <a:moveTo>
                    <a:pt x="8704" y="16384"/>
                  </a:moveTo>
                  <a:lnTo>
                    <a:pt x="0" y="0"/>
                  </a:lnTo>
                  <a:lnTo>
                    <a:pt x="512" y="0"/>
                  </a:lnTo>
                  <a:lnTo>
                    <a:pt x="1536" y="443"/>
                  </a:lnTo>
                  <a:lnTo>
                    <a:pt x="2048" y="443"/>
                  </a:lnTo>
                  <a:lnTo>
                    <a:pt x="2560" y="1328"/>
                  </a:lnTo>
                  <a:lnTo>
                    <a:pt x="3072" y="1328"/>
                  </a:lnTo>
                  <a:lnTo>
                    <a:pt x="4096" y="1328"/>
                  </a:lnTo>
                  <a:lnTo>
                    <a:pt x="4608" y="1328"/>
                  </a:lnTo>
                  <a:lnTo>
                    <a:pt x="5120" y="1771"/>
                  </a:lnTo>
                  <a:lnTo>
                    <a:pt x="6144" y="1771"/>
                  </a:lnTo>
                  <a:lnTo>
                    <a:pt x="6656" y="1771"/>
                  </a:lnTo>
                  <a:lnTo>
                    <a:pt x="7168" y="1771"/>
                  </a:lnTo>
                  <a:lnTo>
                    <a:pt x="7680" y="1771"/>
                  </a:lnTo>
                  <a:lnTo>
                    <a:pt x="8704" y="1771"/>
                  </a:lnTo>
                  <a:lnTo>
                    <a:pt x="9216" y="1771"/>
                  </a:lnTo>
                  <a:lnTo>
                    <a:pt x="9728" y="1771"/>
                  </a:lnTo>
                  <a:lnTo>
                    <a:pt x="10752" y="1771"/>
                  </a:lnTo>
                  <a:lnTo>
                    <a:pt x="11264" y="1771"/>
                  </a:lnTo>
                  <a:lnTo>
                    <a:pt x="11776" y="1771"/>
                  </a:lnTo>
                  <a:lnTo>
                    <a:pt x="11776" y="1328"/>
                  </a:lnTo>
                  <a:lnTo>
                    <a:pt x="12288" y="1328"/>
                  </a:lnTo>
                  <a:lnTo>
                    <a:pt x="13312" y="1328"/>
                  </a:lnTo>
                  <a:lnTo>
                    <a:pt x="13824" y="1328"/>
                  </a:lnTo>
                  <a:lnTo>
                    <a:pt x="14336" y="443"/>
                  </a:lnTo>
                  <a:lnTo>
                    <a:pt x="15360" y="443"/>
                  </a:lnTo>
                  <a:lnTo>
                    <a:pt x="15872" y="443"/>
                  </a:lnTo>
                  <a:lnTo>
                    <a:pt x="16384" y="0"/>
                  </a:lnTo>
                  <a:lnTo>
                    <a:pt x="8704" y="1638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5263" name="Текст 272">
              <a:extLst>
                <a:ext uri="{FF2B5EF4-FFF2-40B4-BE49-F238E27FC236}">
                  <a16:creationId xmlns:a16="http://schemas.microsoft.com/office/drawing/2014/main" id="{00000000-0008-0000-0100-00008F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200000" y="107"/>
              <a:ext cx="260000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Times New Roman CE"/>
                  <a:cs typeface="Times New Roman CE"/>
                </a:rPr>
                <a:t>z</a:t>
              </a:r>
            </a:p>
          </xdr:txBody>
        </xdr:sp>
        <xdr:sp macro="" textlink="">
          <xdr:nvSpPr>
            <xdr:cNvPr id="5264" name="Текст 273">
              <a:extLst>
                <a:ext uri="{FF2B5EF4-FFF2-40B4-BE49-F238E27FC236}">
                  <a16:creationId xmlns:a16="http://schemas.microsoft.com/office/drawing/2014/main" id="{00000000-0008-0000-0100-000090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360000" y="116"/>
              <a:ext cx="200000" cy="1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9144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ru-RU" sz="500" b="0" i="0" u="none" strike="noStrike" baseline="0">
                  <a:solidFill>
                    <a:srgbClr val="0000FF"/>
                  </a:solidFill>
                  <a:latin typeface="Times New Roman CE"/>
                  <a:cs typeface="Times New Roman CE"/>
                </a:rPr>
                <a:t>0</a:t>
              </a:r>
            </a:p>
          </xdr:txBody>
        </xdr:sp>
        <xdr:sp macro="" textlink="">
          <xdr:nvSpPr>
            <xdr:cNvPr id="5265" name="Текст 384">
              <a:extLst>
                <a:ext uri="{FF2B5EF4-FFF2-40B4-BE49-F238E27FC236}">
                  <a16:creationId xmlns:a16="http://schemas.microsoft.com/office/drawing/2014/main" id="{00000000-0008-0000-0100-000091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20000" y="83"/>
              <a:ext cx="300000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Futura MdCn BT"/>
                </a:rPr>
                <a:t>X</a:t>
              </a:r>
            </a:p>
          </xdr:txBody>
        </xdr:sp>
        <xdr:sp macro="" textlink="">
          <xdr:nvSpPr>
            <xdr:cNvPr id="5266" name="Текст 385">
              <a:extLst>
                <a:ext uri="{FF2B5EF4-FFF2-40B4-BE49-F238E27FC236}">
                  <a16:creationId xmlns:a16="http://schemas.microsoft.com/office/drawing/2014/main" id="{00000000-0008-0000-0100-000092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220000" y="83"/>
              <a:ext cx="300000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Futura MdCn BT"/>
                </a:rPr>
                <a:t>X</a:t>
              </a:r>
            </a:p>
          </xdr:txBody>
        </xdr:sp>
        <xdr:sp macro="" textlink="">
          <xdr:nvSpPr>
            <xdr:cNvPr id="5267" name="Текст 386">
              <a:extLst>
                <a:ext uri="{FF2B5EF4-FFF2-40B4-BE49-F238E27FC236}">
                  <a16:creationId xmlns:a16="http://schemas.microsoft.com/office/drawing/2014/main" id="{00000000-0008-0000-0100-000093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720000" y="48"/>
              <a:ext cx="34000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Georgia"/>
                </a:rPr>
                <a:t>X</a:t>
              </a:r>
            </a:p>
          </xdr:txBody>
        </xdr:sp>
        <xdr:sp macro="" textlink="">
          <xdr:nvSpPr>
            <xdr:cNvPr id="5268" name="Текст 387">
              <a:extLst>
                <a:ext uri="{FF2B5EF4-FFF2-40B4-BE49-F238E27FC236}">
                  <a16:creationId xmlns:a16="http://schemas.microsoft.com/office/drawing/2014/main" id="{00000000-0008-0000-0100-000094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80000" y="52"/>
              <a:ext cx="200000" cy="1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9144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ru-RU" sz="500" b="0" i="0" u="none" strike="noStrike" baseline="0">
                  <a:solidFill>
                    <a:srgbClr val="FF0000"/>
                  </a:solidFill>
                  <a:latin typeface="Georgia"/>
                </a:rPr>
                <a:t>0</a:t>
              </a:r>
            </a:p>
          </xdr:txBody>
        </xdr:sp>
        <xdr:sp macro="" textlink="">
          <xdr:nvSpPr>
            <xdr:cNvPr id="5269" name="Текст 388">
              <a:extLst>
                <a:ext uri="{FF2B5EF4-FFF2-40B4-BE49-F238E27FC236}">
                  <a16:creationId xmlns:a16="http://schemas.microsoft.com/office/drawing/2014/main" id="{00000000-0008-0000-0100-000095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60000" y="141"/>
              <a:ext cx="32000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Garamond"/>
                </a:rPr>
                <a:t>X</a:t>
              </a:r>
            </a:p>
          </xdr:txBody>
        </xdr:sp>
        <xdr:sp macro="" textlink="">
          <xdr:nvSpPr>
            <xdr:cNvPr id="5270" name="Текст 389">
              <a:extLst>
                <a:ext uri="{FF2B5EF4-FFF2-40B4-BE49-F238E27FC236}">
                  <a16:creationId xmlns:a16="http://schemas.microsoft.com/office/drawing/2014/main" id="{00000000-0008-0000-0100-000096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20000" y="150"/>
              <a:ext cx="180000" cy="1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9144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ru-RU" sz="500" b="0" i="0" u="none" strike="noStrike" baseline="0">
                  <a:solidFill>
                    <a:srgbClr val="FF0000"/>
                  </a:solidFill>
                </a:rPr>
                <a:t>0</a:t>
              </a:r>
            </a:p>
          </xdr:txBody>
        </xdr:sp>
        <xdr:sp macro="" textlink="">
          <xdr:nvSpPr>
            <xdr:cNvPr id="5271" name="Текст 390">
              <a:extLst>
                <a:ext uri="{FF2B5EF4-FFF2-40B4-BE49-F238E27FC236}">
                  <a16:creationId xmlns:a16="http://schemas.microsoft.com/office/drawing/2014/main" id="{00000000-0008-0000-0100-000097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00000" y="31"/>
              <a:ext cx="260000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Garamond"/>
                </a:rPr>
                <a:t>y</a:t>
              </a:r>
            </a:p>
          </xdr:txBody>
        </xdr:sp>
        <xdr:sp macro="" textlink="">
          <xdr:nvSpPr>
            <xdr:cNvPr id="5272" name="Текст 391">
              <a:extLst>
                <a:ext uri="{FF2B5EF4-FFF2-40B4-BE49-F238E27FC236}">
                  <a16:creationId xmlns:a16="http://schemas.microsoft.com/office/drawing/2014/main" id="{00000000-0008-0000-0100-000098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80000" y="43"/>
              <a:ext cx="180000" cy="1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9144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ru-RU" sz="500" b="0" i="0" u="none" strike="noStrike" baseline="0">
                  <a:solidFill>
                    <a:srgbClr val="FF0000"/>
                  </a:solidFill>
                </a:rPr>
                <a:t>0</a:t>
              </a:r>
            </a:p>
          </xdr:txBody>
        </xdr:sp>
        <xdr:sp macro="" textlink="">
          <xdr:nvSpPr>
            <xdr:cNvPr id="5273" name="Текст 392">
              <a:extLst>
                <a:ext uri="{FF2B5EF4-FFF2-40B4-BE49-F238E27FC236}">
                  <a16:creationId xmlns:a16="http://schemas.microsoft.com/office/drawing/2014/main" id="{00000000-0008-0000-0100-000099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520000" y="143"/>
              <a:ext cx="300000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Gabamond"/>
                </a:rPr>
                <a:t>y</a:t>
              </a:r>
            </a:p>
          </xdr:txBody>
        </xdr:sp>
        <xdr:sp macro="" textlink="">
          <xdr:nvSpPr>
            <xdr:cNvPr id="5274" name="Текст 393">
              <a:extLst>
                <a:ext uri="{FF2B5EF4-FFF2-40B4-BE49-F238E27FC236}">
                  <a16:creationId xmlns:a16="http://schemas.microsoft.com/office/drawing/2014/main" id="{00000000-0008-0000-0100-00009A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640000" y="154"/>
              <a:ext cx="200000" cy="1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9144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ru-RU" sz="600" b="0" i="0" u="none" strike="noStrike" baseline="0">
                  <a:solidFill>
                    <a:srgbClr val="FF0000"/>
                  </a:solidFill>
                </a:rPr>
                <a:t>0</a:t>
              </a:r>
            </a:p>
          </xdr:txBody>
        </xdr:sp>
        <xdr:sp macro="" textlink="">
          <xdr:nvSpPr>
            <xdr:cNvPr id="5275" name="Текст 394">
              <a:extLst>
                <a:ext uri="{FF2B5EF4-FFF2-40B4-BE49-F238E27FC236}">
                  <a16:creationId xmlns:a16="http://schemas.microsoft.com/office/drawing/2014/main" id="{00000000-0008-0000-0100-00009B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120000" y="14"/>
              <a:ext cx="280000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t</a:t>
              </a:r>
            </a:p>
          </xdr:txBody>
        </xdr:sp>
        <xdr:sp macro="" textlink="">
          <xdr:nvSpPr>
            <xdr:cNvPr id="5276" name="Текст 395">
              <a:extLst>
                <a:ext uri="{FF2B5EF4-FFF2-40B4-BE49-F238E27FC236}">
                  <a16:creationId xmlns:a16="http://schemas.microsoft.com/office/drawing/2014/main" id="{00000000-0008-0000-0100-00009C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120000" y="137"/>
              <a:ext cx="240000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t</a:t>
              </a:r>
            </a:p>
          </xdr:txBody>
        </xdr:sp>
        <xdr:sp macro="" textlink="">
          <xdr:nvSpPr>
            <xdr:cNvPr id="5277" name="Текст 497">
              <a:extLst>
                <a:ext uri="{FF2B5EF4-FFF2-40B4-BE49-F238E27FC236}">
                  <a16:creationId xmlns:a16="http://schemas.microsoft.com/office/drawing/2014/main" id="{00000000-0008-0000-0100-00009D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840000" y="22"/>
              <a:ext cx="340000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y</a:t>
              </a:r>
            </a:p>
          </xdr:txBody>
        </xdr:sp>
        <xdr:sp macro="" textlink="">
          <xdr:nvSpPr>
            <xdr:cNvPr id="5278" name="Текст 498">
              <a:extLst>
                <a:ext uri="{FF2B5EF4-FFF2-40B4-BE49-F238E27FC236}">
                  <a16:creationId xmlns:a16="http://schemas.microsoft.com/office/drawing/2014/main" id="{00000000-0008-0000-0100-00009E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840000" y="150"/>
              <a:ext cx="340000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y</a:t>
              </a:r>
            </a:p>
          </xdr:txBody>
        </xdr:sp>
        <xdr:sp macro="" textlink="">
          <xdr:nvSpPr>
            <xdr:cNvPr id="5279" name="Текст 499">
              <a:extLst>
                <a:ext uri="{FF2B5EF4-FFF2-40B4-BE49-F238E27FC236}">
                  <a16:creationId xmlns:a16="http://schemas.microsoft.com/office/drawing/2014/main" id="{00000000-0008-0000-0100-00009F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20000" y="73"/>
              <a:ext cx="320000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b</a:t>
              </a:r>
            </a:p>
          </xdr:txBody>
        </xdr:sp>
        <xdr:sp macro="" textlink="">
          <xdr:nvSpPr>
            <xdr:cNvPr id="5280" name="Текст 500">
              <a:extLs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920000" y="137"/>
              <a:ext cx="320000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b</a:t>
              </a:r>
            </a:p>
          </xdr:txBody>
        </xdr:sp>
        <xdr:sp macro="" textlink="">
          <xdr:nvSpPr>
            <xdr:cNvPr id="5281" name="Line 161">
              <a:extLs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760000" y="32"/>
              <a:ext cx="0" cy="141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" textlink="">
          <xdr:nvSpPr>
            <xdr:cNvPr id="5282" name="Line 162">
              <a:extLs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0000" y="99"/>
              <a:ext cx="3000000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"/>
              <a:round/>
              <a:headEnd/>
              <a:tailEnd/>
            </a:ln>
          </xdr:spPr>
        </xdr:sp>
        <xdr:sp macro="" textlink="">
          <xdr:nvSpPr>
            <xdr:cNvPr id="5283" name="Line 163">
              <a:extLs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0000" y="40"/>
              <a:ext cx="2320000" cy="116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" textlink="">
          <xdr:nvSpPr>
            <xdr:cNvPr id="5284" name="Line 164">
              <a:extLs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60000" y="48"/>
              <a:ext cx="1940000" cy="97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" textlink="">
          <xdr:nvSpPr>
            <xdr:cNvPr id="5285" name="Line 165">
              <a:extLst>
                <a:ext uri="{FF2B5EF4-FFF2-40B4-BE49-F238E27FC236}">
                  <a16:creationId xmlns:a16="http://schemas.microsoft.com/office/drawing/2014/main" id="{00000000-0008-0000-0100-0000A51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80000" y="134"/>
              <a:ext cx="420000" cy="0"/>
            </a:xfrm>
            <a:prstGeom prst="line">
              <a:avLst/>
            </a:prstGeom>
            <a:noFill/>
            <a:ln w="9525">
              <a:solidFill>
                <a:srgbClr val="333399"/>
              </a:solidFill>
              <a:round/>
              <a:headEnd/>
              <a:tailEnd/>
            </a:ln>
          </xdr:spPr>
        </xdr:sp>
      </xdr:grpSp>
      <xdr:sp macro="" textlink="">
        <xdr:nvSpPr>
          <xdr:cNvPr id="5290" name="Текст 170">
            <a:extLst>
              <a:ext uri="{FF2B5EF4-FFF2-40B4-BE49-F238E27FC236}">
                <a16:creationId xmlns:a16="http://schemas.microsoft.com/office/drawing/2014/main" id="{00000000-0008-0000-0100-0000AA1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" y="15"/>
            <a:ext cx="19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0" u="none" strike="noStrike" baseline="0">
                <a:solidFill>
                  <a:srgbClr val="800000"/>
                </a:solidFill>
                <a:latin typeface="Arial Cyr"/>
                <a:cs typeface="Arial Cyr"/>
              </a:rPr>
              <a:t>1</a:t>
            </a:r>
          </a:p>
        </xdr:txBody>
      </xdr:sp>
    </xdr:grpSp>
    <xdr:clientData fPrintsWithSheet="0"/>
  </xdr:twoCellAnchor>
  <xdr:twoCellAnchor>
    <xdr:from>
      <xdr:col>27</xdr:col>
      <xdr:colOff>38100</xdr:colOff>
      <xdr:row>106</xdr:row>
      <xdr:rowOff>66675</xdr:rowOff>
    </xdr:from>
    <xdr:to>
      <xdr:col>27</xdr:col>
      <xdr:colOff>38100</xdr:colOff>
      <xdr:row>106</xdr:row>
      <xdr:rowOff>133350</xdr:rowOff>
    </xdr:to>
    <xdr:sp macro="" textlink="">
      <xdr:nvSpPr>
        <xdr:cNvPr id="5297" name="Объект 80">
          <a:extLst>
            <a:ext uri="{FF2B5EF4-FFF2-40B4-BE49-F238E27FC236}">
              <a16:creationId xmlns:a16="http://schemas.microsoft.com/office/drawing/2014/main" id="{00000000-0008-0000-0100-0000B1140000}"/>
            </a:ext>
          </a:extLst>
        </xdr:cNvPr>
        <xdr:cNvSpPr>
          <a:spLocks/>
        </xdr:cNvSpPr>
      </xdr:nvSpPr>
      <xdr:spPr bwMode="auto">
        <a:xfrm>
          <a:off x="10467975" y="17811750"/>
          <a:ext cx="0" cy="66675"/>
        </a:xfrm>
        <a:custGeom>
          <a:avLst/>
          <a:gdLst/>
          <a:ahLst/>
          <a:cxnLst>
            <a:cxn ang="0">
              <a:pos x="16384" y="16384"/>
            </a:cxn>
            <a:cxn ang="0">
              <a:pos x="9362" y="16384"/>
            </a:cxn>
            <a:cxn ang="0">
              <a:pos x="9362" y="14043"/>
            </a:cxn>
            <a:cxn ang="0">
              <a:pos x="9362" y="11703"/>
            </a:cxn>
            <a:cxn ang="0">
              <a:pos x="7022" y="11703"/>
            </a:cxn>
            <a:cxn ang="0">
              <a:pos x="4681" y="11703"/>
            </a:cxn>
            <a:cxn ang="0">
              <a:pos x="4681" y="14043"/>
            </a:cxn>
            <a:cxn ang="0">
              <a:pos x="7022" y="14043"/>
            </a:cxn>
            <a:cxn ang="0">
              <a:pos x="7022" y="16384"/>
            </a:cxn>
            <a:cxn ang="0">
              <a:pos x="0" y="16384"/>
            </a:cxn>
            <a:cxn ang="0">
              <a:pos x="0" y="14043"/>
            </a:cxn>
            <a:cxn ang="0">
              <a:pos x="2341" y="14043"/>
            </a:cxn>
            <a:cxn ang="0">
              <a:pos x="2341" y="11703"/>
            </a:cxn>
            <a:cxn ang="0">
              <a:pos x="4681" y="11703"/>
            </a:cxn>
            <a:cxn ang="0">
              <a:pos x="4681" y="9362"/>
            </a:cxn>
            <a:cxn ang="0">
              <a:pos x="7022" y="9362"/>
            </a:cxn>
            <a:cxn ang="0">
              <a:pos x="4681" y="7022"/>
            </a:cxn>
            <a:cxn ang="0">
              <a:pos x="4681" y="4681"/>
            </a:cxn>
            <a:cxn ang="0">
              <a:pos x="2341" y="4681"/>
            </a:cxn>
            <a:cxn ang="0">
              <a:pos x="2341" y="2341"/>
            </a:cxn>
            <a:cxn ang="0">
              <a:pos x="0" y="2341"/>
            </a:cxn>
            <a:cxn ang="0">
              <a:pos x="0" y="0"/>
            </a:cxn>
            <a:cxn ang="0">
              <a:pos x="7022" y="0"/>
            </a:cxn>
            <a:cxn ang="0">
              <a:pos x="7022" y="2341"/>
            </a:cxn>
            <a:cxn ang="0">
              <a:pos x="9362" y="4681"/>
            </a:cxn>
            <a:cxn ang="0">
              <a:pos x="11703" y="4681"/>
            </a:cxn>
            <a:cxn ang="0">
              <a:pos x="11703" y="2341"/>
            </a:cxn>
            <a:cxn ang="0">
              <a:pos x="9362" y="2341"/>
            </a:cxn>
            <a:cxn ang="0">
              <a:pos x="9362" y="0"/>
            </a:cxn>
            <a:cxn ang="0">
              <a:pos x="16384" y="0"/>
            </a:cxn>
            <a:cxn ang="0">
              <a:pos x="16384" y="2341"/>
            </a:cxn>
            <a:cxn ang="0">
              <a:pos x="14043" y="2341"/>
            </a:cxn>
            <a:cxn ang="0">
              <a:pos x="14043" y="4681"/>
            </a:cxn>
            <a:cxn ang="0">
              <a:pos x="11703" y="7022"/>
            </a:cxn>
            <a:cxn ang="0">
              <a:pos x="11703" y="9362"/>
            </a:cxn>
            <a:cxn ang="0">
              <a:pos x="11703" y="11703"/>
            </a:cxn>
            <a:cxn ang="0">
              <a:pos x="14043" y="11703"/>
            </a:cxn>
            <a:cxn ang="0">
              <a:pos x="14043" y="14043"/>
            </a:cxn>
            <a:cxn ang="0">
              <a:pos x="16384" y="14043"/>
            </a:cxn>
            <a:cxn ang="0">
              <a:pos x="16384" y="16384"/>
            </a:cxn>
          </a:cxnLst>
          <a:rect l="0" t="0" r="r" b="b"/>
          <a:pathLst>
            <a:path w="16384" h="16384">
              <a:moveTo>
                <a:pt x="16384" y="16384"/>
              </a:moveTo>
              <a:lnTo>
                <a:pt x="9362" y="16384"/>
              </a:lnTo>
              <a:lnTo>
                <a:pt x="9362" y="14043"/>
              </a:lnTo>
              <a:lnTo>
                <a:pt x="9362" y="11703"/>
              </a:lnTo>
              <a:lnTo>
                <a:pt x="7022" y="11703"/>
              </a:lnTo>
              <a:lnTo>
                <a:pt x="4681" y="11703"/>
              </a:lnTo>
              <a:lnTo>
                <a:pt x="4681" y="14043"/>
              </a:lnTo>
              <a:lnTo>
                <a:pt x="7022" y="14043"/>
              </a:lnTo>
              <a:lnTo>
                <a:pt x="7022" y="16384"/>
              </a:lnTo>
              <a:lnTo>
                <a:pt x="0" y="16384"/>
              </a:lnTo>
              <a:lnTo>
                <a:pt x="0" y="14043"/>
              </a:lnTo>
              <a:lnTo>
                <a:pt x="2341" y="14043"/>
              </a:lnTo>
              <a:lnTo>
                <a:pt x="2341" y="11703"/>
              </a:lnTo>
              <a:lnTo>
                <a:pt x="4681" y="11703"/>
              </a:lnTo>
              <a:lnTo>
                <a:pt x="4681" y="9362"/>
              </a:lnTo>
              <a:lnTo>
                <a:pt x="7022" y="9362"/>
              </a:lnTo>
              <a:lnTo>
                <a:pt x="4681" y="7022"/>
              </a:lnTo>
              <a:lnTo>
                <a:pt x="4681" y="4681"/>
              </a:lnTo>
              <a:lnTo>
                <a:pt x="2341" y="4681"/>
              </a:lnTo>
              <a:lnTo>
                <a:pt x="2341" y="2341"/>
              </a:lnTo>
              <a:lnTo>
                <a:pt x="0" y="2341"/>
              </a:lnTo>
              <a:lnTo>
                <a:pt x="0" y="0"/>
              </a:lnTo>
              <a:lnTo>
                <a:pt x="7022" y="0"/>
              </a:lnTo>
              <a:lnTo>
                <a:pt x="7022" y="2341"/>
              </a:lnTo>
              <a:lnTo>
                <a:pt x="9362" y="4681"/>
              </a:lnTo>
              <a:lnTo>
                <a:pt x="11703" y="4681"/>
              </a:lnTo>
              <a:lnTo>
                <a:pt x="11703" y="2341"/>
              </a:lnTo>
              <a:lnTo>
                <a:pt x="9362" y="2341"/>
              </a:lnTo>
              <a:lnTo>
                <a:pt x="9362" y="0"/>
              </a:lnTo>
              <a:lnTo>
                <a:pt x="16384" y="0"/>
              </a:lnTo>
              <a:lnTo>
                <a:pt x="16384" y="2341"/>
              </a:lnTo>
              <a:lnTo>
                <a:pt x="14043" y="2341"/>
              </a:lnTo>
              <a:lnTo>
                <a:pt x="14043" y="4681"/>
              </a:lnTo>
              <a:lnTo>
                <a:pt x="11703" y="7022"/>
              </a:lnTo>
              <a:lnTo>
                <a:pt x="11703" y="9362"/>
              </a:lnTo>
              <a:lnTo>
                <a:pt x="11703" y="11703"/>
              </a:lnTo>
              <a:lnTo>
                <a:pt x="14043" y="11703"/>
              </a:lnTo>
              <a:lnTo>
                <a:pt x="14043" y="14043"/>
              </a:lnTo>
              <a:lnTo>
                <a:pt x="16384" y="14043"/>
              </a:lnTo>
              <a:lnTo>
                <a:pt x="16384" y="16384"/>
              </a:lnTo>
              <a:close/>
            </a:path>
          </a:pathLst>
        </a:custGeom>
        <a:solidFill>
          <a:srgbClr val="FF6600"/>
        </a:solidFill>
        <a:ln w="1" cap="flat">
          <a:solidFill>
            <a:srgbClr val="FF66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38100</xdr:colOff>
      <xdr:row>106</xdr:row>
      <xdr:rowOff>66675</xdr:rowOff>
    </xdr:from>
    <xdr:to>
      <xdr:col>27</xdr:col>
      <xdr:colOff>38100</xdr:colOff>
      <xdr:row>106</xdr:row>
      <xdr:rowOff>133350</xdr:rowOff>
    </xdr:to>
    <xdr:sp macro="" textlink="">
      <xdr:nvSpPr>
        <xdr:cNvPr id="5298" name="Объект 80">
          <a:extLst>
            <a:ext uri="{FF2B5EF4-FFF2-40B4-BE49-F238E27FC236}">
              <a16:creationId xmlns:a16="http://schemas.microsoft.com/office/drawing/2014/main" id="{00000000-0008-0000-0100-0000B2140000}"/>
            </a:ext>
          </a:extLst>
        </xdr:cNvPr>
        <xdr:cNvSpPr>
          <a:spLocks/>
        </xdr:cNvSpPr>
      </xdr:nvSpPr>
      <xdr:spPr bwMode="auto">
        <a:xfrm>
          <a:off x="10467975" y="17811750"/>
          <a:ext cx="0" cy="66675"/>
        </a:xfrm>
        <a:custGeom>
          <a:avLst/>
          <a:gdLst/>
          <a:ahLst/>
          <a:cxnLst>
            <a:cxn ang="0">
              <a:pos x="16384" y="16384"/>
            </a:cxn>
            <a:cxn ang="0">
              <a:pos x="9362" y="16384"/>
            </a:cxn>
            <a:cxn ang="0">
              <a:pos x="9362" y="14043"/>
            </a:cxn>
            <a:cxn ang="0">
              <a:pos x="9362" y="11703"/>
            </a:cxn>
            <a:cxn ang="0">
              <a:pos x="7022" y="11703"/>
            </a:cxn>
            <a:cxn ang="0">
              <a:pos x="4681" y="11703"/>
            </a:cxn>
            <a:cxn ang="0">
              <a:pos x="4681" y="14043"/>
            </a:cxn>
            <a:cxn ang="0">
              <a:pos x="7022" y="14043"/>
            </a:cxn>
            <a:cxn ang="0">
              <a:pos x="7022" y="16384"/>
            </a:cxn>
            <a:cxn ang="0">
              <a:pos x="0" y="16384"/>
            </a:cxn>
            <a:cxn ang="0">
              <a:pos x="0" y="14043"/>
            </a:cxn>
            <a:cxn ang="0">
              <a:pos x="2341" y="14043"/>
            </a:cxn>
            <a:cxn ang="0">
              <a:pos x="2341" y="11703"/>
            </a:cxn>
            <a:cxn ang="0">
              <a:pos x="4681" y="11703"/>
            </a:cxn>
            <a:cxn ang="0">
              <a:pos x="4681" y="9362"/>
            </a:cxn>
            <a:cxn ang="0">
              <a:pos x="7022" y="9362"/>
            </a:cxn>
            <a:cxn ang="0">
              <a:pos x="4681" y="7022"/>
            </a:cxn>
            <a:cxn ang="0">
              <a:pos x="4681" y="4681"/>
            </a:cxn>
            <a:cxn ang="0">
              <a:pos x="2341" y="4681"/>
            </a:cxn>
            <a:cxn ang="0">
              <a:pos x="2341" y="2341"/>
            </a:cxn>
            <a:cxn ang="0">
              <a:pos x="0" y="2341"/>
            </a:cxn>
            <a:cxn ang="0">
              <a:pos x="0" y="0"/>
            </a:cxn>
            <a:cxn ang="0">
              <a:pos x="7022" y="0"/>
            </a:cxn>
            <a:cxn ang="0">
              <a:pos x="7022" y="2341"/>
            </a:cxn>
            <a:cxn ang="0">
              <a:pos x="9362" y="4681"/>
            </a:cxn>
            <a:cxn ang="0">
              <a:pos x="11703" y="4681"/>
            </a:cxn>
            <a:cxn ang="0">
              <a:pos x="11703" y="2341"/>
            </a:cxn>
            <a:cxn ang="0">
              <a:pos x="9362" y="2341"/>
            </a:cxn>
            <a:cxn ang="0">
              <a:pos x="9362" y="0"/>
            </a:cxn>
            <a:cxn ang="0">
              <a:pos x="16384" y="0"/>
            </a:cxn>
            <a:cxn ang="0">
              <a:pos x="16384" y="2341"/>
            </a:cxn>
            <a:cxn ang="0">
              <a:pos x="14043" y="2341"/>
            </a:cxn>
            <a:cxn ang="0">
              <a:pos x="14043" y="4681"/>
            </a:cxn>
            <a:cxn ang="0">
              <a:pos x="11703" y="7022"/>
            </a:cxn>
            <a:cxn ang="0">
              <a:pos x="11703" y="9362"/>
            </a:cxn>
            <a:cxn ang="0">
              <a:pos x="11703" y="11703"/>
            </a:cxn>
            <a:cxn ang="0">
              <a:pos x="14043" y="11703"/>
            </a:cxn>
            <a:cxn ang="0">
              <a:pos x="14043" y="14043"/>
            </a:cxn>
            <a:cxn ang="0">
              <a:pos x="16384" y="14043"/>
            </a:cxn>
            <a:cxn ang="0">
              <a:pos x="16384" y="16384"/>
            </a:cxn>
          </a:cxnLst>
          <a:rect l="0" t="0" r="r" b="b"/>
          <a:pathLst>
            <a:path w="16384" h="16384">
              <a:moveTo>
                <a:pt x="16384" y="16384"/>
              </a:moveTo>
              <a:lnTo>
                <a:pt x="9362" y="16384"/>
              </a:lnTo>
              <a:lnTo>
                <a:pt x="9362" y="14043"/>
              </a:lnTo>
              <a:lnTo>
                <a:pt x="9362" y="11703"/>
              </a:lnTo>
              <a:lnTo>
                <a:pt x="7022" y="11703"/>
              </a:lnTo>
              <a:lnTo>
                <a:pt x="4681" y="11703"/>
              </a:lnTo>
              <a:lnTo>
                <a:pt x="4681" y="14043"/>
              </a:lnTo>
              <a:lnTo>
                <a:pt x="7022" y="14043"/>
              </a:lnTo>
              <a:lnTo>
                <a:pt x="7022" y="16384"/>
              </a:lnTo>
              <a:lnTo>
                <a:pt x="0" y="16384"/>
              </a:lnTo>
              <a:lnTo>
                <a:pt x="0" y="14043"/>
              </a:lnTo>
              <a:lnTo>
                <a:pt x="2341" y="14043"/>
              </a:lnTo>
              <a:lnTo>
                <a:pt x="2341" y="11703"/>
              </a:lnTo>
              <a:lnTo>
                <a:pt x="4681" y="11703"/>
              </a:lnTo>
              <a:lnTo>
                <a:pt x="4681" y="9362"/>
              </a:lnTo>
              <a:lnTo>
                <a:pt x="7022" y="9362"/>
              </a:lnTo>
              <a:lnTo>
                <a:pt x="4681" y="7022"/>
              </a:lnTo>
              <a:lnTo>
                <a:pt x="4681" y="4681"/>
              </a:lnTo>
              <a:lnTo>
                <a:pt x="2341" y="4681"/>
              </a:lnTo>
              <a:lnTo>
                <a:pt x="2341" y="2341"/>
              </a:lnTo>
              <a:lnTo>
                <a:pt x="0" y="2341"/>
              </a:lnTo>
              <a:lnTo>
                <a:pt x="0" y="0"/>
              </a:lnTo>
              <a:lnTo>
                <a:pt x="7022" y="0"/>
              </a:lnTo>
              <a:lnTo>
                <a:pt x="7022" y="2341"/>
              </a:lnTo>
              <a:lnTo>
                <a:pt x="9362" y="4681"/>
              </a:lnTo>
              <a:lnTo>
                <a:pt x="11703" y="4681"/>
              </a:lnTo>
              <a:lnTo>
                <a:pt x="11703" y="2341"/>
              </a:lnTo>
              <a:lnTo>
                <a:pt x="9362" y="2341"/>
              </a:lnTo>
              <a:lnTo>
                <a:pt x="9362" y="0"/>
              </a:lnTo>
              <a:lnTo>
                <a:pt x="16384" y="0"/>
              </a:lnTo>
              <a:lnTo>
                <a:pt x="16384" y="2341"/>
              </a:lnTo>
              <a:lnTo>
                <a:pt x="14043" y="2341"/>
              </a:lnTo>
              <a:lnTo>
                <a:pt x="14043" y="4681"/>
              </a:lnTo>
              <a:lnTo>
                <a:pt x="11703" y="7022"/>
              </a:lnTo>
              <a:lnTo>
                <a:pt x="11703" y="9362"/>
              </a:lnTo>
              <a:lnTo>
                <a:pt x="11703" y="11703"/>
              </a:lnTo>
              <a:lnTo>
                <a:pt x="14043" y="11703"/>
              </a:lnTo>
              <a:lnTo>
                <a:pt x="14043" y="14043"/>
              </a:lnTo>
              <a:lnTo>
                <a:pt x="16384" y="14043"/>
              </a:lnTo>
              <a:lnTo>
                <a:pt x="16384" y="16384"/>
              </a:lnTo>
              <a:close/>
            </a:path>
          </a:pathLst>
        </a:custGeom>
        <a:solidFill>
          <a:srgbClr val="FF6600"/>
        </a:solidFill>
        <a:ln w="1" cap="flat">
          <a:solidFill>
            <a:srgbClr val="FF66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38100</xdr:colOff>
      <xdr:row>106</xdr:row>
      <xdr:rowOff>66675</xdr:rowOff>
    </xdr:from>
    <xdr:to>
      <xdr:col>27</xdr:col>
      <xdr:colOff>38100</xdr:colOff>
      <xdr:row>106</xdr:row>
      <xdr:rowOff>133350</xdr:rowOff>
    </xdr:to>
    <xdr:sp macro="" textlink="">
      <xdr:nvSpPr>
        <xdr:cNvPr id="5299" name="Объект 80">
          <a:extLst>
            <a:ext uri="{FF2B5EF4-FFF2-40B4-BE49-F238E27FC236}">
              <a16:creationId xmlns:a16="http://schemas.microsoft.com/office/drawing/2014/main" id="{00000000-0008-0000-0100-0000B3140000}"/>
            </a:ext>
          </a:extLst>
        </xdr:cNvPr>
        <xdr:cNvSpPr>
          <a:spLocks/>
        </xdr:cNvSpPr>
      </xdr:nvSpPr>
      <xdr:spPr bwMode="auto">
        <a:xfrm>
          <a:off x="10467975" y="17811750"/>
          <a:ext cx="0" cy="66675"/>
        </a:xfrm>
        <a:custGeom>
          <a:avLst/>
          <a:gdLst/>
          <a:ahLst/>
          <a:cxnLst>
            <a:cxn ang="0">
              <a:pos x="16384" y="16384"/>
            </a:cxn>
            <a:cxn ang="0">
              <a:pos x="9362" y="16384"/>
            </a:cxn>
            <a:cxn ang="0">
              <a:pos x="9362" y="14043"/>
            </a:cxn>
            <a:cxn ang="0">
              <a:pos x="9362" y="11703"/>
            </a:cxn>
            <a:cxn ang="0">
              <a:pos x="7022" y="11703"/>
            </a:cxn>
            <a:cxn ang="0">
              <a:pos x="4681" y="11703"/>
            </a:cxn>
            <a:cxn ang="0">
              <a:pos x="4681" y="14043"/>
            </a:cxn>
            <a:cxn ang="0">
              <a:pos x="7022" y="14043"/>
            </a:cxn>
            <a:cxn ang="0">
              <a:pos x="7022" y="16384"/>
            </a:cxn>
            <a:cxn ang="0">
              <a:pos x="0" y="16384"/>
            </a:cxn>
            <a:cxn ang="0">
              <a:pos x="0" y="14043"/>
            </a:cxn>
            <a:cxn ang="0">
              <a:pos x="2341" y="14043"/>
            </a:cxn>
            <a:cxn ang="0">
              <a:pos x="2341" y="11703"/>
            </a:cxn>
            <a:cxn ang="0">
              <a:pos x="4681" y="11703"/>
            </a:cxn>
            <a:cxn ang="0">
              <a:pos x="4681" y="9362"/>
            </a:cxn>
            <a:cxn ang="0">
              <a:pos x="7022" y="9362"/>
            </a:cxn>
            <a:cxn ang="0">
              <a:pos x="4681" y="7022"/>
            </a:cxn>
            <a:cxn ang="0">
              <a:pos x="4681" y="4681"/>
            </a:cxn>
            <a:cxn ang="0">
              <a:pos x="2341" y="4681"/>
            </a:cxn>
            <a:cxn ang="0">
              <a:pos x="2341" y="2341"/>
            </a:cxn>
            <a:cxn ang="0">
              <a:pos x="0" y="2341"/>
            </a:cxn>
            <a:cxn ang="0">
              <a:pos x="0" y="0"/>
            </a:cxn>
            <a:cxn ang="0">
              <a:pos x="7022" y="0"/>
            </a:cxn>
            <a:cxn ang="0">
              <a:pos x="7022" y="2341"/>
            </a:cxn>
            <a:cxn ang="0">
              <a:pos x="9362" y="4681"/>
            </a:cxn>
            <a:cxn ang="0">
              <a:pos x="11703" y="4681"/>
            </a:cxn>
            <a:cxn ang="0">
              <a:pos x="11703" y="2341"/>
            </a:cxn>
            <a:cxn ang="0">
              <a:pos x="9362" y="2341"/>
            </a:cxn>
            <a:cxn ang="0">
              <a:pos x="9362" y="0"/>
            </a:cxn>
            <a:cxn ang="0">
              <a:pos x="16384" y="0"/>
            </a:cxn>
            <a:cxn ang="0">
              <a:pos x="16384" y="2341"/>
            </a:cxn>
            <a:cxn ang="0">
              <a:pos x="14043" y="2341"/>
            </a:cxn>
            <a:cxn ang="0">
              <a:pos x="14043" y="4681"/>
            </a:cxn>
            <a:cxn ang="0">
              <a:pos x="11703" y="7022"/>
            </a:cxn>
            <a:cxn ang="0">
              <a:pos x="11703" y="9362"/>
            </a:cxn>
            <a:cxn ang="0">
              <a:pos x="11703" y="11703"/>
            </a:cxn>
            <a:cxn ang="0">
              <a:pos x="14043" y="11703"/>
            </a:cxn>
            <a:cxn ang="0">
              <a:pos x="14043" y="14043"/>
            </a:cxn>
            <a:cxn ang="0">
              <a:pos x="16384" y="14043"/>
            </a:cxn>
            <a:cxn ang="0">
              <a:pos x="16384" y="16384"/>
            </a:cxn>
          </a:cxnLst>
          <a:rect l="0" t="0" r="r" b="b"/>
          <a:pathLst>
            <a:path w="16384" h="16384">
              <a:moveTo>
                <a:pt x="16384" y="16384"/>
              </a:moveTo>
              <a:lnTo>
                <a:pt x="9362" y="16384"/>
              </a:lnTo>
              <a:lnTo>
                <a:pt x="9362" y="14043"/>
              </a:lnTo>
              <a:lnTo>
                <a:pt x="9362" y="11703"/>
              </a:lnTo>
              <a:lnTo>
                <a:pt x="7022" y="11703"/>
              </a:lnTo>
              <a:lnTo>
                <a:pt x="4681" y="11703"/>
              </a:lnTo>
              <a:lnTo>
                <a:pt x="4681" y="14043"/>
              </a:lnTo>
              <a:lnTo>
                <a:pt x="7022" y="14043"/>
              </a:lnTo>
              <a:lnTo>
                <a:pt x="7022" y="16384"/>
              </a:lnTo>
              <a:lnTo>
                <a:pt x="0" y="16384"/>
              </a:lnTo>
              <a:lnTo>
                <a:pt x="0" y="14043"/>
              </a:lnTo>
              <a:lnTo>
                <a:pt x="2341" y="14043"/>
              </a:lnTo>
              <a:lnTo>
                <a:pt x="2341" y="11703"/>
              </a:lnTo>
              <a:lnTo>
                <a:pt x="4681" y="11703"/>
              </a:lnTo>
              <a:lnTo>
                <a:pt x="4681" y="9362"/>
              </a:lnTo>
              <a:lnTo>
                <a:pt x="7022" y="9362"/>
              </a:lnTo>
              <a:lnTo>
                <a:pt x="4681" y="7022"/>
              </a:lnTo>
              <a:lnTo>
                <a:pt x="4681" y="4681"/>
              </a:lnTo>
              <a:lnTo>
                <a:pt x="2341" y="4681"/>
              </a:lnTo>
              <a:lnTo>
                <a:pt x="2341" y="2341"/>
              </a:lnTo>
              <a:lnTo>
                <a:pt x="0" y="2341"/>
              </a:lnTo>
              <a:lnTo>
                <a:pt x="0" y="0"/>
              </a:lnTo>
              <a:lnTo>
                <a:pt x="7022" y="0"/>
              </a:lnTo>
              <a:lnTo>
                <a:pt x="7022" y="2341"/>
              </a:lnTo>
              <a:lnTo>
                <a:pt x="9362" y="4681"/>
              </a:lnTo>
              <a:lnTo>
                <a:pt x="11703" y="4681"/>
              </a:lnTo>
              <a:lnTo>
                <a:pt x="11703" y="2341"/>
              </a:lnTo>
              <a:lnTo>
                <a:pt x="9362" y="2341"/>
              </a:lnTo>
              <a:lnTo>
                <a:pt x="9362" y="0"/>
              </a:lnTo>
              <a:lnTo>
                <a:pt x="16384" y="0"/>
              </a:lnTo>
              <a:lnTo>
                <a:pt x="16384" y="2341"/>
              </a:lnTo>
              <a:lnTo>
                <a:pt x="14043" y="2341"/>
              </a:lnTo>
              <a:lnTo>
                <a:pt x="14043" y="4681"/>
              </a:lnTo>
              <a:lnTo>
                <a:pt x="11703" y="7022"/>
              </a:lnTo>
              <a:lnTo>
                <a:pt x="11703" y="9362"/>
              </a:lnTo>
              <a:lnTo>
                <a:pt x="11703" y="11703"/>
              </a:lnTo>
              <a:lnTo>
                <a:pt x="14043" y="11703"/>
              </a:lnTo>
              <a:lnTo>
                <a:pt x="14043" y="14043"/>
              </a:lnTo>
              <a:lnTo>
                <a:pt x="16384" y="14043"/>
              </a:lnTo>
              <a:lnTo>
                <a:pt x="16384" y="16384"/>
              </a:lnTo>
              <a:close/>
            </a:path>
          </a:pathLst>
        </a:custGeom>
        <a:solidFill>
          <a:srgbClr val="FF6600"/>
        </a:solidFill>
        <a:ln w="1" cap="flat">
          <a:solidFill>
            <a:srgbClr val="FF66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27</xdr:col>
      <xdr:colOff>38100</xdr:colOff>
      <xdr:row>106</xdr:row>
      <xdr:rowOff>66675</xdr:rowOff>
    </xdr:from>
    <xdr:to>
      <xdr:col>27</xdr:col>
      <xdr:colOff>38100</xdr:colOff>
      <xdr:row>106</xdr:row>
      <xdr:rowOff>133350</xdr:rowOff>
    </xdr:to>
    <xdr:sp macro="" textlink="">
      <xdr:nvSpPr>
        <xdr:cNvPr id="5300" name="Объект 80">
          <a:extLst>
            <a:ext uri="{FF2B5EF4-FFF2-40B4-BE49-F238E27FC236}">
              <a16:creationId xmlns:a16="http://schemas.microsoft.com/office/drawing/2014/main" id="{00000000-0008-0000-0100-0000B4140000}"/>
            </a:ext>
          </a:extLst>
        </xdr:cNvPr>
        <xdr:cNvSpPr>
          <a:spLocks/>
        </xdr:cNvSpPr>
      </xdr:nvSpPr>
      <xdr:spPr bwMode="auto">
        <a:xfrm>
          <a:off x="10467975" y="17811750"/>
          <a:ext cx="0" cy="66675"/>
        </a:xfrm>
        <a:custGeom>
          <a:avLst/>
          <a:gdLst/>
          <a:ahLst/>
          <a:cxnLst>
            <a:cxn ang="0">
              <a:pos x="16384" y="16384"/>
            </a:cxn>
            <a:cxn ang="0">
              <a:pos x="9362" y="16384"/>
            </a:cxn>
            <a:cxn ang="0">
              <a:pos x="9362" y="14043"/>
            </a:cxn>
            <a:cxn ang="0">
              <a:pos x="9362" y="11703"/>
            </a:cxn>
            <a:cxn ang="0">
              <a:pos x="7022" y="11703"/>
            </a:cxn>
            <a:cxn ang="0">
              <a:pos x="4681" y="11703"/>
            </a:cxn>
            <a:cxn ang="0">
              <a:pos x="4681" y="14043"/>
            </a:cxn>
            <a:cxn ang="0">
              <a:pos x="7022" y="14043"/>
            </a:cxn>
            <a:cxn ang="0">
              <a:pos x="7022" y="16384"/>
            </a:cxn>
            <a:cxn ang="0">
              <a:pos x="0" y="16384"/>
            </a:cxn>
            <a:cxn ang="0">
              <a:pos x="0" y="14043"/>
            </a:cxn>
            <a:cxn ang="0">
              <a:pos x="2341" y="14043"/>
            </a:cxn>
            <a:cxn ang="0">
              <a:pos x="2341" y="11703"/>
            </a:cxn>
            <a:cxn ang="0">
              <a:pos x="4681" y="11703"/>
            </a:cxn>
            <a:cxn ang="0">
              <a:pos x="4681" y="9362"/>
            </a:cxn>
            <a:cxn ang="0">
              <a:pos x="7022" y="9362"/>
            </a:cxn>
            <a:cxn ang="0">
              <a:pos x="4681" y="7022"/>
            </a:cxn>
            <a:cxn ang="0">
              <a:pos x="4681" y="4681"/>
            </a:cxn>
            <a:cxn ang="0">
              <a:pos x="2341" y="4681"/>
            </a:cxn>
            <a:cxn ang="0">
              <a:pos x="2341" y="2341"/>
            </a:cxn>
            <a:cxn ang="0">
              <a:pos x="0" y="2341"/>
            </a:cxn>
            <a:cxn ang="0">
              <a:pos x="0" y="0"/>
            </a:cxn>
            <a:cxn ang="0">
              <a:pos x="7022" y="0"/>
            </a:cxn>
            <a:cxn ang="0">
              <a:pos x="7022" y="2341"/>
            </a:cxn>
            <a:cxn ang="0">
              <a:pos x="9362" y="4681"/>
            </a:cxn>
            <a:cxn ang="0">
              <a:pos x="11703" y="4681"/>
            </a:cxn>
            <a:cxn ang="0">
              <a:pos x="11703" y="2341"/>
            </a:cxn>
            <a:cxn ang="0">
              <a:pos x="9362" y="2341"/>
            </a:cxn>
            <a:cxn ang="0">
              <a:pos x="9362" y="0"/>
            </a:cxn>
            <a:cxn ang="0">
              <a:pos x="16384" y="0"/>
            </a:cxn>
            <a:cxn ang="0">
              <a:pos x="16384" y="2341"/>
            </a:cxn>
            <a:cxn ang="0">
              <a:pos x="14043" y="2341"/>
            </a:cxn>
            <a:cxn ang="0">
              <a:pos x="14043" y="4681"/>
            </a:cxn>
            <a:cxn ang="0">
              <a:pos x="11703" y="7022"/>
            </a:cxn>
            <a:cxn ang="0">
              <a:pos x="11703" y="9362"/>
            </a:cxn>
            <a:cxn ang="0">
              <a:pos x="11703" y="11703"/>
            </a:cxn>
            <a:cxn ang="0">
              <a:pos x="14043" y="11703"/>
            </a:cxn>
            <a:cxn ang="0">
              <a:pos x="14043" y="14043"/>
            </a:cxn>
            <a:cxn ang="0">
              <a:pos x="16384" y="14043"/>
            </a:cxn>
            <a:cxn ang="0">
              <a:pos x="16384" y="16384"/>
            </a:cxn>
          </a:cxnLst>
          <a:rect l="0" t="0" r="r" b="b"/>
          <a:pathLst>
            <a:path w="16384" h="16384">
              <a:moveTo>
                <a:pt x="16384" y="16384"/>
              </a:moveTo>
              <a:lnTo>
                <a:pt x="9362" y="16384"/>
              </a:lnTo>
              <a:lnTo>
                <a:pt x="9362" y="14043"/>
              </a:lnTo>
              <a:lnTo>
                <a:pt x="9362" y="11703"/>
              </a:lnTo>
              <a:lnTo>
                <a:pt x="7022" y="11703"/>
              </a:lnTo>
              <a:lnTo>
                <a:pt x="4681" y="11703"/>
              </a:lnTo>
              <a:lnTo>
                <a:pt x="4681" y="14043"/>
              </a:lnTo>
              <a:lnTo>
                <a:pt x="7022" y="14043"/>
              </a:lnTo>
              <a:lnTo>
                <a:pt x="7022" y="16384"/>
              </a:lnTo>
              <a:lnTo>
                <a:pt x="0" y="16384"/>
              </a:lnTo>
              <a:lnTo>
                <a:pt x="0" y="14043"/>
              </a:lnTo>
              <a:lnTo>
                <a:pt x="2341" y="14043"/>
              </a:lnTo>
              <a:lnTo>
                <a:pt x="2341" y="11703"/>
              </a:lnTo>
              <a:lnTo>
                <a:pt x="4681" y="11703"/>
              </a:lnTo>
              <a:lnTo>
                <a:pt x="4681" y="9362"/>
              </a:lnTo>
              <a:lnTo>
                <a:pt x="7022" y="9362"/>
              </a:lnTo>
              <a:lnTo>
                <a:pt x="4681" y="7022"/>
              </a:lnTo>
              <a:lnTo>
                <a:pt x="4681" y="4681"/>
              </a:lnTo>
              <a:lnTo>
                <a:pt x="2341" y="4681"/>
              </a:lnTo>
              <a:lnTo>
                <a:pt x="2341" y="2341"/>
              </a:lnTo>
              <a:lnTo>
                <a:pt x="0" y="2341"/>
              </a:lnTo>
              <a:lnTo>
                <a:pt x="0" y="0"/>
              </a:lnTo>
              <a:lnTo>
                <a:pt x="7022" y="0"/>
              </a:lnTo>
              <a:lnTo>
                <a:pt x="7022" y="2341"/>
              </a:lnTo>
              <a:lnTo>
                <a:pt x="9362" y="4681"/>
              </a:lnTo>
              <a:lnTo>
                <a:pt x="11703" y="4681"/>
              </a:lnTo>
              <a:lnTo>
                <a:pt x="11703" y="2341"/>
              </a:lnTo>
              <a:lnTo>
                <a:pt x="9362" y="2341"/>
              </a:lnTo>
              <a:lnTo>
                <a:pt x="9362" y="0"/>
              </a:lnTo>
              <a:lnTo>
                <a:pt x="16384" y="0"/>
              </a:lnTo>
              <a:lnTo>
                <a:pt x="16384" y="2341"/>
              </a:lnTo>
              <a:lnTo>
                <a:pt x="14043" y="2341"/>
              </a:lnTo>
              <a:lnTo>
                <a:pt x="14043" y="4681"/>
              </a:lnTo>
              <a:lnTo>
                <a:pt x="11703" y="7022"/>
              </a:lnTo>
              <a:lnTo>
                <a:pt x="11703" y="9362"/>
              </a:lnTo>
              <a:lnTo>
                <a:pt x="11703" y="11703"/>
              </a:lnTo>
              <a:lnTo>
                <a:pt x="14043" y="11703"/>
              </a:lnTo>
              <a:lnTo>
                <a:pt x="14043" y="14043"/>
              </a:lnTo>
              <a:lnTo>
                <a:pt x="16384" y="14043"/>
              </a:lnTo>
              <a:lnTo>
                <a:pt x="16384" y="16384"/>
              </a:lnTo>
              <a:close/>
            </a:path>
          </a:pathLst>
        </a:custGeom>
        <a:solidFill>
          <a:srgbClr val="FF6600"/>
        </a:solidFill>
        <a:ln w="1" cap="flat">
          <a:solidFill>
            <a:srgbClr val="FF6600"/>
          </a:solidFill>
          <a:prstDash val="solid"/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1</xdr:row>
          <xdr:rowOff>38100</xdr:rowOff>
        </xdr:from>
        <xdr:to>
          <xdr:col>11</xdr:col>
          <xdr:colOff>209550</xdr:colOff>
          <xdr:row>5</xdr:row>
          <xdr:rowOff>95250</xdr:rowOff>
        </xdr:to>
        <xdr:sp macro="" textlink="">
          <xdr:nvSpPr>
            <xdr:cNvPr id="5125" name="List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133350</xdr:rowOff>
        </xdr:from>
        <xdr:to>
          <xdr:col>13</xdr:col>
          <xdr:colOff>209550</xdr:colOff>
          <xdr:row>4</xdr:row>
          <xdr:rowOff>19050</xdr:rowOff>
        </xdr:to>
        <xdr:sp macro="" textlink="">
          <xdr:nvSpPr>
            <xdr:cNvPr id="5149" name="Drop Dow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</xdr:row>
          <xdr:rowOff>57150</xdr:rowOff>
        </xdr:from>
        <xdr:to>
          <xdr:col>17</xdr:col>
          <xdr:colOff>104775</xdr:colOff>
          <xdr:row>2</xdr:row>
          <xdr:rowOff>76200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19050</xdr:rowOff>
        </xdr:from>
        <xdr:to>
          <xdr:col>14</xdr:col>
          <xdr:colOff>247650</xdr:colOff>
          <xdr:row>0</xdr:row>
          <xdr:rowOff>171450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0</xdr:row>
      <xdr:rowOff>209550</xdr:rowOff>
    </xdr:from>
    <xdr:to>
      <xdr:col>17</xdr:col>
      <xdr:colOff>304800</xdr:colOff>
      <xdr:row>6</xdr:row>
      <xdr:rowOff>133350</xdr:rowOff>
    </xdr:to>
    <xdr:grpSp>
      <xdr:nvGrpSpPr>
        <xdr:cNvPr id="6334" name="Group 190">
          <a:extLst>
            <a:ext uri="{FF2B5EF4-FFF2-40B4-BE49-F238E27FC236}">
              <a16:creationId xmlns:a16="http://schemas.microsoft.com/office/drawing/2014/main" id="{00000000-0008-0000-0300-0000BE180000}"/>
            </a:ext>
          </a:extLst>
        </xdr:cNvPr>
        <xdr:cNvGrpSpPr>
          <a:grpSpLocks/>
        </xdr:cNvGrpSpPr>
      </xdr:nvGrpSpPr>
      <xdr:grpSpPr bwMode="auto">
        <a:xfrm>
          <a:off x="4486275" y="209550"/>
          <a:ext cx="3143250" cy="1047750"/>
          <a:chOff x="471" y="22"/>
          <a:chExt cx="330" cy="110"/>
        </a:xfrm>
      </xdr:grpSpPr>
      <xdr:sp macro="" textlink="">
        <xdr:nvSpPr>
          <xdr:cNvPr id="6332" name="Rectangle 188">
            <a:extLst>
              <a:ext uri="{FF2B5EF4-FFF2-40B4-BE49-F238E27FC236}">
                <a16:creationId xmlns:a16="http://schemas.microsoft.com/office/drawing/2014/main" id="{00000000-0008-0000-0300-0000BC180000}"/>
              </a:ext>
            </a:extLst>
          </xdr:cNvPr>
          <xdr:cNvSpPr>
            <a:spLocks noChangeArrowheads="1"/>
          </xdr:cNvSpPr>
        </xdr:nvSpPr>
        <xdr:spPr bwMode="auto">
          <a:xfrm>
            <a:off x="471" y="22"/>
            <a:ext cx="330" cy="110"/>
          </a:xfrm>
          <a:prstGeom prst="rect">
            <a:avLst/>
          </a:prstGeom>
          <a:gradFill rotWithShape="0">
            <a:gsLst>
              <a:gs pos="0">
                <a:srgbClr val="008000"/>
              </a:gs>
              <a:gs pos="50000">
                <a:srgbClr val="008000">
                  <a:gamma/>
                  <a:tint val="18824"/>
                  <a:invGamma/>
                </a:srgbClr>
              </a:gs>
              <a:gs pos="100000">
                <a:srgbClr val="008000"/>
              </a:gs>
            </a:gsLst>
            <a:lin ang="540000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 editAs="oneCell">
    <xdr:from>
      <xdr:col>0</xdr:col>
      <xdr:colOff>76200</xdr:colOff>
      <xdr:row>0</xdr:row>
      <xdr:rowOff>47625</xdr:rowOff>
    </xdr:from>
    <xdr:to>
      <xdr:col>2</xdr:col>
      <xdr:colOff>504825</xdr:colOff>
      <xdr:row>10</xdr:row>
      <xdr:rowOff>57150</xdr:rowOff>
    </xdr:to>
    <xdr:grpSp>
      <xdr:nvGrpSpPr>
        <xdr:cNvPr id="6327" name="Group 183">
          <a:extLst>
            <a:ext uri="{FF2B5EF4-FFF2-40B4-BE49-F238E27FC236}">
              <a16:creationId xmlns:a16="http://schemas.microsoft.com/office/drawing/2014/main" id="{00000000-0008-0000-0300-0000B7180000}"/>
            </a:ext>
          </a:extLst>
        </xdr:cNvPr>
        <xdr:cNvGrpSpPr>
          <a:grpSpLocks/>
        </xdr:cNvGrpSpPr>
      </xdr:nvGrpSpPr>
      <xdr:grpSpPr bwMode="auto">
        <a:xfrm>
          <a:off x="76200" y="47625"/>
          <a:ext cx="1733550" cy="2162175"/>
          <a:chOff x="-10080" y="-186"/>
          <a:chExt cx="29120" cy="2043"/>
        </a:xfrm>
      </xdr:grpSpPr>
      <xdr:grpSp>
        <xdr:nvGrpSpPr>
          <xdr:cNvPr id="6322" name="Group 178">
            <a:extLst>
              <a:ext uri="{FF2B5EF4-FFF2-40B4-BE49-F238E27FC236}">
                <a16:creationId xmlns:a16="http://schemas.microsoft.com/office/drawing/2014/main" id="{00000000-0008-0000-0300-0000B2180000}"/>
              </a:ext>
            </a:extLst>
          </xdr:cNvPr>
          <xdr:cNvGrpSpPr>
            <a:grpSpLocks/>
          </xdr:cNvGrpSpPr>
        </xdr:nvGrpSpPr>
        <xdr:grpSpPr bwMode="auto">
          <a:xfrm>
            <a:off x="-10080" y="-186"/>
            <a:ext cx="29120" cy="2043"/>
            <a:chOff x="160000" y="100000"/>
            <a:chExt cx="3640000" cy="4540000"/>
          </a:xfrm>
        </xdr:grpSpPr>
        <xdr:sp macro="" textlink="">
          <xdr:nvSpPr>
            <xdr:cNvPr id="6321" name="Rectangle 177">
              <a:extLst>
                <a:ext uri="{FF2B5EF4-FFF2-40B4-BE49-F238E27FC236}">
                  <a16:creationId xmlns:a16="http://schemas.microsoft.com/office/drawing/2014/main" id="{00000000-0008-0000-0300-0000B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000" y="100000"/>
              <a:ext cx="3640000" cy="4540000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320" name="Group 176">
              <a:extLst>
                <a:ext uri="{FF2B5EF4-FFF2-40B4-BE49-F238E27FC236}">
                  <a16:creationId xmlns:a16="http://schemas.microsoft.com/office/drawing/2014/main" id="{00000000-0008-0000-0300-0000B01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00000" y="140000"/>
              <a:ext cx="3460000" cy="4400000"/>
              <a:chOff x="300000" y="140000"/>
              <a:chExt cx="3460000" cy="4400000"/>
            </a:xfrm>
          </xdr:grpSpPr>
          <xdr:sp macro="" textlink="">
            <xdr:nvSpPr>
              <xdr:cNvPr id="6241" name="Объект 2">
                <a:extLst>
                  <a:ext uri="{FF2B5EF4-FFF2-40B4-BE49-F238E27FC236}">
                    <a16:creationId xmlns:a16="http://schemas.microsoft.com/office/drawing/2014/main" id="{00000000-0008-0000-0300-000061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1060000"/>
                <a:ext cx="1980000" cy="2660000"/>
              </a:xfrm>
              <a:custGeom>
                <a:avLst/>
                <a:gdLst/>
                <a:ahLst/>
                <a:cxnLst>
                  <a:cxn ang="0">
                    <a:pos x="14901" y="15088"/>
                  </a:cxn>
                  <a:cxn ang="0">
                    <a:pos x="15329" y="15088"/>
                  </a:cxn>
                  <a:cxn ang="0">
                    <a:pos x="15626" y="15154"/>
                  </a:cxn>
                  <a:cxn ang="0">
                    <a:pos x="15758" y="15176"/>
                  </a:cxn>
                  <a:cxn ang="0">
                    <a:pos x="15890" y="15242"/>
                  </a:cxn>
                  <a:cxn ang="0">
                    <a:pos x="15955" y="15264"/>
                  </a:cxn>
                  <a:cxn ang="0">
                    <a:pos x="16054" y="15352"/>
                  </a:cxn>
                  <a:cxn ang="0">
                    <a:pos x="16219" y="15527"/>
                  </a:cxn>
                  <a:cxn ang="0">
                    <a:pos x="16285" y="15747"/>
                  </a:cxn>
                  <a:cxn ang="0">
                    <a:pos x="16351" y="16033"/>
                  </a:cxn>
                  <a:cxn ang="0">
                    <a:pos x="16384" y="16384"/>
                  </a:cxn>
                  <a:cxn ang="0">
                    <a:pos x="0" y="16384"/>
                  </a:cxn>
                  <a:cxn ang="0">
                    <a:pos x="0" y="0"/>
                  </a:cxn>
                  <a:cxn ang="0">
                    <a:pos x="363" y="22"/>
                  </a:cxn>
                  <a:cxn ang="0">
                    <a:pos x="725" y="88"/>
                  </a:cxn>
                  <a:cxn ang="0">
                    <a:pos x="1055" y="220"/>
                  </a:cxn>
                  <a:cxn ang="0">
                    <a:pos x="1418" y="395"/>
                  </a:cxn>
                  <a:cxn ang="0">
                    <a:pos x="1549" y="505"/>
                  </a:cxn>
                  <a:cxn ang="0">
                    <a:pos x="1648" y="615"/>
                  </a:cxn>
                  <a:cxn ang="0">
                    <a:pos x="1780" y="725"/>
                  </a:cxn>
                  <a:cxn ang="0">
                    <a:pos x="1879" y="857"/>
                  </a:cxn>
                  <a:cxn ang="0">
                    <a:pos x="1945" y="1010"/>
                  </a:cxn>
                  <a:cxn ang="0">
                    <a:pos x="2044" y="1186"/>
                  </a:cxn>
                  <a:cxn ang="0">
                    <a:pos x="2077" y="1340"/>
                  </a:cxn>
                  <a:cxn ang="0">
                    <a:pos x="2110" y="1537"/>
                  </a:cxn>
                  <a:cxn ang="0">
                    <a:pos x="2110" y="13836"/>
                  </a:cxn>
                  <a:cxn ang="0">
                    <a:pos x="2110" y="14188"/>
                  </a:cxn>
                  <a:cxn ang="0">
                    <a:pos x="2209" y="14473"/>
                  </a:cxn>
                  <a:cxn ang="0">
                    <a:pos x="2341" y="14671"/>
                  </a:cxn>
                  <a:cxn ang="0">
                    <a:pos x="2505" y="14847"/>
                  </a:cxn>
                  <a:cxn ang="0">
                    <a:pos x="2703" y="14956"/>
                  </a:cxn>
                  <a:cxn ang="0">
                    <a:pos x="2967" y="15044"/>
                  </a:cxn>
                  <a:cxn ang="0">
                    <a:pos x="3264" y="15066"/>
                  </a:cxn>
                  <a:cxn ang="0">
                    <a:pos x="3593" y="15088"/>
                  </a:cxn>
                  <a:cxn ang="0">
                    <a:pos x="14901" y="15088"/>
                  </a:cxn>
                </a:cxnLst>
                <a:rect l="0" t="0" r="r" b="b"/>
                <a:pathLst>
                  <a:path w="16384" h="16384">
                    <a:moveTo>
                      <a:pt x="14901" y="15088"/>
                    </a:moveTo>
                    <a:lnTo>
                      <a:pt x="15329" y="15088"/>
                    </a:lnTo>
                    <a:lnTo>
                      <a:pt x="15626" y="15154"/>
                    </a:lnTo>
                    <a:lnTo>
                      <a:pt x="15758" y="15176"/>
                    </a:lnTo>
                    <a:lnTo>
                      <a:pt x="15890" y="15242"/>
                    </a:lnTo>
                    <a:lnTo>
                      <a:pt x="15955" y="15264"/>
                    </a:lnTo>
                    <a:lnTo>
                      <a:pt x="16054" y="15352"/>
                    </a:lnTo>
                    <a:lnTo>
                      <a:pt x="16219" y="15527"/>
                    </a:lnTo>
                    <a:lnTo>
                      <a:pt x="16285" y="15747"/>
                    </a:lnTo>
                    <a:lnTo>
                      <a:pt x="16351" y="16033"/>
                    </a:lnTo>
                    <a:lnTo>
                      <a:pt x="16384" y="16384"/>
                    </a:lnTo>
                    <a:lnTo>
                      <a:pt x="0" y="16384"/>
                    </a:lnTo>
                    <a:lnTo>
                      <a:pt x="0" y="0"/>
                    </a:lnTo>
                    <a:lnTo>
                      <a:pt x="363" y="22"/>
                    </a:lnTo>
                    <a:lnTo>
                      <a:pt x="725" y="88"/>
                    </a:lnTo>
                    <a:lnTo>
                      <a:pt x="1055" y="220"/>
                    </a:lnTo>
                    <a:lnTo>
                      <a:pt x="1418" y="395"/>
                    </a:lnTo>
                    <a:lnTo>
                      <a:pt x="1549" y="505"/>
                    </a:lnTo>
                    <a:lnTo>
                      <a:pt x="1648" y="615"/>
                    </a:lnTo>
                    <a:lnTo>
                      <a:pt x="1780" y="725"/>
                    </a:lnTo>
                    <a:lnTo>
                      <a:pt x="1879" y="857"/>
                    </a:lnTo>
                    <a:lnTo>
                      <a:pt x="1945" y="1010"/>
                    </a:lnTo>
                    <a:lnTo>
                      <a:pt x="2044" y="1186"/>
                    </a:lnTo>
                    <a:lnTo>
                      <a:pt x="2077" y="1340"/>
                    </a:lnTo>
                    <a:lnTo>
                      <a:pt x="2110" y="1537"/>
                    </a:lnTo>
                    <a:lnTo>
                      <a:pt x="2110" y="13836"/>
                    </a:lnTo>
                    <a:lnTo>
                      <a:pt x="2110" y="14188"/>
                    </a:lnTo>
                    <a:lnTo>
                      <a:pt x="2209" y="14473"/>
                    </a:lnTo>
                    <a:lnTo>
                      <a:pt x="2341" y="14671"/>
                    </a:lnTo>
                    <a:lnTo>
                      <a:pt x="2505" y="14847"/>
                    </a:lnTo>
                    <a:lnTo>
                      <a:pt x="2703" y="14956"/>
                    </a:lnTo>
                    <a:lnTo>
                      <a:pt x="2967" y="15044"/>
                    </a:lnTo>
                    <a:lnTo>
                      <a:pt x="3264" y="15066"/>
                    </a:lnTo>
                    <a:lnTo>
                      <a:pt x="3593" y="15088"/>
                    </a:lnTo>
                    <a:lnTo>
                      <a:pt x="14901" y="15088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42" name="Объект 3">
                <a:extLst>
                  <a:ext uri="{FF2B5EF4-FFF2-40B4-BE49-F238E27FC236}">
                    <a16:creationId xmlns:a16="http://schemas.microsoft.com/office/drawing/2014/main" id="{00000000-0008-0000-0300-000062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1060000"/>
                <a:ext cx="1980000" cy="2660000"/>
              </a:xfrm>
              <a:custGeom>
                <a:avLst/>
                <a:gdLst/>
                <a:ahLst/>
                <a:cxnLst>
                  <a:cxn ang="0">
                    <a:pos x="14901" y="15088"/>
                  </a:cxn>
                  <a:cxn ang="0">
                    <a:pos x="15329" y="15088"/>
                  </a:cxn>
                  <a:cxn ang="0">
                    <a:pos x="15626" y="15154"/>
                  </a:cxn>
                  <a:cxn ang="0">
                    <a:pos x="15758" y="15176"/>
                  </a:cxn>
                  <a:cxn ang="0">
                    <a:pos x="15890" y="15242"/>
                  </a:cxn>
                  <a:cxn ang="0">
                    <a:pos x="15955" y="15264"/>
                  </a:cxn>
                  <a:cxn ang="0">
                    <a:pos x="16054" y="15352"/>
                  </a:cxn>
                  <a:cxn ang="0">
                    <a:pos x="16219" y="15527"/>
                  </a:cxn>
                  <a:cxn ang="0">
                    <a:pos x="16285" y="15747"/>
                  </a:cxn>
                  <a:cxn ang="0">
                    <a:pos x="16351" y="16033"/>
                  </a:cxn>
                  <a:cxn ang="0">
                    <a:pos x="16384" y="16384"/>
                  </a:cxn>
                  <a:cxn ang="0">
                    <a:pos x="0" y="16384"/>
                  </a:cxn>
                  <a:cxn ang="0">
                    <a:pos x="0" y="0"/>
                  </a:cxn>
                  <a:cxn ang="0">
                    <a:pos x="363" y="22"/>
                  </a:cxn>
                  <a:cxn ang="0">
                    <a:pos x="725" y="88"/>
                  </a:cxn>
                  <a:cxn ang="0">
                    <a:pos x="1055" y="220"/>
                  </a:cxn>
                  <a:cxn ang="0">
                    <a:pos x="1418" y="395"/>
                  </a:cxn>
                  <a:cxn ang="0">
                    <a:pos x="1549" y="505"/>
                  </a:cxn>
                  <a:cxn ang="0">
                    <a:pos x="1648" y="615"/>
                  </a:cxn>
                  <a:cxn ang="0">
                    <a:pos x="1780" y="725"/>
                  </a:cxn>
                  <a:cxn ang="0">
                    <a:pos x="1879" y="857"/>
                  </a:cxn>
                  <a:cxn ang="0">
                    <a:pos x="1945" y="1010"/>
                  </a:cxn>
                  <a:cxn ang="0">
                    <a:pos x="2044" y="1186"/>
                  </a:cxn>
                  <a:cxn ang="0">
                    <a:pos x="2077" y="1340"/>
                  </a:cxn>
                  <a:cxn ang="0">
                    <a:pos x="2110" y="1537"/>
                  </a:cxn>
                  <a:cxn ang="0">
                    <a:pos x="2110" y="13836"/>
                  </a:cxn>
                  <a:cxn ang="0">
                    <a:pos x="2110" y="14188"/>
                  </a:cxn>
                  <a:cxn ang="0">
                    <a:pos x="2209" y="14473"/>
                  </a:cxn>
                  <a:cxn ang="0">
                    <a:pos x="2341" y="14671"/>
                  </a:cxn>
                  <a:cxn ang="0">
                    <a:pos x="2505" y="14847"/>
                  </a:cxn>
                  <a:cxn ang="0">
                    <a:pos x="2703" y="14956"/>
                  </a:cxn>
                  <a:cxn ang="0">
                    <a:pos x="2967" y="15044"/>
                  </a:cxn>
                  <a:cxn ang="0">
                    <a:pos x="3264" y="15066"/>
                  </a:cxn>
                  <a:cxn ang="0">
                    <a:pos x="3593" y="15088"/>
                  </a:cxn>
                  <a:cxn ang="0">
                    <a:pos x="14901" y="15088"/>
                  </a:cxn>
                </a:cxnLst>
                <a:rect l="0" t="0" r="r" b="b"/>
                <a:pathLst>
                  <a:path w="16384" h="16384">
                    <a:moveTo>
                      <a:pt x="14901" y="15088"/>
                    </a:moveTo>
                    <a:lnTo>
                      <a:pt x="15329" y="15088"/>
                    </a:lnTo>
                    <a:lnTo>
                      <a:pt x="15626" y="15154"/>
                    </a:lnTo>
                    <a:lnTo>
                      <a:pt x="15758" y="15176"/>
                    </a:lnTo>
                    <a:lnTo>
                      <a:pt x="15890" y="15242"/>
                    </a:lnTo>
                    <a:lnTo>
                      <a:pt x="15955" y="15264"/>
                    </a:lnTo>
                    <a:lnTo>
                      <a:pt x="16054" y="15352"/>
                    </a:lnTo>
                    <a:lnTo>
                      <a:pt x="16219" y="15527"/>
                    </a:lnTo>
                    <a:lnTo>
                      <a:pt x="16285" y="15747"/>
                    </a:lnTo>
                    <a:lnTo>
                      <a:pt x="16351" y="16033"/>
                    </a:lnTo>
                    <a:lnTo>
                      <a:pt x="16384" y="16384"/>
                    </a:lnTo>
                    <a:lnTo>
                      <a:pt x="0" y="16384"/>
                    </a:lnTo>
                    <a:lnTo>
                      <a:pt x="0" y="0"/>
                    </a:lnTo>
                    <a:lnTo>
                      <a:pt x="363" y="22"/>
                    </a:lnTo>
                    <a:lnTo>
                      <a:pt x="725" y="88"/>
                    </a:lnTo>
                    <a:lnTo>
                      <a:pt x="1055" y="220"/>
                    </a:lnTo>
                    <a:lnTo>
                      <a:pt x="1418" y="395"/>
                    </a:lnTo>
                    <a:lnTo>
                      <a:pt x="1549" y="505"/>
                    </a:lnTo>
                    <a:lnTo>
                      <a:pt x="1648" y="615"/>
                    </a:lnTo>
                    <a:lnTo>
                      <a:pt x="1780" y="725"/>
                    </a:lnTo>
                    <a:lnTo>
                      <a:pt x="1879" y="857"/>
                    </a:lnTo>
                    <a:lnTo>
                      <a:pt x="1945" y="1010"/>
                    </a:lnTo>
                    <a:lnTo>
                      <a:pt x="2044" y="1186"/>
                    </a:lnTo>
                    <a:lnTo>
                      <a:pt x="2077" y="1340"/>
                    </a:lnTo>
                    <a:lnTo>
                      <a:pt x="2110" y="1537"/>
                    </a:lnTo>
                    <a:lnTo>
                      <a:pt x="2110" y="13836"/>
                    </a:lnTo>
                    <a:lnTo>
                      <a:pt x="2110" y="14188"/>
                    </a:lnTo>
                    <a:lnTo>
                      <a:pt x="2209" y="14473"/>
                    </a:lnTo>
                    <a:lnTo>
                      <a:pt x="2341" y="14671"/>
                    </a:lnTo>
                    <a:lnTo>
                      <a:pt x="2505" y="14847"/>
                    </a:lnTo>
                    <a:lnTo>
                      <a:pt x="2703" y="14956"/>
                    </a:lnTo>
                    <a:lnTo>
                      <a:pt x="2967" y="15044"/>
                    </a:lnTo>
                    <a:lnTo>
                      <a:pt x="3264" y="15066"/>
                    </a:lnTo>
                    <a:lnTo>
                      <a:pt x="3593" y="15088"/>
                    </a:lnTo>
                    <a:lnTo>
                      <a:pt x="14901" y="15088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43" name="Объект 502">
                <a:extLst>
                  <a:ext uri="{FF2B5EF4-FFF2-40B4-BE49-F238E27FC236}">
                    <a16:creationId xmlns:a16="http://schemas.microsoft.com/office/drawing/2014/main" id="{00000000-0008-0000-0300-000063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20000" y="780000"/>
                <a:ext cx="20000" cy="3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4058"/>
                  </a:cxn>
                  <a:cxn ang="0">
                    <a:pos x="0" y="7516"/>
                  </a:cxn>
                  <a:cxn ang="0">
                    <a:pos x="0" y="10221"/>
                  </a:cxn>
                  <a:cxn ang="0">
                    <a:pos x="0" y="12626"/>
                  </a:cxn>
                  <a:cxn ang="0">
                    <a:pos x="0" y="14280"/>
                  </a:cxn>
                  <a:cxn ang="0">
                    <a:pos x="0" y="15482"/>
                  </a:cxn>
                  <a:cxn ang="0">
                    <a:pos x="0" y="1623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4058"/>
                    </a:lnTo>
                    <a:lnTo>
                      <a:pt x="0" y="7516"/>
                    </a:lnTo>
                    <a:lnTo>
                      <a:pt x="0" y="10221"/>
                    </a:lnTo>
                    <a:lnTo>
                      <a:pt x="0" y="12626"/>
                    </a:lnTo>
                    <a:lnTo>
                      <a:pt x="0" y="14280"/>
                    </a:lnTo>
                    <a:lnTo>
                      <a:pt x="0" y="15482"/>
                    </a:lnTo>
                    <a:lnTo>
                      <a:pt x="0" y="1623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44" name="Объект 503">
                <a:extLst>
                  <a:ext uri="{FF2B5EF4-FFF2-40B4-BE49-F238E27FC236}">
                    <a16:creationId xmlns:a16="http://schemas.microsoft.com/office/drawing/2014/main" id="{00000000-0008-0000-0300-000064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000" y="860000"/>
                <a:ext cx="28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61" y="0"/>
                  </a:cxn>
                  <a:cxn ang="0">
                    <a:pos x="9498" y="0"/>
                  </a:cxn>
                  <a:cxn ang="0">
                    <a:pos x="12347" y="0"/>
                  </a:cxn>
                  <a:cxn ang="0">
                    <a:pos x="14247" y="0"/>
                  </a:cxn>
                  <a:cxn ang="0">
                    <a:pos x="15434" y="0"/>
                  </a:cxn>
                  <a:cxn ang="0">
                    <a:pos x="1614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61" y="0"/>
                    </a:lnTo>
                    <a:lnTo>
                      <a:pt x="9498" y="0"/>
                    </a:lnTo>
                    <a:lnTo>
                      <a:pt x="12347" y="0"/>
                    </a:lnTo>
                    <a:lnTo>
                      <a:pt x="14247" y="0"/>
                    </a:lnTo>
                    <a:lnTo>
                      <a:pt x="15434" y="0"/>
                    </a:lnTo>
                    <a:lnTo>
                      <a:pt x="1614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45" name="Объект 504">
                <a:extLst>
                  <a:ext uri="{FF2B5EF4-FFF2-40B4-BE49-F238E27FC236}">
                    <a16:creationId xmlns:a16="http://schemas.microsoft.com/office/drawing/2014/main" id="{00000000-0008-0000-0300-000065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0000" y="80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16384" y="8704"/>
                  </a:cxn>
                  <a:cxn ang="0">
                    <a:pos x="0" y="0"/>
                  </a:cxn>
                  <a:cxn ang="0">
                    <a:pos x="0" y="512"/>
                  </a:cxn>
                  <a:cxn ang="0">
                    <a:pos x="443" y="1536"/>
                  </a:cxn>
                  <a:cxn ang="0">
                    <a:pos x="443" y="2048"/>
                  </a:cxn>
                  <a:cxn ang="0">
                    <a:pos x="886" y="2560"/>
                  </a:cxn>
                  <a:cxn ang="0">
                    <a:pos x="886" y="3072"/>
                  </a:cxn>
                  <a:cxn ang="0">
                    <a:pos x="886" y="4096"/>
                  </a:cxn>
                  <a:cxn ang="0">
                    <a:pos x="886" y="4608"/>
                  </a:cxn>
                  <a:cxn ang="0">
                    <a:pos x="1771" y="4608"/>
                  </a:cxn>
                  <a:cxn ang="0">
                    <a:pos x="1771" y="5120"/>
                  </a:cxn>
                  <a:cxn ang="0">
                    <a:pos x="1771" y="6144"/>
                  </a:cxn>
                  <a:cxn ang="0">
                    <a:pos x="1771" y="6656"/>
                  </a:cxn>
                  <a:cxn ang="0">
                    <a:pos x="1771" y="7168"/>
                  </a:cxn>
                  <a:cxn ang="0">
                    <a:pos x="1771" y="7680"/>
                  </a:cxn>
                  <a:cxn ang="0">
                    <a:pos x="1771" y="8704"/>
                  </a:cxn>
                  <a:cxn ang="0">
                    <a:pos x="1771" y="9216"/>
                  </a:cxn>
                  <a:cxn ang="0">
                    <a:pos x="1771" y="9728"/>
                  </a:cxn>
                  <a:cxn ang="0">
                    <a:pos x="1771" y="10752"/>
                  </a:cxn>
                  <a:cxn ang="0">
                    <a:pos x="1771" y="11264"/>
                  </a:cxn>
                  <a:cxn ang="0">
                    <a:pos x="1771" y="11776"/>
                  </a:cxn>
                  <a:cxn ang="0">
                    <a:pos x="886" y="12288"/>
                  </a:cxn>
                  <a:cxn ang="0">
                    <a:pos x="886" y="13312"/>
                  </a:cxn>
                  <a:cxn ang="0">
                    <a:pos x="886" y="13824"/>
                  </a:cxn>
                  <a:cxn ang="0">
                    <a:pos x="443" y="14336"/>
                  </a:cxn>
                  <a:cxn ang="0">
                    <a:pos x="443" y="14848"/>
                  </a:cxn>
                  <a:cxn ang="0">
                    <a:pos x="443" y="15872"/>
                  </a:cxn>
                  <a:cxn ang="0">
                    <a:pos x="0" y="16384"/>
                  </a:cxn>
                  <a:cxn ang="0">
                    <a:pos x="16384" y="8704"/>
                  </a:cxn>
                </a:cxnLst>
                <a:rect l="0" t="0" r="r" b="b"/>
                <a:pathLst>
                  <a:path w="16384" h="16384">
                    <a:moveTo>
                      <a:pt x="16384" y="8704"/>
                    </a:moveTo>
                    <a:lnTo>
                      <a:pt x="0" y="0"/>
                    </a:lnTo>
                    <a:lnTo>
                      <a:pt x="0" y="512"/>
                    </a:lnTo>
                    <a:lnTo>
                      <a:pt x="443" y="1536"/>
                    </a:lnTo>
                    <a:lnTo>
                      <a:pt x="443" y="2048"/>
                    </a:lnTo>
                    <a:lnTo>
                      <a:pt x="886" y="2560"/>
                    </a:lnTo>
                    <a:lnTo>
                      <a:pt x="886" y="3072"/>
                    </a:lnTo>
                    <a:lnTo>
                      <a:pt x="886" y="4096"/>
                    </a:lnTo>
                    <a:lnTo>
                      <a:pt x="886" y="4608"/>
                    </a:lnTo>
                    <a:lnTo>
                      <a:pt x="1771" y="4608"/>
                    </a:lnTo>
                    <a:lnTo>
                      <a:pt x="1771" y="5120"/>
                    </a:lnTo>
                    <a:lnTo>
                      <a:pt x="1771" y="6144"/>
                    </a:lnTo>
                    <a:lnTo>
                      <a:pt x="1771" y="6656"/>
                    </a:lnTo>
                    <a:lnTo>
                      <a:pt x="1771" y="7168"/>
                    </a:lnTo>
                    <a:lnTo>
                      <a:pt x="1771" y="7680"/>
                    </a:lnTo>
                    <a:lnTo>
                      <a:pt x="1771" y="8704"/>
                    </a:lnTo>
                    <a:lnTo>
                      <a:pt x="1771" y="9216"/>
                    </a:lnTo>
                    <a:lnTo>
                      <a:pt x="1771" y="9728"/>
                    </a:lnTo>
                    <a:lnTo>
                      <a:pt x="1771" y="10752"/>
                    </a:lnTo>
                    <a:lnTo>
                      <a:pt x="1771" y="11264"/>
                    </a:lnTo>
                    <a:lnTo>
                      <a:pt x="1771" y="11776"/>
                    </a:lnTo>
                    <a:lnTo>
                      <a:pt x="886" y="12288"/>
                    </a:lnTo>
                    <a:lnTo>
                      <a:pt x="886" y="13312"/>
                    </a:lnTo>
                    <a:lnTo>
                      <a:pt x="886" y="13824"/>
                    </a:lnTo>
                    <a:lnTo>
                      <a:pt x="443" y="14336"/>
                    </a:lnTo>
                    <a:lnTo>
                      <a:pt x="443" y="14848"/>
                    </a:lnTo>
                    <a:lnTo>
                      <a:pt x="443" y="15872"/>
                    </a:lnTo>
                    <a:lnTo>
                      <a:pt x="0" y="16384"/>
                    </a:lnTo>
                    <a:lnTo>
                      <a:pt x="16384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46" name="Объект 505">
                <a:extLst>
                  <a:ext uri="{FF2B5EF4-FFF2-40B4-BE49-F238E27FC236}">
                    <a16:creationId xmlns:a16="http://schemas.microsoft.com/office/drawing/2014/main" id="{00000000-0008-0000-0300-000066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80000" y="860000"/>
                <a:ext cx="28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542" y="0"/>
                  </a:cxn>
                  <a:cxn ang="0">
                    <a:pos x="9638" y="0"/>
                  </a:cxn>
                  <a:cxn ang="0">
                    <a:pos x="12529" y="0"/>
                  </a:cxn>
                  <a:cxn ang="0">
                    <a:pos x="14697" y="0"/>
                  </a:cxn>
                  <a:cxn ang="0">
                    <a:pos x="15420" y="0"/>
                  </a:cxn>
                  <a:cxn ang="0">
                    <a:pos x="16143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542" y="0"/>
                    </a:lnTo>
                    <a:lnTo>
                      <a:pt x="9638" y="0"/>
                    </a:lnTo>
                    <a:lnTo>
                      <a:pt x="12529" y="0"/>
                    </a:lnTo>
                    <a:lnTo>
                      <a:pt x="14697" y="0"/>
                    </a:lnTo>
                    <a:lnTo>
                      <a:pt x="15420" y="0"/>
                    </a:lnTo>
                    <a:lnTo>
                      <a:pt x="16143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47" name="Объект 506">
                <a:extLst>
                  <a:ext uri="{FF2B5EF4-FFF2-40B4-BE49-F238E27FC236}">
                    <a16:creationId xmlns:a16="http://schemas.microsoft.com/office/drawing/2014/main" id="{00000000-0008-0000-0300-000067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20000" y="80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0" y="8704"/>
                  </a:cxn>
                  <a:cxn ang="0">
                    <a:pos x="16384" y="0"/>
                  </a:cxn>
                  <a:cxn ang="0">
                    <a:pos x="15544" y="512"/>
                  </a:cxn>
                  <a:cxn ang="0">
                    <a:pos x="15544" y="1536"/>
                  </a:cxn>
                  <a:cxn ang="0">
                    <a:pos x="15544" y="2048"/>
                  </a:cxn>
                  <a:cxn ang="0">
                    <a:pos x="15124" y="2048"/>
                  </a:cxn>
                  <a:cxn ang="0">
                    <a:pos x="15124" y="2560"/>
                  </a:cxn>
                  <a:cxn ang="0">
                    <a:pos x="15124" y="3072"/>
                  </a:cxn>
                  <a:cxn ang="0">
                    <a:pos x="14704" y="4096"/>
                  </a:cxn>
                  <a:cxn ang="0">
                    <a:pos x="14704" y="4608"/>
                  </a:cxn>
                  <a:cxn ang="0">
                    <a:pos x="14704" y="5120"/>
                  </a:cxn>
                  <a:cxn ang="0">
                    <a:pos x="14704" y="6144"/>
                  </a:cxn>
                  <a:cxn ang="0">
                    <a:pos x="14704" y="6656"/>
                  </a:cxn>
                  <a:cxn ang="0">
                    <a:pos x="14704" y="7168"/>
                  </a:cxn>
                  <a:cxn ang="0">
                    <a:pos x="13863" y="7680"/>
                  </a:cxn>
                  <a:cxn ang="0">
                    <a:pos x="13863" y="8704"/>
                  </a:cxn>
                  <a:cxn ang="0">
                    <a:pos x="13863" y="9216"/>
                  </a:cxn>
                  <a:cxn ang="0">
                    <a:pos x="14704" y="9216"/>
                  </a:cxn>
                  <a:cxn ang="0">
                    <a:pos x="14704" y="9728"/>
                  </a:cxn>
                  <a:cxn ang="0">
                    <a:pos x="14704" y="10752"/>
                  </a:cxn>
                  <a:cxn ang="0">
                    <a:pos x="14704" y="11264"/>
                  </a:cxn>
                  <a:cxn ang="0">
                    <a:pos x="14704" y="11776"/>
                  </a:cxn>
                  <a:cxn ang="0">
                    <a:pos x="14704" y="12288"/>
                  </a:cxn>
                  <a:cxn ang="0">
                    <a:pos x="14704" y="13312"/>
                  </a:cxn>
                  <a:cxn ang="0">
                    <a:pos x="15124" y="13824"/>
                  </a:cxn>
                  <a:cxn ang="0">
                    <a:pos x="15124" y="14336"/>
                  </a:cxn>
                  <a:cxn ang="0">
                    <a:pos x="15544" y="14848"/>
                  </a:cxn>
                  <a:cxn ang="0">
                    <a:pos x="15544" y="15872"/>
                  </a:cxn>
                  <a:cxn ang="0">
                    <a:pos x="15544" y="16384"/>
                  </a:cxn>
                  <a:cxn ang="0">
                    <a:pos x="16384" y="16384"/>
                  </a:cxn>
                  <a:cxn ang="0">
                    <a:pos x="0" y="8704"/>
                  </a:cxn>
                </a:cxnLst>
                <a:rect l="0" t="0" r="r" b="b"/>
                <a:pathLst>
                  <a:path w="16384" h="16384">
                    <a:moveTo>
                      <a:pt x="0" y="8704"/>
                    </a:moveTo>
                    <a:lnTo>
                      <a:pt x="16384" y="0"/>
                    </a:lnTo>
                    <a:lnTo>
                      <a:pt x="15544" y="512"/>
                    </a:lnTo>
                    <a:lnTo>
                      <a:pt x="15544" y="1536"/>
                    </a:lnTo>
                    <a:lnTo>
                      <a:pt x="15544" y="2048"/>
                    </a:lnTo>
                    <a:lnTo>
                      <a:pt x="15124" y="2048"/>
                    </a:lnTo>
                    <a:lnTo>
                      <a:pt x="15124" y="2560"/>
                    </a:lnTo>
                    <a:lnTo>
                      <a:pt x="15124" y="3072"/>
                    </a:lnTo>
                    <a:lnTo>
                      <a:pt x="14704" y="4096"/>
                    </a:lnTo>
                    <a:lnTo>
                      <a:pt x="14704" y="4608"/>
                    </a:lnTo>
                    <a:lnTo>
                      <a:pt x="14704" y="5120"/>
                    </a:lnTo>
                    <a:lnTo>
                      <a:pt x="14704" y="6144"/>
                    </a:lnTo>
                    <a:lnTo>
                      <a:pt x="14704" y="6656"/>
                    </a:lnTo>
                    <a:lnTo>
                      <a:pt x="14704" y="7168"/>
                    </a:lnTo>
                    <a:lnTo>
                      <a:pt x="13863" y="7680"/>
                    </a:lnTo>
                    <a:lnTo>
                      <a:pt x="13863" y="8704"/>
                    </a:lnTo>
                    <a:lnTo>
                      <a:pt x="13863" y="9216"/>
                    </a:lnTo>
                    <a:lnTo>
                      <a:pt x="14704" y="9216"/>
                    </a:lnTo>
                    <a:lnTo>
                      <a:pt x="14704" y="9728"/>
                    </a:lnTo>
                    <a:lnTo>
                      <a:pt x="14704" y="10752"/>
                    </a:lnTo>
                    <a:lnTo>
                      <a:pt x="14704" y="11264"/>
                    </a:lnTo>
                    <a:lnTo>
                      <a:pt x="14704" y="11776"/>
                    </a:lnTo>
                    <a:lnTo>
                      <a:pt x="14704" y="12288"/>
                    </a:lnTo>
                    <a:lnTo>
                      <a:pt x="14704" y="13312"/>
                    </a:lnTo>
                    <a:lnTo>
                      <a:pt x="15124" y="13824"/>
                    </a:lnTo>
                    <a:lnTo>
                      <a:pt x="15124" y="14336"/>
                    </a:lnTo>
                    <a:lnTo>
                      <a:pt x="15544" y="14848"/>
                    </a:lnTo>
                    <a:lnTo>
                      <a:pt x="15544" y="15872"/>
                    </a:lnTo>
                    <a:lnTo>
                      <a:pt x="15544" y="16384"/>
                    </a:lnTo>
                    <a:lnTo>
                      <a:pt x="16384" y="16384"/>
                    </a:lnTo>
                    <a:lnTo>
                      <a:pt x="0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48" name="Объект 507">
                <a:extLst>
                  <a:ext uri="{FF2B5EF4-FFF2-40B4-BE49-F238E27FC236}">
                    <a16:creationId xmlns:a16="http://schemas.microsoft.com/office/drawing/2014/main" id="{00000000-0008-0000-0300-000068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80000" y="3720000"/>
                <a:ext cx="240000" cy="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2288" y="0"/>
                  </a:cxn>
                  <a:cxn ang="0">
                    <a:pos x="8738" y="0"/>
                  </a:cxn>
                  <a:cxn ang="0">
                    <a:pos x="6007" y="0"/>
                  </a:cxn>
                  <a:cxn ang="0">
                    <a:pos x="3823" y="0"/>
                  </a:cxn>
                  <a:cxn ang="0">
                    <a:pos x="2185" y="0"/>
                  </a:cxn>
                  <a:cxn ang="0">
                    <a:pos x="1092" y="0"/>
                  </a:cxn>
                  <a:cxn ang="0">
                    <a:pos x="273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2288" y="0"/>
                    </a:lnTo>
                    <a:lnTo>
                      <a:pt x="8738" y="0"/>
                    </a:lnTo>
                    <a:lnTo>
                      <a:pt x="6007" y="0"/>
                    </a:lnTo>
                    <a:lnTo>
                      <a:pt x="3823" y="0"/>
                    </a:lnTo>
                    <a:lnTo>
                      <a:pt x="2185" y="0"/>
                    </a:lnTo>
                    <a:lnTo>
                      <a:pt x="1092" y="0"/>
                    </a:lnTo>
                    <a:lnTo>
                      <a:pt x="273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49" name="Объект 508">
                <a:extLst>
                  <a:ext uri="{FF2B5EF4-FFF2-40B4-BE49-F238E27FC236}">
                    <a16:creationId xmlns:a16="http://schemas.microsoft.com/office/drawing/2014/main" id="{00000000-0008-0000-0300-000069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00000" y="3720000"/>
                <a:ext cx="4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FF66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0" name="Объект 509">
                <a:extLst>
                  <a:ext uri="{FF2B5EF4-FFF2-40B4-BE49-F238E27FC236}">
                    <a16:creationId xmlns:a16="http://schemas.microsoft.com/office/drawing/2014/main" id="{00000000-0008-0000-0300-00006A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00000" y="3720000"/>
                <a:ext cx="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FF66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1" name="Объект 510">
                <a:extLst>
                  <a:ext uri="{FF2B5EF4-FFF2-40B4-BE49-F238E27FC236}">
                    <a16:creationId xmlns:a16="http://schemas.microsoft.com/office/drawing/2014/main" id="{00000000-0008-0000-0300-00006B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60000" y="3720000"/>
                <a:ext cx="20000" cy="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FF66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2" name="Объект 511">
                <a:extLst>
                  <a:ext uri="{FF2B5EF4-FFF2-40B4-BE49-F238E27FC236}">
                    <a16:creationId xmlns:a16="http://schemas.microsoft.com/office/drawing/2014/main" id="{00000000-0008-0000-0300-00006C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40000" y="3720000"/>
                <a:ext cx="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FF66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3" name="Объект 512">
                <a:extLst>
                  <a:ext uri="{FF2B5EF4-FFF2-40B4-BE49-F238E27FC236}">
                    <a16:creationId xmlns:a16="http://schemas.microsoft.com/office/drawing/2014/main" id="{00000000-0008-0000-0300-00006D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00000" y="3720000"/>
                <a:ext cx="20000" cy="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655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6554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FF66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4" name="Объект 513">
                <a:extLst>
                  <a:ext uri="{FF2B5EF4-FFF2-40B4-BE49-F238E27FC236}">
                    <a16:creationId xmlns:a16="http://schemas.microsoft.com/office/drawing/2014/main" id="{00000000-0008-0000-0300-00006E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80000" y="3720000"/>
                <a:ext cx="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FF66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5" name="Объект 514">
                <a:extLst>
                  <a:ext uri="{FF2B5EF4-FFF2-40B4-BE49-F238E27FC236}">
                    <a16:creationId xmlns:a16="http://schemas.microsoft.com/office/drawing/2014/main" id="{00000000-0008-0000-0300-00006F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40000" y="3720000"/>
                <a:ext cx="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FF66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6" name="Объект 515">
                <a:extLst>
                  <a:ext uri="{FF2B5EF4-FFF2-40B4-BE49-F238E27FC236}">
                    <a16:creationId xmlns:a16="http://schemas.microsoft.com/office/drawing/2014/main" id="{00000000-0008-0000-0300-000070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40000" y="3720000"/>
                <a:ext cx="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FF66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7" name="Объект 516">
                <a:extLst>
                  <a:ext uri="{FF2B5EF4-FFF2-40B4-BE49-F238E27FC236}">
                    <a16:creationId xmlns:a16="http://schemas.microsoft.com/office/drawing/2014/main" id="{00000000-0008-0000-0300-000071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0000" y="3500000"/>
                <a:ext cx="300000" cy="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2603" y="0"/>
                  </a:cxn>
                  <a:cxn ang="0">
                    <a:pos x="9242" y="0"/>
                  </a:cxn>
                  <a:cxn ang="0">
                    <a:pos x="6302" y="0"/>
                  </a:cxn>
                  <a:cxn ang="0">
                    <a:pos x="3991" y="0"/>
                  </a:cxn>
                  <a:cxn ang="0">
                    <a:pos x="2101" y="0"/>
                  </a:cxn>
                  <a:cxn ang="0">
                    <a:pos x="1050" y="0"/>
                  </a:cxn>
                  <a:cxn ang="0">
                    <a:pos x="420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2603" y="0"/>
                    </a:lnTo>
                    <a:lnTo>
                      <a:pt x="9242" y="0"/>
                    </a:lnTo>
                    <a:lnTo>
                      <a:pt x="6302" y="0"/>
                    </a:lnTo>
                    <a:lnTo>
                      <a:pt x="3991" y="0"/>
                    </a:lnTo>
                    <a:lnTo>
                      <a:pt x="2101" y="0"/>
                    </a:lnTo>
                    <a:lnTo>
                      <a:pt x="1050" y="0"/>
                    </a:lnTo>
                    <a:lnTo>
                      <a:pt x="420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8" name="Объект 517">
                <a:extLst>
                  <a:ext uri="{FF2B5EF4-FFF2-40B4-BE49-F238E27FC236}">
                    <a16:creationId xmlns:a16="http://schemas.microsoft.com/office/drawing/2014/main" id="{00000000-0008-0000-0300-000072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00000" y="3780000"/>
                <a:ext cx="20000" cy="26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0" y="10923"/>
                  </a:cxn>
                  <a:cxn ang="0">
                    <a:pos x="0" y="7123"/>
                  </a:cxn>
                  <a:cxn ang="0">
                    <a:pos x="0" y="4037"/>
                  </a:cxn>
                  <a:cxn ang="0">
                    <a:pos x="0" y="2137"/>
                  </a:cxn>
                  <a:cxn ang="0">
                    <a:pos x="0" y="950"/>
                  </a:cxn>
                  <a:cxn ang="0">
                    <a:pos x="0" y="237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0" y="10923"/>
                    </a:lnTo>
                    <a:lnTo>
                      <a:pt x="0" y="7123"/>
                    </a:lnTo>
                    <a:lnTo>
                      <a:pt x="0" y="4037"/>
                    </a:lnTo>
                    <a:lnTo>
                      <a:pt x="0" y="2137"/>
                    </a:lnTo>
                    <a:lnTo>
                      <a:pt x="0" y="950"/>
                    </a:lnTo>
                    <a:lnTo>
                      <a:pt x="0" y="237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59" name="Объект 518">
                <a:extLst>
                  <a:ext uri="{FF2B5EF4-FFF2-40B4-BE49-F238E27FC236}">
                    <a16:creationId xmlns:a16="http://schemas.microsoft.com/office/drawing/2014/main" id="{00000000-0008-0000-0300-000073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0000" y="374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8192" y="0"/>
                  </a:cxn>
                  <a:cxn ang="0">
                    <a:pos x="0" y="16384"/>
                  </a:cxn>
                  <a:cxn ang="0">
                    <a:pos x="964" y="16384"/>
                  </a:cxn>
                  <a:cxn ang="0">
                    <a:pos x="1446" y="15941"/>
                  </a:cxn>
                  <a:cxn ang="0">
                    <a:pos x="1928" y="15941"/>
                  </a:cxn>
                  <a:cxn ang="0">
                    <a:pos x="2409" y="15941"/>
                  </a:cxn>
                  <a:cxn ang="0">
                    <a:pos x="2409" y="15498"/>
                  </a:cxn>
                  <a:cxn ang="0">
                    <a:pos x="3373" y="15498"/>
                  </a:cxn>
                  <a:cxn ang="0">
                    <a:pos x="3855" y="15498"/>
                  </a:cxn>
                  <a:cxn ang="0">
                    <a:pos x="4337" y="15498"/>
                  </a:cxn>
                  <a:cxn ang="0">
                    <a:pos x="5301" y="14613"/>
                  </a:cxn>
                  <a:cxn ang="0">
                    <a:pos x="5783" y="14613"/>
                  </a:cxn>
                  <a:cxn ang="0">
                    <a:pos x="6264" y="14613"/>
                  </a:cxn>
                  <a:cxn ang="0">
                    <a:pos x="6746" y="14613"/>
                  </a:cxn>
                  <a:cxn ang="0">
                    <a:pos x="7710" y="14613"/>
                  </a:cxn>
                  <a:cxn ang="0">
                    <a:pos x="8192" y="14613"/>
                  </a:cxn>
                  <a:cxn ang="0">
                    <a:pos x="8674" y="14613"/>
                  </a:cxn>
                  <a:cxn ang="0">
                    <a:pos x="9638" y="14613"/>
                  </a:cxn>
                  <a:cxn ang="0">
                    <a:pos x="10120" y="14613"/>
                  </a:cxn>
                  <a:cxn ang="0">
                    <a:pos x="10601" y="14613"/>
                  </a:cxn>
                  <a:cxn ang="0">
                    <a:pos x="11083" y="14613"/>
                  </a:cxn>
                  <a:cxn ang="0">
                    <a:pos x="11083" y="15498"/>
                  </a:cxn>
                  <a:cxn ang="0">
                    <a:pos x="12047" y="15498"/>
                  </a:cxn>
                  <a:cxn ang="0">
                    <a:pos x="12529" y="15498"/>
                  </a:cxn>
                  <a:cxn ang="0">
                    <a:pos x="13011" y="15498"/>
                  </a:cxn>
                  <a:cxn ang="0">
                    <a:pos x="13975" y="15498"/>
                  </a:cxn>
                  <a:cxn ang="0">
                    <a:pos x="13975" y="15941"/>
                  </a:cxn>
                  <a:cxn ang="0">
                    <a:pos x="14456" y="15941"/>
                  </a:cxn>
                  <a:cxn ang="0">
                    <a:pos x="14938" y="15941"/>
                  </a:cxn>
                  <a:cxn ang="0">
                    <a:pos x="15420" y="16384"/>
                  </a:cxn>
                  <a:cxn ang="0">
                    <a:pos x="16384" y="16384"/>
                  </a:cxn>
                  <a:cxn ang="0">
                    <a:pos x="8192" y="0"/>
                  </a:cxn>
                </a:cxnLst>
                <a:rect l="0" t="0" r="r" b="b"/>
                <a:pathLst>
                  <a:path w="16384" h="16384">
                    <a:moveTo>
                      <a:pt x="8192" y="0"/>
                    </a:moveTo>
                    <a:lnTo>
                      <a:pt x="0" y="16384"/>
                    </a:lnTo>
                    <a:lnTo>
                      <a:pt x="964" y="16384"/>
                    </a:lnTo>
                    <a:lnTo>
                      <a:pt x="1446" y="15941"/>
                    </a:lnTo>
                    <a:lnTo>
                      <a:pt x="1928" y="15941"/>
                    </a:lnTo>
                    <a:lnTo>
                      <a:pt x="2409" y="15941"/>
                    </a:lnTo>
                    <a:lnTo>
                      <a:pt x="2409" y="15498"/>
                    </a:lnTo>
                    <a:lnTo>
                      <a:pt x="3373" y="15498"/>
                    </a:lnTo>
                    <a:lnTo>
                      <a:pt x="3855" y="15498"/>
                    </a:lnTo>
                    <a:lnTo>
                      <a:pt x="4337" y="15498"/>
                    </a:lnTo>
                    <a:lnTo>
                      <a:pt x="5301" y="14613"/>
                    </a:lnTo>
                    <a:lnTo>
                      <a:pt x="5783" y="14613"/>
                    </a:lnTo>
                    <a:lnTo>
                      <a:pt x="6264" y="14613"/>
                    </a:lnTo>
                    <a:lnTo>
                      <a:pt x="6746" y="14613"/>
                    </a:lnTo>
                    <a:lnTo>
                      <a:pt x="7710" y="14613"/>
                    </a:lnTo>
                    <a:lnTo>
                      <a:pt x="8192" y="14613"/>
                    </a:lnTo>
                    <a:lnTo>
                      <a:pt x="8674" y="14613"/>
                    </a:lnTo>
                    <a:lnTo>
                      <a:pt x="9638" y="14613"/>
                    </a:lnTo>
                    <a:lnTo>
                      <a:pt x="10120" y="14613"/>
                    </a:lnTo>
                    <a:lnTo>
                      <a:pt x="10601" y="14613"/>
                    </a:lnTo>
                    <a:lnTo>
                      <a:pt x="11083" y="14613"/>
                    </a:lnTo>
                    <a:lnTo>
                      <a:pt x="11083" y="15498"/>
                    </a:lnTo>
                    <a:lnTo>
                      <a:pt x="12047" y="15498"/>
                    </a:lnTo>
                    <a:lnTo>
                      <a:pt x="12529" y="15498"/>
                    </a:lnTo>
                    <a:lnTo>
                      <a:pt x="13011" y="15498"/>
                    </a:lnTo>
                    <a:lnTo>
                      <a:pt x="13975" y="15498"/>
                    </a:lnTo>
                    <a:lnTo>
                      <a:pt x="13975" y="15941"/>
                    </a:lnTo>
                    <a:lnTo>
                      <a:pt x="14456" y="15941"/>
                    </a:lnTo>
                    <a:lnTo>
                      <a:pt x="14938" y="15941"/>
                    </a:lnTo>
                    <a:lnTo>
                      <a:pt x="15420" y="16384"/>
                    </a:lnTo>
                    <a:lnTo>
                      <a:pt x="16384" y="16384"/>
                    </a:lnTo>
                    <a:lnTo>
                      <a:pt x="8192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60" name="Объект 519">
                <a:extLst>
                  <a:ext uri="{FF2B5EF4-FFF2-40B4-BE49-F238E27FC236}">
                    <a16:creationId xmlns:a16="http://schemas.microsoft.com/office/drawing/2014/main" id="{00000000-0008-0000-0300-000074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00000" y="3200000"/>
                <a:ext cx="20000" cy="24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0" y="11083"/>
                  </a:cxn>
                  <a:cxn ang="0">
                    <a:pos x="0" y="6746"/>
                  </a:cxn>
                  <a:cxn ang="0">
                    <a:pos x="0" y="3855"/>
                  </a:cxn>
                  <a:cxn ang="0">
                    <a:pos x="0" y="2168"/>
                  </a:cxn>
                  <a:cxn ang="0">
                    <a:pos x="0" y="964"/>
                  </a:cxn>
                  <a:cxn ang="0">
                    <a:pos x="0" y="241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0" y="11083"/>
                    </a:lnTo>
                    <a:lnTo>
                      <a:pt x="0" y="6746"/>
                    </a:lnTo>
                    <a:lnTo>
                      <a:pt x="0" y="3855"/>
                    </a:lnTo>
                    <a:lnTo>
                      <a:pt x="0" y="2168"/>
                    </a:lnTo>
                    <a:lnTo>
                      <a:pt x="0" y="964"/>
                    </a:lnTo>
                    <a:lnTo>
                      <a:pt x="0" y="241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61" name="Объект 520">
                <a:extLst>
                  <a:ext uri="{FF2B5EF4-FFF2-40B4-BE49-F238E27FC236}">
                    <a16:creationId xmlns:a16="http://schemas.microsoft.com/office/drawing/2014/main" id="{00000000-0008-0000-0300-000075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0000" y="336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8192" y="16384"/>
                  </a:cxn>
                  <a:cxn ang="0">
                    <a:pos x="0" y="0"/>
                  </a:cxn>
                  <a:cxn ang="0">
                    <a:pos x="964" y="840"/>
                  </a:cxn>
                  <a:cxn ang="0">
                    <a:pos x="1446" y="840"/>
                  </a:cxn>
                  <a:cxn ang="0">
                    <a:pos x="1928" y="1260"/>
                  </a:cxn>
                  <a:cxn ang="0">
                    <a:pos x="2409" y="1260"/>
                  </a:cxn>
                  <a:cxn ang="0">
                    <a:pos x="3373" y="1260"/>
                  </a:cxn>
                  <a:cxn ang="0">
                    <a:pos x="3855" y="1680"/>
                  </a:cxn>
                  <a:cxn ang="0">
                    <a:pos x="4337" y="1680"/>
                  </a:cxn>
                  <a:cxn ang="0">
                    <a:pos x="5301" y="1680"/>
                  </a:cxn>
                  <a:cxn ang="0">
                    <a:pos x="5783" y="1680"/>
                  </a:cxn>
                  <a:cxn ang="0">
                    <a:pos x="6264" y="1680"/>
                  </a:cxn>
                  <a:cxn ang="0">
                    <a:pos x="6746" y="1680"/>
                  </a:cxn>
                  <a:cxn ang="0">
                    <a:pos x="6746" y="2521"/>
                  </a:cxn>
                  <a:cxn ang="0">
                    <a:pos x="7710" y="2521"/>
                  </a:cxn>
                  <a:cxn ang="0">
                    <a:pos x="8192" y="2521"/>
                  </a:cxn>
                  <a:cxn ang="0">
                    <a:pos x="8674" y="2521"/>
                  </a:cxn>
                  <a:cxn ang="0">
                    <a:pos x="9638" y="2521"/>
                  </a:cxn>
                  <a:cxn ang="0">
                    <a:pos x="9638" y="1680"/>
                  </a:cxn>
                  <a:cxn ang="0">
                    <a:pos x="10120" y="1680"/>
                  </a:cxn>
                  <a:cxn ang="0">
                    <a:pos x="10601" y="1680"/>
                  </a:cxn>
                  <a:cxn ang="0">
                    <a:pos x="11083" y="1680"/>
                  </a:cxn>
                  <a:cxn ang="0">
                    <a:pos x="12047" y="1680"/>
                  </a:cxn>
                  <a:cxn ang="0">
                    <a:pos x="12529" y="1680"/>
                  </a:cxn>
                  <a:cxn ang="0">
                    <a:pos x="13011" y="1260"/>
                  </a:cxn>
                  <a:cxn ang="0">
                    <a:pos x="13975" y="1260"/>
                  </a:cxn>
                  <a:cxn ang="0">
                    <a:pos x="14456" y="1260"/>
                  </a:cxn>
                  <a:cxn ang="0">
                    <a:pos x="14938" y="840"/>
                  </a:cxn>
                  <a:cxn ang="0">
                    <a:pos x="15420" y="840"/>
                  </a:cxn>
                  <a:cxn ang="0">
                    <a:pos x="16384" y="0"/>
                  </a:cxn>
                  <a:cxn ang="0">
                    <a:pos x="8192" y="16384"/>
                  </a:cxn>
                </a:cxnLst>
                <a:rect l="0" t="0" r="r" b="b"/>
                <a:pathLst>
                  <a:path w="16384" h="16384">
                    <a:moveTo>
                      <a:pt x="8192" y="16384"/>
                    </a:moveTo>
                    <a:lnTo>
                      <a:pt x="0" y="0"/>
                    </a:lnTo>
                    <a:lnTo>
                      <a:pt x="964" y="840"/>
                    </a:lnTo>
                    <a:lnTo>
                      <a:pt x="1446" y="840"/>
                    </a:lnTo>
                    <a:lnTo>
                      <a:pt x="1928" y="1260"/>
                    </a:lnTo>
                    <a:lnTo>
                      <a:pt x="2409" y="1260"/>
                    </a:lnTo>
                    <a:lnTo>
                      <a:pt x="3373" y="1260"/>
                    </a:lnTo>
                    <a:lnTo>
                      <a:pt x="3855" y="1680"/>
                    </a:lnTo>
                    <a:lnTo>
                      <a:pt x="4337" y="1680"/>
                    </a:lnTo>
                    <a:lnTo>
                      <a:pt x="5301" y="1680"/>
                    </a:lnTo>
                    <a:lnTo>
                      <a:pt x="5783" y="1680"/>
                    </a:lnTo>
                    <a:lnTo>
                      <a:pt x="6264" y="1680"/>
                    </a:lnTo>
                    <a:lnTo>
                      <a:pt x="6746" y="1680"/>
                    </a:lnTo>
                    <a:lnTo>
                      <a:pt x="6746" y="2521"/>
                    </a:lnTo>
                    <a:lnTo>
                      <a:pt x="7710" y="2521"/>
                    </a:lnTo>
                    <a:lnTo>
                      <a:pt x="8192" y="2521"/>
                    </a:lnTo>
                    <a:lnTo>
                      <a:pt x="8674" y="2521"/>
                    </a:lnTo>
                    <a:lnTo>
                      <a:pt x="9638" y="2521"/>
                    </a:lnTo>
                    <a:lnTo>
                      <a:pt x="9638" y="1680"/>
                    </a:lnTo>
                    <a:lnTo>
                      <a:pt x="10120" y="1680"/>
                    </a:lnTo>
                    <a:lnTo>
                      <a:pt x="10601" y="1680"/>
                    </a:lnTo>
                    <a:lnTo>
                      <a:pt x="11083" y="1680"/>
                    </a:lnTo>
                    <a:lnTo>
                      <a:pt x="12047" y="1680"/>
                    </a:lnTo>
                    <a:lnTo>
                      <a:pt x="12529" y="1680"/>
                    </a:lnTo>
                    <a:lnTo>
                      <a:pt x="13011" y="1260"/>
                    </a:lnTo>
                    <a:lnTo>
                      <a:pt x="13975" y="1260"/>
                    </a:lnTo>
                    <a:lnTo>
                      <a:pt x="14456" y="1260"/>
                    </a:lnTo>
                    <a:lnTo>
                      <a:pt x="14938" y="840"/>
                    </a:lnTo>
                    <a:lnTo>
                      <a:pt x="15420" y="840"/>
                    </a:lnTo>
                    <a:lnTo>
                      <a:pt x="16384" y="0"/>
                    </a:lnTo>
                    <a:lnTo>
                      <a:pt x="8192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62" name="Объект 521">
                <a:extLst>
                  <a:ext uri="{FF2B5EF4-FFF2-40B4-BE49-F238E27FC236}">
                    <a16:creationId xmlns:a16="http://schemas.microsoft.com/office/drawing/2014/main" id="{00000000-0008-0000-0300-000076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0000" y="1060000"/>
                <a:ext cx="280000" cy="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1150" y="0"/>
                  </a:cxn>
                  <a:cxn ang="0">
                    <a:pos x="7054" y="0"/>
                  </a:cxn>
                  <a:cxn ang="0">
                    <a:pos x="4096" y="0"/>
                  </a:cxn>
                  <a:cxn ang="0">
                    <a:pos x="2048" y="0"/>
                  </a:cxn>
                  <a:cxn ang="0">
                    <a:pos x="910" y="0"/>
                  </a:cxn>
                  <a:cxn ang="0">
                    <a:pos x="455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1150" y="0"/>
                    </a:lnTo>
                    <a:lnTo>
                      <a:pt x="7054" y="0"/>
                    </a:lnTo>
                    <a:lnTo>
                      <a:pt x="4096" y="0"/>
                    </a:lnTo>
                    <a:lnTo>
                      <a:pt x="2048" y="0"/>
                    </a:lnTo>
                    <a:lnTo>
                      <a:pt x="910" y="0"/>
                    </a:lnTo>
                    <a:lnTo>
                      <a:pt x="455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63" name="Объект 522">
                <a:extLst>
                  <a:ext uri="{FF2B5EF4-FFF2-40B4-BE49-F238E27FC236}">
                    <a16:creationId xmlns:a16="http://schemas.microsoft.com/office/drawing/2014/main" id="{00000000-0008-0000-0300-000077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0000" y="3720000"/>
                <a:ext cx="280000" cy="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0997" y="0"/>
                  </a:cxn>
                  <a:cxn ang="0">
                    <a:pos x="6958" y="0"/>
                  </a:cxn>
                  <a:cxn ang="0">
                    <a:pos x="4040" y="0"/>
                  </a:cxn>
                  <a:cxn ang="0">
                    <a:pos x="2020" y="0"/>
                  </a:cxn>
                  <a:cxn ang="0">
                    <a:pos x="898" y="0"/>
                  </a:cxn>
                  <a:cxn ang="0">
                    <a:pos x="22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0997" y="0"/>
                    </a:lnTo>
                    <a:lnTo>
                      <a:pt x="6958" y="0"/>
                    </a:lnTo>
                    <a:lnTo>
                      <a:pt x="4040" y="0"/>
                    </a:lnTo>
                    <a:lnTo>
                      <a:pt x="2020" y="0"/>
                    </a:lnTo>
                    <a:lnTo>
                      <a:pt x="898" y="0"/>
                    </a:lnTo>
                    <a:lnTo>
                      <a:pt x="224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64" name="Объект 523">
                <a:extLst>
                  <a:ext uri="{FF2B5EF4-FFF2-40B4-BE49-F238E27FC236}">
                    <a16:creationId xmlns:a16="http://schemas.microsoft.com/office/drawing/2014/main" id="{00000000-0008-0000-0300-000078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0000" y="1120000"/>
                <a:ext cx="20000" cy="10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3947"/>
                  </a:cxn>
                  <a:cxn ang="0">
                    <a:pos x="0" y="7354"/>
                  </a:cxn>
                  <a:cxn ang="0">
                    <a:pos x="0" y="10220"/>
                  </a:cxn>
                  <a:cxn ang="0">
                    <a:pos x="0" y="12491"/>
                  </a:cxn>
                  <a:cxn ang="0">
                    <a:pos x="0" y="14221"/>
                  </a:cxn>
                  <a:cxn ang="0">
                    <a:pos x="0" y="15411"/>
                  </a:cxn>
                  <a:cxn ang="0">
                    <a:pos x="0" y="16168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3947"/>
                    </a:lnTo>
                    <a:lnTo>
                      <a:pt x="0" y="7354"/>
                    </a:lnTo>
                    <a:lnTo>
                      <a:pt x="0" y="10220"/>
                    </a:lnTo>
                    <a:lnTo>
                      <a:pt x="0" y="12491"/>
                    </a:lnTo>
                    <a:lnTo>
                      <a:pt x="0" y="14221"/>
                    </a:lnTo>
                    <a:lnTo>
                      <a:pt x="0" y="15411"/>
                    </a:lnTo>
                    <a:lnTo>
                      <a:pt x="0" y="16168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65" name="Объект 524">
                <a:extLst>
                  <a:ext uri="{FF2B5EF4-FFF2-40B4-BE49-F238E27FC236}">
                    <a16:creationId xmlns:a16="http://schemas.microsoft.com/office/drawing/2014/main" id="{00000000-0008-0000-0300-000079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000" y="106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192" y="0"/>
                  </a:cxn>
                  <a:cxn ang="0">
                    <a:pos x="16384" y="16384"/>
                  </a:cxn>
                  <a:cxn ang="0">
                    <a:pos x="15872" y="16384"/>
                  </a:cxn>
                  <a:cxn ang="0">
                    <a:pos x="15872" y="15941"/>
                  </a:cxn>
                  <a:cxn ang="0">
                    <a:pos x="14848" y="15941"/>
                  </a:cxn>
                  <a:cxn ang="0">
                    <a:pos x="14336" y="15941"/>
                  </a:cxn>
                  <a:cxn ang="0">
                    <a:pos x="13824" y="15941"/>
                  </a:cxn>
                  <a:cxn ang="0">
                    <a:pos x="13824" y="15498"/>
                  </a:cxn>
                  <a:cxn ang="0">
                    <a:pos x="12800" y="15498"/>
                  </a:cxn>
                  <a:cxn ang="0">
                    <a:pos x="12288" y="15498"/>
                  </a:cxn>
                  <a:cxn ang="0">
                    <a:pos x="11776" y="15498"/>
                  </a:cxn>
                  <a:cxn ang="0">
                    <a:pos x="11264" y="14613"/>
                  </a:cxn>
                  <a:cxn ang="0">
                    <a:pos x="10240" y="14613"/>
                  </a:cxn>
                  <a:cxn ang="0">
                    <a:pos x="9728" y="14613"/>
                  </a:cxn>
                  <a:cxn ang="0">
                    <a:pos x="9216" y="14613"/>
                  </a:cxn>
                  <a:cxn ang="0">
                    <a:pos x="8192" y="14613"/>
                  </a:cxn>
                  <a:cxn ang="0">
                    <a:pos x="7680" y="14613"/>
                  </a:cxn>
                  <a:cxn ang="0">
                    <a:pos x="7168" y="14613"/>
                  </a:cxn>
                  <a:cxn ang="0">
                    <a:pos x="6656" y="14613"/>
                  </a:cxn>
                  <a:cxn ang="0">
                    <a:pos x="5632" y="14613"/>
                  </a:cxn>
                  <a:cxn ang="0">
                    <a:pos x="5120" y="14613"/>
                  </a:cxn>
                  <a:cxn ang="0">
                    <a:pos x="4608" y="15498"/>
                  </a:cxn>
                  <a:cxn ang="0">
                    <a:pos x="3584" y="15498"/>
                  </a:cxn>
                  <a:cxn ang="0">
                    <a:pos x="3072" y="15498"/>
                  </a:cxn>
                  <a:cxn ang="0">
                    <a:pos x="2560" y="15941"/>
                  </a:cxn>
                  <a:cxn ang="0">
                    <a:pos x="2048" y="15941"/>
                  </a:cxn>
                  <a:cxn ang="0">
                    <a:pos x="1024" y="15941"/>
                  </a:cxn>
                  <a:cxn ang="0">
                    <a:pos x="512" y="16384"/>
                  </a:cxn>
                  <a:cxn ang="0">
                    <a:pos x="0" y="16384"/>
                  </a:cxn>
                  <a:cxn ang="0">
                    <a:pos x="8192" y="0"/>
                  </a:cxn>
                </a:cxnLst>
                <a:rect l="0" t="0" r="r" b="b"/>
                <a:pathLst>
                  <a:path w="16384" h="16384">
                    <a:moveTo>
                      <a:pt x="8192" y="0"/>
                    </a:moveTo>
                    <a:lnTo>
                      <a:pt x="16384" y="16384"/>
                    </a:lnTo>
                    <a:lnTo>
                      <a:pt x="15872" y="16384"/>
                    </a:lnTo>
                    <a:lnTo>
                      <a:pt x="15872" y="15941"/>
                    </a:lnTo>
                    <a:lnTo>
                      <a:pt x="14848" y="15941"/>
                    </a:lnTo>
                    <a:lnTo>
                      <a:pt x="14336" y="15941"/>
                    </a:lnTo>
                    <a:lnTo>
                      <a:pt x="13824" y="15941"/>
                    </a:lnTo>
                    <a:lnTo>
                      <a:pt x="13824" y="15498"/>
                    </a:lnTo>
                    <a:lnTo>
                      <a:pt x="12800" y="15498"/>
                    </a:lnTo>
                    <a:lnTo>
                      <a:pt x="12288" y="15498"/>
                    </a:lnTo>
                    <a:lnTo>
                      <a:pt x="11776" y="15498"/>
                    </a:lnTo>
                    <a:lnTo>
                      <a:pt x="11264" y="14613"/>
                    </a:lnTo>
                    <a:lnTo>
                      <a:pt x="10240" y="14613"/>
                    </a:lnTo>
                    <a:lnTo>
                      <a:pt x="9728" y="14613"/>
                    </a:lnTo>
                    <a:lnTo>
                      <a:pt x="9216" y="14613"/>
                    </a:lnTo>
                    <a:lnTo>
                      <a:pt x="8192" y="14613"/>
                    </a:lnTo>
                    <a:lnTo>
                      <a:pt x="7680" y="14613"/>
                    </a:lnTo>
                    <a:lnTo>
                      <a:pt x="7168" y="14613"/>
                    </a:lnTo>
                    <a:lnTo>
                      <a:pt x="6656" y="14613"/>
                    </a:lnTo>
                    <a:lnTo>
                      <a:pt x="5632" y="14613"/>
                    </a:lnTo>
                    <a:lnTo>
                      <a:pt x="5120" y="14613"/>
                    </a:lnTo>
                    <a:lnTo>
                      <a:pt x="4608" y="15498"/>
                    </a:lnTo>
                    <a:lnTo>
                      <a:pt x="3584" y="15498"/>
                    </a:lnTo>
                    <a:lnTo>
                      <a:pt x="3072" y="15498"/>
                    </a:lnTo>
                    <a:lnTo>
                      <a:pt x="2560" y="15941"/>
                    </a:lnTo>
                    <a:lnTo>
                      <a:pt x="2048" y="15941"/>
                    </a:lnTo>
                    <a:lnTo>
                      <a:pt x="1024" y="15941"/>
                    </a:lnTo>
                    <a:lnTo>
                      <a:pt x="512" y="16384"/>
                    </a:lnTo>
                    <a:lnTo>
                      <a:pt x="0" y="16384"/>
                    </a:lnTo>
                    <a:lnTo>
                      <a:pt x="8192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66" name="Объект 525">
                <a:extLst>
                  <a:ext uri="{FF2B5EF4-FFF2-40B4-BE49-F238E27FC236}">
                    <a16:creationId xmlns:a16="http://schemas.microsoft.com/office/drawing/2014/main" id="{00000000-0008-0000-0300-00007A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0000" y="2580000"/>
                <a:ext cx="20000" cy="108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0" y="13086"/>
                  </a:cxn>
                  <a:cxn ang="0">
                    <a:pos x="0" y="10058"/>
                  </a:cxn>
                  <a:cxn ang="0">
                    <a:pos x="0" y="7300"/>
                  </a:cxn>
                  <a:cxn ang="0">
                    <a:pos x="0" y="4867"/>
                  </a:cxn>
                  <a:cxn ang="0">
                    <a:pos x="0" y="2866"/>
                  </a:cxn>
                  <a:cxn ang="0">
                    <a:pos x="0" y="1352"/>
                  </a:cxn>
                  <a:cxn ang="0">
                    <a:pos x="0" y="379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0" y="13086"/>
                    </a:lnTo>
                    <a:lnTo>
                      <a:pt x="0" y="10058"/>
                    </a:lnTo>
                    <a:lnTo>
                      <a:pt x="0" y="7300"/>
                    </a:lnTo>
                    <a:lnTo>
                      <a:pt x="0" y="4867"/>
                    </a:lnTo>
                    <a:lnTo>
                      <a:pt x="0" y="2866"/>
                    </a:lnTo>
                    <a:lnTo>
                      <a:pt x="0" y="1352"/>
                    </a:lnTo>
                    <a:lnTo>
                      <a:pt x="0" y="379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67" name="Объект 526">
                <a:extLst>
                  <a:ext uri="{FF2B5EF4-FFF2-40B4-BE49-F238E27FC236}">
                    <a16:creationId xmlns:a16="http://schemas.microsoft.com/office/drawing/2014/main" id="{00000000-0008-0000-0300-00007B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000" y="3580000"/>
                <a:ext cx="140000" cy="140000"/>
              </a:xfrm>
              <a:custGeom>
                <a:avLst/>
                <a:gdLst/>
                <a:ahLst/>
                <a:cxnLst>
                  <a:cxn ang="0">
                    <a:pos x="8192" y="16384"/>
                  </a:cxn>
                  <a:cxn ang="0">
                    <a:pos x="0" y="0"/>
                  </a:cxn>
                  <a:cxn ang="0">
                    <a:pos x="512" y="0"/>
                  </a:cxn>
                  <a:cxn ang="0">
                    <a:pos x="1024" y="0"/>
                  </a:cxn>
                  <a:cxn ang="0">
                    <a:pos x="1024" y="443"/>
                  </a:cxn>
                  <a:cxn ang="0">
                    <a:pos x="2048" y="443"/>
                  </a:cxn>
                  <a:cxn ang="0">
                    <a:pos x="2560" y="443"/>
                  </a:cxn>
                  <a:cxn ang="0">
                    <a:pos x="3072" y="886"/>
                  </a:cxn>
                  <a:cxn ang="0">
                    <a:pos x="3584" y="886"/>
                  </a:cxn>
                  <a:cxn ang="0">
                    <a:pos x="4608" y="886"/>
                  </a:cxn>
                  <a:cxn ang="0">
                    <a:pos x="5120" y="886"/>
                  </a:cxn>
                  <a:cxn ang="0">
                    <a:pos x="5632" y="1771"/>
                  </a:cxn>
                  <a:cxn ang="0">
                    <a:pos x="6656" y="1771"/>
                  </a:cxn>
                  <a:cxn ang="0">
                    <a:pos x="7168" y="1771"/>
                  </a:cxn>
                  <a:cxn ang="0">
                    <a:pos x="7680" y="1771"/>
                  </a:cxn>
                  <a:cxn ang="0">
                    <a:pos x="8192" y="1771"/>
                  </a:cxn>
                  <a:cxn ang="0">
                    <a:pos x="9216" y="1771"/>
                  </a:cxn>
                  <a:cxn ang="0">
                    <a:pos x="9728" y="1771"/>
                  </a:cxn>
                  <a:cxn ang="0">
                    <a:pos x="10240" y="1771"/>
                  </a:cxn>
                  <a:cxn ang="0">
                    <a:pos x="11264" y="1771"/>
                  </a:cxn>
                  <a:cxn ang="0">
                    <a:pos x="11264" y="886"/>
                  </a:cxn>
                  <a:cxn ang="0">
                    <a:pos x="11776" y="886"/>
                  </a:cxn>
                  <a:cxn ang="0">
                    <a:pos x="12288" y="886"/>
                  </a:cxn>
                  <a:cxn ang="0">
                    <a:pos x="12800" y="886"/>
                  </a:cxn>
                  <a:cxn ang="0">
                    <a:pos x="13824" y="886"/>
                  </a:cxn>
                  <a:cxn ang="0">
                    <a:pos x="13824" y="443"/>
                  </a:cxn>
                  <a:cxn ang="0">
                    <a:pos x="14336" y="443"/>
                  </a:cxn>
                  <a:cxn ang="0">
                    <a:pos x="14848" y="443"/>
                  </a:cxn>
                  <a:cxn ang="0">
                    <a:pos x="15872" y="0"/>
                  </a:cxn>
                  <a:cxn ang="0">
                    <a:pos x="16384" y="0"/>
                  </a:cxn>
                  <a:cxn ang="0">
                    <a:pos x="8192" y="16384"/>
                  </a:cxn>
                </a:cxnLst>
                <a:rect l="0" t="0" r="r" b="b"/>
                <a:pathLst>
                  <a:path w="16384" h="16384">
                    <a:moveTo>
                      <a:pt x="8192" y="16384"/>
                    </a:moveTo>
                    <a:lnTo>
                      <a:pt x="0" y="0"/>
                    </a:lnTo>
                    <a:lnTo>
                      <a:pt x="512" y="0"/>
                    </a:lnTo>
                    <a:lnTo>
                      <a:pt x="1024" y="0"/>
                    </a:lnTo>
                    <a:lnTo>
                      <a:pt x="1024" y="443"/>
                    </a:lnTo>
                    <a:lnTo>
                      <a:pt x="2048" y="443"/>
                    </a:lnTo>
                    <a:lnTo>
                      <a:pt x="2560" y="443"/>
                    </a:lnTo>
                    <a:lnTo>
                      <a:pt x="3072" y="886"/>
                    </a:lnTo>
                    <a:lnTo>
                      <a:pt x="3584" y="886"/>
                    </a:lnTo>
                    <a:lnTo>
                      <a:pt x="4608" y="886"/>
                    </a:lnTo>
                    <a:lnTo>
                      <a:pt x="5120" y="886"/>
                    </a:lnTo>
                    <a:lnTo>
                      <a:pt x="5632" y="1771"/>
                    </a:lnTo>
                    <a:lnTo>
                      <a:pt x="6656" y="1771"/>
                    </a:lnTo>
                    <a:lnTo>
                      <a:pt x="7168" y="1771"/>
                    </a:lnTo>
                    <a:lnTo>
                      <a:pt x="7680" y="1771"/>
                    </a:lnTo>
                    <a:lnTo>
                      <a:pt x="8192" y="1771"/>
                    </a:lnTo>
                    <a:lnTo>
                      <a:pt x="9216" y="1771"/>
                    </a:lnTo>
                    <a:lnTo>
                      <a:pt x="9728" y="1771"/>
                    </a:lnTo>
                    <a:lnTo>
                      <a:pt x="10240" y="1771"/>
                    </a:lnTo>
                    <a:lnTo>
                      <a:pt x="11264" y="1771"/>
                    </a:lnTo>
                    <a:lnTo>
                      <a:pt x="11264" y="886"/>
                    </a:lnTo>
                    <a:lnTo>
                      <a:pt x="11776" y="886"/>
                    </a:lnTo>
                    <a:lnTo>
                      <a:pt x="12288" y="886"/>
                    </a:lnTo>
                    <a:lnTo>
                      <a:pt x="12800" y="886"/>
                    </a:lnTo>
                    <a:lnTo>
                      <a:pt x="13824" y="886"/>
                    </a:lnTo>
                    <a:lnTo>
                      <a:pt x="13824" y="443"/>
                    </a:lnTo>
                    <a:lnTo>
                      <a:pt x="14336" y="443"/>
                    </a:lnTo>
                    <a:lnTo>
                      <a:pt x="14848" y="443"/>
                    </a:lnTo>
                    <a:lnTo>
                      <a:pt x="15872" y="0"/>
                    </a:lnTo>
                    <a:lnTo>
                      <a:pt x="16384" y="0"/>
                    </a:lnTo>
                    <a:lnTo>
                      <a:pt x="8192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68" name="Объект 527">
                <a:extLst>
                  <a:ext uri="{FF2B5EF4-FFF2-40B4-BE49-F238E27FC236}">
                    <a16:creationId xmlns:a16="http://schemas.microsoft.com/office/drawing/2014/main" id="{00000000-0008-0000-0300-00007C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3780000"/>
                <a:ext cx="20000" cy="26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234"/>
                  </a:cxn>
                  <a:cxn ang="0">
                    <a:pos x="0" y="9330"/>
                  </a:cxn>
                  <a:cxn ang="0">
                    <a:pos x="0" y="12516"/>
                  </a:cxn>
                  <a:cxn ang="0">
                    <a:pos x="0" y="14336"/>
                  </a:cxn>
                  <a:cxn ang="0">
                    <a:pos x="0" y="1547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234"/>
                    </a:lnTo>
                    <a:lnTo>
                      <a:pt x="0" y="9330"/>
                    </a:lnTo>
                    <a:lnTo>
                      <a:pt x="0" y="12516"/>
                    </a:lnTo>
                    <a:lnTo>
                      <a:pt x="0" y="14336"/>
                    </a:lnTo>
                    <a:lnTo>
                      <a:pt x="0" y="1547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69" name="Объект 528">
                <a:extLst>
                  <a:ext uri="{FF2B5EF4-FFF2-40B4-BE49-F238E27FC236}">
                    <a16:creationId xmlns:a16="http://schemas.microsoft.com/office/drawing/2014/main" id="{00000000-0008-0000-0300-00007D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40000" y="3780000"/>
                <a:ext cx="20000" cy="26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87"/>
                  </a:cxn>
                  <a:cxn ang="0">
                    <a:pos x="0" y="9426"/>
                  </a:cxn>
                  <a:cxn ang="0">
                    <a:pos x="0" y="12344"/>
                  </a:cxn>
                  <a:cxn ang="0">
                    <a:pos x="0" y="14364"/>
                  </a:cxn>
                  <a:cxn ang="0">
                    <a:pos x="0" y="15486"/>
                  </a:cxn>
                  <a:cxn ang="0">
                    <a:pos x="0" y="16160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87"/>
                    </a:lnTo>
                    <a:lnTo>
                      <a:pt x="0" y="9426"/>
                    </a:lnTo>
                    <a:lnTo>
                      <a:pt x="0" y="12344"/>
                    </a:lnTo>
                    <a:lnTo>
                      <a:pt x="0" y="14364"/>
                    </a:lnTo>
                    <a:lnTo>
                      <a:pt x="0" y="15486"/>
                    </a:lnTo>
                    <a:lnTo>
                      <a:pt x="0" y="16160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70" name="Объект 529">
                <a:extLst>
                  <a:ext uri="{FF2B5EF4-FFF2-40B4-BE49-F238E27FC236}">
                    <a16:creationId xmlns:a16="http://schemas.microsoft.com/office/drawing/2014/main" id="{00000000-0008-0000-0300-00007E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0000" y="3940000"/>
                <a:ext cx="78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06" y="0"/>
                  </a:cxn>
                  <a:cxn ang="0">
                    <a:pos x="9481" y="0"/>
                  </a:cxn>
                  <a:cxn ang="0">
                    <a:pos x="12392" y="0"/>
                  </a:cxn>
                  <a:cxn ang="0">
                    <a:pos x="14305" y="0"/>
                  </a:cxn>
                  <a:cxn ang="0">
                    <a:pos x="15552" y="0"/>
                  </a:cxn>
                  <a:cxn ang="0">
                    <a:pos x="16051" y="0"/>
                  </a:cxn>
                  <a:cxn ang="0">
                    <a:pos x="16301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06" y="0"/>
                    </a:lnTo>
                    <a:lnTo>
                      <a:pt x="9481" y="0"/>
                    </a:lnTo>
                    <a:lnTo>
                      <a:pt x="12392" y="0"/>
                    </a:lnTo>
                    <a:lnTo>
                      <a:pt x="14305" y="0"/>
                    </a:lnTo>
                    <a:lnTo>
                      <a:pt x="15552" y="0"/>
                    </a:lnTo>
                    <a:lnTo>
                      <a:pt x="16051" y="0"/>
                    </a:lnTo>
                    <a:lnTo>
                      <a:pt x="16301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71" name="Объект 530">
                <a:extLst>
                  <a:ext uri="{FF2B5EF4-FFF2-40B4-BE49-F238E27FC236}">
                    <a16:creationId xmlns:a16="http://schemas.microsoft.com/office/drawing/2014/main" id="{00000000-0008-0000-0300-00007F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3880000"/>
                <a:ext cx="160000" cy="100000"/>
              </a:xfrm>
              <a:custGeom>
                <a:avLst/>
                <a:gdLst/>
                <a:ahLst/>
                <a:cxnLst>
                  <a:cxn ang="0">
                    <a:pos x="0" y="8192"/>
                  </a:cxn>
                  <a:cxn ang="0">
                    <a:pos x="16384" y="0"/>
                  </a:cxn>
                  <a:cxn ang="0">
                    <a:pos x="15953" y="512"/>
                  </a:cxn>
                  <a:cxn ang="0">
                    <a:pos x="15953" y="1536"/>
                  </a:cxn>
                  <a:cxn ang="0">
                    <a:pos x="15522" y="2048"/>
                  </a:cxn>
                  <a:cxn ang="0">
                    <a:pos x="15522" y="2560"/>
                  </a:cxn>
                  <a:cxn ang="0">
                    <a:pos x="15522" y="3584"/>
                  </a:cxn>
                  <a:cxn ang="0">
                    <a:pos x="14659" y="4096"/>
                  </a:cxn>
                  <a:cxn ang="0">
                    <a:pos x="14659" y="4608"/>
                  </a:cxn>
                  <a:cxn ang="0">
                    <a:pos x="14659" y="5120"/>
                  </a:cxn>
                  <a:cxn ang="0">
                    <a:pos x="14659" y="6144"/>
                  </a:cxn>
                  <a:cxn ang="0">
                    <a:pos x="14659" y="6656"/>
                  </a:cxn>
                  <a:cxn ang="0">
                    <a:pos x="14659" y="7168"/>
                  </a:cxn>
                  <a:cxn ang="0">
                    <a:pos x="14659" y="8192"/>
                  </a:cxn>
                  <a:cxn ang="0">
                    <a:pos x="14659" y="8704"/>
                  </a:cxn>
                  <a:cxn ang="0">
                    <a:pos x="14659" y="9216"/>
                  </a:cxn>
                  <a:cxn ang="0">
                    <a:pos x="14659" y="9728"/>
                  </a:cxn>
                  <a:cxn ang="0">
                    <a:pos x="14659" y="10752"/>
                  </a:cxn>
                  <a:cxn ang="0">
                    <a:pos x="14659" y="11264"/>
                  </a:cxn>
                  <a:cxn ang="0">
                    <a:pos x="14659" y="11776"/>
                  </a:cxn>
                  <a:cxn ang="0">
                    <a:pos x="14659" y="12288"/>
                  </a:cxn>
                  <a:cxn ang="0">
                    <a:pos x="15522" y="13312"/>
                  </a:cxn>
                  <a:cxn ang="0">
                    <a:pos x="15522" y="13824"/>
                  </a:cxn>
                  <a:cxn ang="0">
                    <a:pos x="15522" y="14336"/>
                  </a:cxn>
                  <a:cxn ang="0">
                    <a:pos x="15953" y="15360"/>
                  </a:cxn>
                  <a:cxn ang="0">
                    <a:pos x="15953" y="15872"/>
                  </a:cxn>
                  <a:cxn ang="0">
                    <a:pos x="16384" y="16384"/>
                  </a:cxn>
                  <a:cxn ang="0">
                    <a:pos x="0" y="8192"/>
                  </a:cxn>
                </a:cxnLst>
                <a:rect l="0" t="0" r="r" b="b"/>
                <a:pathLst>
                  <a:path w="16384" h="16384">
                    <a:moveTo>
                      <a:pt x="0" y="8192"/>
                    </a:moveTo>
                    <a:lnTo>
                      <a:pt x="16384" y="0"/>
                    </a:lnTo>
                    <a:lnTo>
                      <a:pt x="15953" y="512"/>
                    </a:lnTo>
                    <a:lnTo>
                      <a:pt x="15953" y="1536"/>
                    </a:lnTo>
                    <a:lnTo>
                      <a:pt x="15522" y="2048"/>
                    </a:lnTo>
                    <a:lnTo>
                      <a:pt x="15522" y="2560"/>
                    </a:lnTo>
                    <a:lnTo>
                      <a:pt x="15522" y="3584"/>
                    </a:lnTo>
                    <a:lnTo>
                      <a:pt x="14659" y="4096"/>
                    </a:lnTo>
                    <a:lnTo>
                      <a:pt x="14659" y="4608"/>
                    </a:lnTo>
                    <a:lnTo>
                      <a:pt x="14659" y="5120"/>
                    </a:lnTo>
                    <a:lnTo>
                      <a:pt x="14659" y="6144"/>
                    </a:lnTo>
                    <a:lnTo>
                      <a:pt x="14659" y="6656"/>
                    </a:lnTo>
                    <a:lnTo>
                      <a:pt x="14659" y="7168"/>
                    </a:lnTo>
                    <a:lnTo>
                      <a:pt x="14659" y="8192"/>
                    </a:lnTo>
                    <a:lnTo>
                      <a:pt x="14659" y="8704"/>
                    </a:lnTo>
                    <a:lnTo>
                      <a:pt x="14659" y="9216"/>
                    </a:lnTo>
                    <a:lnTo>
                      <a:pt x="14659" y="9728"/>
                    </a:lnTo>
                    <a:lnTo>
                      <a:pt x="14659" y="10752"/>
                    </a:lnTo>
                    <a:lnTo>
                      <a:pt x="14659" y="11264"/>
                    </a:lnTo>
                    <a:lnTo>
                      <a:pt x="14659" y="11776"/>
                    </a:lnTo>
                    <a:lnTo>
                      <a:pt x="14659" y="12288"/>
                    </a:lnTo>
                    <a:lnTo>
                      <a:pt x="15522" y="13312"/>
                    </a:lnTo>
                    <a:lnTo>
                      <a:pt x="15522" y="13824"/>
                    </a:lnTo>
                    <a:lnTo>
                      <a:pt x="15522" y="14336"/>
                    </a:lnTo>
                    <a:lnTo>
                      <a:pt x="15953" y="15360"/>
                    </a:lnTo>
                    <a:lnTo>
                      <a:pt x="15953" y="15872"/>
                    </a:lnTo>
                    <a:lnTo>
                      <a:pt x="16384" y="16384"/>
                    </a:lnTo>
                    <a:lnTo>
                      <a:pt x="0" y="8192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72" name="Объект 531">
                <a:extLst>
                  <a:ext uri="{FF2B5EF4-FFF2-40B4-BE49-F238E27FC236}">
                    <a16:creationId xmlns:a16="http://schemas.microsoft.com/office/drawing/2014/main" id="{00000000-0008-0000-0300-000080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80000" y="3940000"/>
                <a:ext cx="800000" cy="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0978" y="0"/>
                  </a:cxn>
                  <a:cxn ang="0">
                    <a:pos x="6903" y="0"/>
                  </a:cxn>
                  <a:cxn ang="0">
                    <a:pos x="3909" y="0"/>
                  </a:cxn>
                  <a:cxn ang="0">
                    <a:pos x="1996" y="0"/>
                  </a:cxn>
                  <a:cxn ang="0">
                    <a:pos x="832" y="0"/>
                  </a:cxn>
                  <a:cxn ang="0">
                    <a:pos x="250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0978" y="0"/>
                    </a:lnTo>
                    <a:lnTo>
                      <a:pt x="6903" y="0"/>
                    </a:lnTo>
                    <a:lnTo>
                      <a:pt x="3909" y="0"/>
                    </a:lnTo>
                    <a:lnTo>
                      <a:pt x="1996" y="0"/>
                    </a:lnTo>
                    <a:lnTo>
                      <a:pt x="832" y="0"/>
                    </a:lnTo>
                    <a:lnTo>
                      <a:pt x="250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73" name="Объект 532">
                <a:extLst>
                  <a:ext uri="{FF2B5EF4-FFF2-40B4-BE49-F238E27FC236}">
                    <a16:creationId xmlns:a16="http://schemas.microsoft.com/office/drawing/2014/main" id="{00000000-0008-0000-0300-000081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00000" y="388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16384" y="8192"/>
                  </a:cxn>
                  <a:cxn ang="0">
                    <a:pos x="0" y="16384"/>
                  </a:cxn>
                  <a:cxn ang="0">
                    <a:pos x="0" y="15872"/>
                  </a:cxn>
                  <a:cxn ang="0">
                    <a:pos x="443" y="15872"/>
                  </a:cxn>
                  <a:cxn ang="0">
                    <a:pos x="443" y="15360"/>
                  </a:cxn>
                  <a:cxn ang="0">
                    <a:pos x="443" y="14336"/>
                  </a:cxn>
                  <a:cxn ang="0">
                    <a:pos x="886" y="13824"/>
                  </a:cxn>
                  <a:cxn ang="0">
                    <a:pos x="886" y="13312"/>
                  </a:cxn>
                  <a:cxn ang="0">
                    <a:pos x="886" y="12288"/>
                  </a:cxn>
                  <a:cxn ang="0">
                    <a:pos x="1771" y="11776"/>
                  </a:cxn>
                  <a:cxn ang="0">
                    <a:pos x="1771" y="11264"/>
                  </a:cxn>
                  <a:cxn ang="0">
                    <a:pos x="1771" y="10752"/>
                  </a:cxn>
                  <a:cxn ang="0">
                    <a:pos x="1771" y="9728"/>
                  </a:cxn>
                  <a:cxn ang="0">
                    <a:pos x="1771" y="9216"/>
                  </a:cxn>
                  <a:cxn ang="0">
                    <a:pos x="1771" y="8704"/>
                  </a:cxn>
                  <a:cxn ang="0">
                    <a:pos x="1771" y="8192"/>
                  </a:cxn>
                  <a:cxn ang="0">
                    <a:pos x="1771" y="7168"/>
                  </a:cxn>
                  <a:cxn ang="0">
                    <a:pos x="1771" y="6656"/>
                  </a:cxn>
                  <a:cxn ang="0">
                    <a:pos x="1771" y="6144"/>
                  </a:cxn>
                  <a:cxn ang="0">
                    <a:pos x="1771" y="5120"/>
                  </a:cxn>
                  <a:cxn ang="0">
                    <a:pos x="1771" y="4608"/>
                  </a:cxn>
                  <a:cxn ang="0">
                    <a:pos x="886" y="4096"/>
                  </a:cxn>
                  <a:cxn ang="0">
                    <a:pos x="886" y="3584"/>
                  </a:cxn>
                  <a:cxn ang="0">
                    <a:pos x="886" y="2560"/>
                  </a:cxn>
                  <a:cxn ang="0">
                    <a:pos x="443" y="2048"/>
                  </a:cxn>
                  <a:cxn ang="0">
                    <a:pos x="443" y="1536"/>
                  </a:cxn>
                  <a:cxn ang="0">
                    <a:pos x="443" y="512"/>
                  </a:cxn>
                  <a:cxn ang="0">
                    <a:pos x="0" y="512"/>
                  </a:cxn>
                  <a:cxn ang="0">
                    <a:pos x="0" y="0"/>
                  </a:cxn>
                  <a:cxn ang="0">
                    <a:pos x="16384" y="8192"/>
                  </a:cxn>
                </a:cxnLst>
                <a:rect l="0" t="0" r="r" b="b"/>
                <a:pathLst>
                  <a:path w="16384" h="16384">
                    <a:moveTo>
                      <a:pt x="16384" y="8192"/>
                    </a:moveTo>
                    <a:lnTo>
                      <a:pt x="0" y="16384"/>
                    </a:lnTo>
                    <a:lnTo>
                      <a:pt x="0" y="15872"/>
                    </a:lnTo>
                    <a:lnTo>
                      <a:pt x="443" y="15872"/>
                    </a:lnTo>
                    <a:lnTo>
                      <a:pt x="443" y="15360"/>
                    </a:lnTo>
                    <a:lnTo>
                      <a:pt x="443" y="14336"/>
                    </a:lnTo>
                    <a:lnTo>
                      <a:pt x="886" y="13824"/>
                    </a:lnTo>
                    <a:lnTo>
                      <a:pt x="886" y="13312"/>
                    </a:lnTo>
                    <a:lnTo>
                      <a:pt x="886" y="12288"/>
                    </a:lnTo>
                    <a:lnTo>
                      <a:pt x="1771" y="11776"/>
                    </a:lnTo>
                    <a:lnTo>
                      <a:pt x="1771" y="11264"/>
                    </a:lnTo>
                    <a:lnTo>
                      <a:pt x="1771" y="10752"/>
                    </a:lnTo>
                    <a:lnTo>
                      <a:pt x="1771" y="9728"/>
                    </a:lnTo>
                    <a:lnTo>
                      <a:pt x="1771" y="9216"/>
                    </a:lnTo>
                    <a:lnTo>
                      <a:pt x="1771" y="8704"/>
                    </a:lnTo>
                    <a:lnTo>
                      <a:pt x="1771" y="8192"/>
                    </a:lnTo>
                    <a:lnTo>
                      <a:pt x="1771" y="7168"/>
                    </a:lnTo>
                    <a:lnTo>
                      <a:pt x="1771" y="6656"/>
                    </a:lnTo>
                    <a:lnTo>
                      <a:pt x="1771" y="6144"/>
                    </a:lnTo>
                    <a:lnTo>
                      <a:pt x="1771" y="5120"/>
                    </a:lnTo>
                    <a:lnTo>
                      <a:pt x="1771" y="4608"/>
                    </a:lnTo>
                    <a:lnTo>
                      <a:pt x="886" y="4096"/>
                    </a:lnTo>
                    <a:lnTo>
                      <a:pt x="886" y="3584"/>
                    </a:lnTo>
                    <a:lnTo>
                      <a:pt x="886" y="2560"/>
                    </a:lnTo>
                    <a:lnTo>
                      <a:pt x="443" y="2048"/>
                    </a:lnTo>
                    <a:lnTo>
                      <a:pt x="443" y="1536"/>
                    </a:lnTo>
                    <a:lnTo>
                      <a:pt x="443" y="512"/>
                    </a:lnTo>
                    <a:lnTo>
                      <a:pt x="0" y="512"/>
                    </a:lnTo>
                    <a:lnTo>
                      <a:pt x="0" y="0"/>
                    </a:lnTo>
                    <a:lnTo>
                      <a:pt x="16384" y="8192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74" name="Объект 533">
                <a:extLst>
                  <a:ext uri="{FF2B5EF4-FFF2-40B4-BE49-F238E27FC236}">
                    <a16:creationId xmlns:a16="http://schemas.microsoft.com/office/drawing/2014/main" id="{00000000-0008-0000-0300-000082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0000" y="1120000"/>
                <a:ext cx="80000" cy="100000"/>
              </a:xfrm>
              <a:custGeom>
                <a:avLst/>
                <a:gdLst/>
                <a:ahLst/>
                <a:cxnLst>
                  <a:cxn ang="0">
                    <a:pos x="964" y="0"/>
                  </a:cxn>
                  <a:cxn ang="0">
                    <a:pos x="4819" y="0"/>
                  </a:cxn>
                  <a:cxn ang="0">
                    <a:pos x="16384" y="15073"/>
                  </a:cxn>
                  <a:cxn ang="0">
                    <a:pos x="11565" y="16384"/>
                  </a:cxn>
                  <a:cxn ang="0">
                    <a:pos x="0" y="1311"/>
                  </a:cxn>
                  <a:cxn ang="0">
                    <a:pos x="4819" y="2621"/>
                  </a:cxn>
                  <a:cxn ang="0">
                    <a:pos x="964" y="0"/>
                  </a:cxn>
                </a:cxnLst>
                <a:rect l="0" t="0" r="r" b="b"/>
                <a:pathLst>
                  <a:path w="16384" h="16384">
                    <a:moveTo>
                      <a:pt x="964" y="0"/>
                    </a:moveTo>
                    <a:lnTo>
                      <a:pt x="4819" y="0"/>
                    </a:lnTo>
                    <a:lnTo>
                      <a:pt x="16384" y="15073"/>
                    </a:lnTo>
                    <a:lnTo>
                      <a:pt x="11565" y="16384"/>
                    </a:lnTo>
                    <a:lnTo>
                      <a:pt x="0" y="1311"/>
                    </a:lnTo>
                    <a:lnTo>
                      <a:pt x="4819" y="2621"/>
                    </a:lnTo>
                    <a:lnTo>
                      <a:pt x="96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75" name="Объект 534">
                <a:extLst>
                  <a:ext uri="{FF2B5EF4-FFF2-40B4-BE49-F238E27FC236}">
                    <a16:creationId xmlns:a16="http://schemas.microsoft.com/office/drawing/2014/main" id="{00000000-0008-0000-0300-000083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0000" y="1120000"/>
                <a:ext cx="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8192" y="16384"/>
                  </a:cxn>
                  <a:cxn ang="0">
                    <a:pos x="1638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8192" y="16384"/>
                    </a:lnTo>
                    <a:lnTo>
                      <a:pt x="16384" y="0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76" name="Объект 535">
                <a:extLst>
                  <a:ext uri="{FF2B5EF4-FFF2-40B4-BE49-F238E27FC236}">
                    <a16:creationId xmlns:a16="http://schemas.microsoft.com/office/drawing/2014/main" id="{00000000-0008-0000-0300-000084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000" y="1120000"/>
                <a:ext cx="100000" cy="80000"/>
              </a:xfrm>
              <a:custGeom>
                <a:avLst/>
                <a:gdLst/>
                <a:ahLst/>
                <a:cxnLst>
                  <a:cxn ang="0">
                    <a:pos x="1638" y="14959"/>
                  </a:cxn>
                  <a:cxn ang="0">
                    <a:pos x="0" y="13535"/>
                  </a:cxn>
                  <a:cxn ang="0">
                    <a:pos x="13107" y="0"/>
                  </a:cxn>
                  <a:cxn ang="0">
                    <a:pos x="16384" y="2849"/>
                  </a:cxn>
                  <a:cxn ang="0">
                    <a:pos x="4096" y="16384"/>
                  </a:cxn>
                  <a:cxn ang="0">
                    <a:pos x="1638" y="14959"/>
                  </a:cxn>
                </a:cxnLst>
                <a:rect l="0" t="0" r="r" b="b"/>
                <a:pathLst>
                  <a:path w="16384" h="16384">
                    <a:moveTo>
                      <a:pt x="1638" y="14959"/>
                    </a:moveTo>
                    <a:lnTo>
                      <a:pt x="0" y="13535"/>
                    </a:lnTo>
                    <a:lnTo>
                      <a:pt x="13107" y="0"/>
                    </a:lnTo>
                    <a:lnTo>
                      <a:pt x="16384" y="2849"/>
                    </a:lnTo>
                    <a:lnTo>
                      <a:pt x="4096" y="16384"/>
                    </a:lnTo>
                    <a:lnTo>
                      <a:pt x="1638" y="14959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77" name="Объект 536">
                <a:extLst>
                  <a:ext uri="{FF2B5EF4-FFF2-40B4-BE49-F238E27FC236}">
                    <a16:creationId xmlns:a16="http://schemas.microsoft.com/office/drawing/2014/main" id="{00000000-0008-0000-0300-000085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0000" y="1140000"/>
                <a:ext cx="360000" cy="300000"/>
              </a:xfrm>
              <a:custGeom>
                <a:avLst/>
                <a:gdLst/>
                <a:ahLst/>
                <a:cxnLst>
                  <a:cxn ang="0">
                    <a:pos x="16384" y="15806"/>
                  </a:cxn>
                  <a:cxn ang="0">
                    <a:pos x="14911" y="15806"/>
                  </a:cxn>
                  <a:cxn ang="0">
                    <a:pos x="12702" y="15613"/>
                  </a:cxn>
                  <a:cxn ang="0">
                    <a:pos x="9941" y="14842"/>
                  </a:cxn>
                  <a:cxn ang="0">
                    <a:pos x="7180" y="13878"/>
                  </a:cxn>
                  <a:cxn ang="0">
                    <a:pos x="5707" y="12914"/>
                  </a:cxn>
                  <a:cxn ang="0">
                    <a:pos x="4234" y="11951"/>
                  </a:cxn>
                  <a:cxn ang="0">
                    <a:pos x="3130" y="10601"/>
                  </a:cxn>
                  <a:cxn ang="0">
                    <a:pos x="2209" y="9059"/>
                  </a:cxn>
                  <a:cxn ang="0">
                    <a:pos x="1473" y="7132"/>
                  </a:cxn>
                  <a:cxn ang="0">
                    <a:pos x="920" y="5204"/>
                  </a:cxn>
                  <a:cxn ang="0">
                    <a:pos x="736" y="2699"/>
                  </a:cxn>
                  <a:cxn ang="0">
                    <a:pos x="736" y="0"/>
                  </a:cxn>
                  <a:cxn ang="0">
                    <a:pos x="184" y="0"/>
                  </a:cxn>
                  <a:cxn ang="0">
                    <a:pos x="0" y="2699"/>
                  </a:cxn>
                  <a:cxn ang="0">
                    <a:pos x="184" y="5204"/>
                  </a:cxn>
                  <a:cxn ang="0">
                    <a:pos x="920" y="7325"/>
                  </a:cxn>
                  <a:cxn ang="0">
                    <a:pos x="1657" y="9445"/>
                  </a:cxn>
                  <a:cxn ang="0">
                    <a:pos x="2945" y="10794"/>
                  </a:cxn>
                  <a:cxn ang="0">
                    <a:pos x="4050" y="12336"/>
                  </a:cxn>
                  <a:cxn ang="0">
                    <a:pos x="5523" y="13300"/>
                  </a:cxn>
                  <a:cxn ang="0">
                    <a:pos x="6811" y="14264"/>
                  </a:cxn>
                  <a:cxn ang="0">
                    <a:pos x="9941" y="15227"/>
                  </a:cxn>
                  <a:cxn ang="0">
                    <a:pos x="12518" y="15998"/>
                  </a:cxn>
                  <a:cxn ang="0">
                    <a:pos x="14911" y="16384"/>
                  </a:cxn>
                  <a:cxn ang="0">
                    <a:pos x="16384" y="16384"/>
                  </a:cxn>
                  <a:cxn ang="0">
                    <a:pos x="16384" y="15806"/>
                  </a:cxn>
                </a:cxnLst>
                <a:rect l="0" t="0" r="r" b="b"/>
                <a:pathLst>
                  <a:path w="16384" h="16384">
                    <a:moveTo>
                      <a:pt x="16384" y="15806"/>
                    </a:moveTo>
                    <a:lnTo>
                      <a:pt x="14911" y="15806"/>
                    </a:lnTo>
                    <a:lnTo>
                      <a:pt x="12702" y="15613"/>
                    </a:lnTo>
                    <a:lnTo>
                      <a:pt x="9941" y="14842"/>
                    </a:lnTo>
                    <a:lnTo>
                      <a:pt x="7180" y="13878"/>
                    </a:lnTo>
                    <a:lnTo>
                      <a:pt x="5707" y="12914"/>
                    </a:lnTo>
                    <a:lnTo>
                      <a:pt x="4234" y="11951"/>
                    </a:lnTo>
                    <a:lnTo>
                      <a:pt x="3130" y="10601"/>
                    </a:lnTo>
                    <a:lnTo>
                      <a:pt x="2209" y="9059"/>
                    </a:lnTo>
                    <a:lnTo>
                      <a:pt x="1473" y="7132"/>
                    </a:lnTo>
                    <a:lnTo>
                      <a:pt x="920" y="5204"/>
                    </a:lnTo>
                    <a:lnTo>
                      <a:pt x="736" y="2699"/>
                    </a:lnTo>
                    <a:lnTo>
                      <a:pt x="736" y="0"/>
                    </a:lnTo>
                    <a:lnTo>
                      <a:pt x="184" y="0"/>
                    </a:lnTo>
                    <a:lnTo>
                      <a:pt x="0" y="2699"/>
                    </a:lnTo>
                    <a:lnTo>
                      <a:pt x="184" y="5204"/>
                    </a:lnTo>
                    <a:lnTo>
                      <a:pt x="920" y="7325"/>
                    </a:lnTo>
                    <a:lnTo>
                      <a:pt x="1657" y="9445"/>
                    </a:lnTo>
                    <a:lnTo>
                      <a:pt x="2945" y="10794"/>
                    </a:lnTo>
                    <a:lnTo>
                      <a:pt x="4050" y="12336"/>
                    </a:lnTo>
                    <a:lnTo>
                      <a:pt x="5523" y="13300"/>
                    </a:lnTo>
                    <a:lnTo>
                      <a:pt x="6811" y="14264"/>
                    </a:lnTo>
                    <a:lnTo>
                      <a:pt x="9941" y="15227"/>
                    </a:lnTo>
                    <a:lnTo>
                      <a:pt x="12518" y="15998"/>
                    </a:lnTo>
                    <a:lnTo>
                      <a:pt x="14911" y="16384"/>
                    </a:lnTo>
                    <a:lnTo>
                      <a:pt x="16384" y="16384"/>
                    </a:lnTo>
                    <a:lnTo>
                      <a:pt x="16384" y="15806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78" name="Текст 537">
                <a:extLst>
                  <a:ext uri="{FF2B5EF4-FFF2-40B4-BE49-F238E27FC236}">
                    <a16:creationId xmlns:a16="http://schemas.microsoft.com/office/drawing/2014/main" id="{00000000-0008-0000-0300-000086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80000" y="138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Times New Roman CE"/>
                    <a:cs typeface="Times New Roman CE"/>
                  </a:rPr>
                  <a:t>r</a:t>
                </a:r>
              </a:p>
            </xdr:txBody>
          </xdr:sp>
          <xdr:sp macro="" textlink="">
            <xdr:nvSpPr>
              <xdr:cNvPr id="6279" name="Объект 538">
                <a:extLst>
                  <a:ext uri="{FF2B5EF4-FFF2-40B4-BE49-F238E27FC236}">
                    <a16:creationId xmlns:a16="http://schemas.microsoft.com/office/drawing/2014/main" id="{00000000-0008-0000-0300-000087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40000" y="3620000"/>
                <a:ext cx="100000" cy="60000"/>
              </a:xfrm>
              <a:custGeom>
                <a:avLst/>
                <a:gdLst/>
                <a:ahLst/>
                <a:cxnLst>
                  <a:cxn ang="0">
                    <a:pos x="16384" y="1820"/>
                  </a:cxn>
                  <a:cxn ang="0">
                    <a:pos x="16384" y="5461"/>
                  </a:cxn>
                  <a:cxn ang="0">
                    <a:pos x="2048" y="16384"/>
                  </a:cxn>
                  <a:cxn ang="0">
                    <a:pos x="0" y="13653"/>
                  </a:cxn>
                  <a:cxn ang="0">
                    <a:pos x="15019" y="0"/>
                  </a:cxn>
                  <a:cxn ang="0">
                    <a:pos x="15019" y="5461"/>
                  </a:cxn>
                  <a:cxn ang="0">
                    <a:pos x="16384" y="1820"/>
                  </a:cxn>
                </a:cxnLst>
                <a:rect l="0" t="0" r="r" b="b"/>
                <a:pathLst>
                  <a:path w="16384" h="16384">
                    <a:moveTo>
                      <a:pt x="16384" y="1820"/>
                    </a:moveTo>
                    <a:lnTo>
                      <a:pt x="16384" y="5461"/>
                    </a:lnTo>
                    <a:lnTo>
                      <a:pt x="2048" y="16384"/>
                    </a:lnTo>
                    <a:lnTo>
                      <a:pt x="0" y="13653"/>
                    </a:lnTo>
                    <a:lnTo>
                      <a:pt x="15019" y="0"/>
                    </a:lnTo>
                    <a:lnTo>
                      <a:pt x="15019" y="5461"/>
                    </a:lnTo>
                    <a:lnTo>
                      <a:pt x="16384" y="182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80" name="Объект 539">
                <a:extLst>
                  <a:ext uri="{FF2B5EF4-FFF2-40B4-BE49-F238E27FC236}">
                    <a16:creationId xmlns:a16="http://schemas.microsoft.com/office/drawing/2014/main" id="{00000000-0008-0000-0300-000088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40000" y="3620000"/>
                <a:ext cx="0" cy="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0" y="4096"/>
                  </a:cxn>
                  <a:cxn ang="0">
                    <a:pos x="16384" y="16384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0" y="4096"/>
                    </a:lnTo>
                    <a:lnTo>
                      <a:pt x="16384" y="16384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81" name="Объект 540">
                <a:extLst>
                  <a:ext uri="{FF2B5EF4-FFF2-40B4-BE49-F238E27FC236}">
                    <a16:creationId xmlns:a16="http://schemas.microsoft.com/office/drawing/2014/main" id="{00000000-0008-0000-0300-000089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40000" y="3580000"/>
                <a:ext cx="100000" cy="60000"/>
              </a:xfrm>
              <a:custGeom>
                <a:avLst/>
                <a:gdLst/>
                <a:ahLst/>
                <a:cxnLst>
                  <a:cxn ang="0">
                    <a:pos x="2048" y="2458"/>
                  </a:cxn>
                  <a:cxn ang="0">
                    <a:pos x="2731" y="0"/>
                  </a:cxn>
                  <a:cxn ang="0">
                    <a:pos x="16384" y="13107"/>
                  </a:cxn>
                  <a:cxn ang="0">
                    <a:pos x="15019" y="16384"/>
                  </a:cxn>
                  <a:cxn ang="0">
                    <a:pos x="0" y="4096"/>
                  </a:cxn>
                  <a:cxn ang="0">
                    <a:pos x="2048" y="2458"/>
                  </a:cxn>
                </a:cxnLst>
                <a:rect l="0" t="0" r="r" b="b"/>
                <a:pathLst>
                  <a:path w="16384" h="16384">
                    <a:moveTo>
                      <a:pt x="2048" y="2458"/>
                    </a:moveTo>
                    <a:lnTo>
                      <a:pt x="2731" y="0"/>
                    </a:lnTo>
                    <a:lnTo>
                      <a:pt x="16384" y="13107"/>
                    </a:lnTo>
                    <a:lnTo>
                      <a:pt x="15019" y="16384"/>
                    </a:lnTo>
                    <a:lnTo>
                      <a:pt x="0" y="4096"/>
                    </a:lnTo>
                    <a:lnTo>
                      <a:pt x="2048" y="2458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82" name="Объект 541">
                <a:extLst>
                  <a:ext uri="{FF2B5EF4-FFF2-40B4-BE49-F238E27FC236}">
                    <a16:creationId xmlns:a16="http://schemas.microsoft.com/office/drawing/2014/main" id="{00000000-0008-0000-0300-00008A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00000" y="3460000"/>
                <a:ext cx="420000" cy="1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3604"/>
                  </a:cxn>
                  <a:cxn ang="0">
                    <a:pos x="161" y="6554"/>
                  </a:cxn>
                  <a:cxn ang="0">
                    <a:pos x="161" y="7537"/>
                  </a:cxn>
                  <a:cxn ang="0">
                    <a:pos x="643" y="8847"/>
                  </a:cxn>
                  <a:cxn ang="0">
                    <a:pos x="803" y="10158"/>
                  </a:cxn>
                  <a:cxn ang="0">
                    <a:pos x="1446" y="11469"/>
                  </a:cxn>
                  <a:cxn ang="0">
                    <a:pos x="2249" y="12124"/>
                  </a:cxn>
                  <a:cxn ang="0">
                    <a:pos x="3213" y="13107"/>
                  </a:cxn>
                  <a:cxn ang="0">
                    <a:pos x="4498" y="14090"/>
                  </a:cxn>
                  <a:cxn ang="0">
                    <a:pos x="6104" y="14746"/>
                  </a:cxn>
                  <a:cxn ang="0">
                    <a:pos x="10441" y="15729"/>
                  </a:cxn>
                  <a:cxn ang="0">
                    <a:pos x="16384" y="16384"/>
                  </a:cxn>
                  <a:cxn ang="0">
                    <a:pos x="16384" y="15729"/>
                  </a:cxn>
                  <a:cxn ang="0">
                    <a:pos x="10441" y="14746"/>
                  </a:cxn>
                  <a:cxn ang="0">
                    <a:pos x="6104" y="14090"/>
                  </a:cxn>
                  <a:cxn ang="0">
                    <a:pos x="4658" y="13107"/>
                  </a:cxn>
                  <a:cxn ang="0">
                    <a:pos x="3534" y="12124"/>
                  </a:cxn>
                  <a:cxn ang="0">
                    <a:pos x="2409" y="11469"/>
                  </a:cxn>
                  <a:cxn ang="0">
                    <a:pos x="1606" y="10486"/>
                  </a:cxn>
                  <a:cxn ang="0">
                    <a:pos x="1285" y="9830"/>
                  </a:cxn>
                  <a:cxn ang="0">
                    <a:pos x="803" y="8520"/>
                  </a:cxn>
                  <a:cxn ang="0">
                    <a:pos x="643" y="7209"/>
                  </a:cxn>
                  <a:cxn ang="0">
                    <a:pos x="643" y="5898"/>
                  </a:cxn>
                  <a:cxn ang="0">
                    <a:pos x="482" y="3604"/>
                  </a:cxn>
                  <a:cxn ang="0">
                    <a:pos x="482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3604"/>
                    </a:lnTo>
                    <a:lnTo>
                      <a:pt x="161" y="6554"/>
                    </a:lnTo>
                    <a:lnTo>
                      <a:pt x="161" y="7537"/>
                    </a:lnTo>
                    <a:lnTo>
                      <a:pt x="643" y="8847"/>
                    </a:lnTo>
                    <a:lnTo>
                      <a:pt x="803" y="10158"/>
                    </a:lnTo>
                    <a:lnTo>
                      <a:pt x="1446" y="11469"/>
                    </a:lnTo>
                    <a:lnTo>
                      <a:pt x="2249" y="12124"/>
                    </a:lnTo>
                    <a:lnTo>
                      <a:pt x="3213" y="13107"/>
                    </a:lnTo>
                    <a:lnTo>
                      <a:pt x="4498" y="14090"/>
                    </a:lnTo>
                    <a:lnTo>
                      <a:pt x="6104" y="14746"/>
                    </a:lnTo>
                    <a:lnTo>
                      <a:pt x="10441" y="15729"/>
                    </a:lnTo>
                    <a:lnTo>
                      <a:pt x="16384" y="16384"/>
                    </a:lnTo>
                    <a:lnTo>
                      <a:pt x="16384" y="15729"/>
                    </a:lnTo>
                    <a:lnTo>
                      <a:pt x="10441" y="14746"/>
                    </a:lnTo>
                    <a:lnTo>
                      <a:pt x="6104" y="14090"/>
                    </a:lnTo>
                    <a:lnTo>
                      <a:pt x="4658" y="13107"/>
                    </a:lnTo>
                    <a:lnTo>
                      <a:pt x="3534" y="12124"/>
                    </a:lnTo>
                    <a:lnTo>
                      <a:pt x="2409" y="11469"/>
                    </a:lnTo>
                    <a:lnTo>
                      <a:pt x="1606" y="10486"/>
                    </a:lnTo>
                    <a:lnTo>
                      <a:pt x="1285" y="9830"/>
                    </a:lnTo>
                    <a:lnTo>
                      <a:pt x="803" y="8520"/>
                    </a:lnTo>
                    <a:lnTo>
                      <a:pt x="643" y="7209"/>
                    </a:lnTo>
                    <a:lnTo>
                      <a:pt x="643" y="5898"/>
                    </a:lnTo>
                    <a:lnTo>
                      <a:pt x="482" y="3604"/>
                    </a:lnTo>
                    <a:lnTo>
                      <a:pt x="482" y="0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83" name="Текст 542">
                <a:extLst>
                  <a:ext uri="{FF2B5EF4-FFF2-40B4-BE49-F238E27FC236}">
                    <a16:creationId xmlns:a16="http://schemas.microsoft.com/office/drawing/2014/main" id="{00000000-0008-0000-0300-00008B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480000" y="312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Times New Roman CE"/>
                    <a:cs typeface="Times New Roman CE"/>
                  </a:rPr>
                  <a:t>r</a:t>
                </a:r>
              </a:p>
            </xdr:txBody>
          </xdr:sp>
          <xdr:sp macro="" textlink="">
            <xdr:nvSpPr>
              <xdr:cNvPr id="6284" name="Объект 543">
                <a:extLst>
                  <a:ext uri="{FF2B5EF4-FFF2-40B4-BE49-F238E27FC236}">
                    <a16:creationId xmlns:a16="http://schemas.microsoft.com/office/drawing/2014/main" id="{00000000-0008-0000-0300-00008C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80000" y="3360000"/>
                <a:ext cx="80000" cy="80000"/>
              </a:xfrm>
              <a:custGeom>
                <a:avLst/>
                <a:gdLst/>
                <a:ahLst/>
                <a:cxnLst>
                  <a:cxn ang="0">
                    <a:pos x="745" y="16384"/>
                  </a:cxn>
                  <a:cxn ang="0">
                    <a:pos x="0" y="13405"/>
                  </a:cxn>
                  <a:cxn ang="0">
                    <a:pos x="13405" y="0"/>
                  </a:cxn>
                  <a:cxn ang="0">
                    <a:pos x="16384" y="2234"/>
                  </a:cxn>
                  <a:cxn ang="0">
                    <a:pos x="2979" y="16384"/>
                  </a:cxn>
                  <a:cxn ang="0">
                    <a:pos x="2234" y="12660"/>
                  </a:cxn>
                  <a:cxn ang="0">
                    <a:pos x="745" y="16384"/>
                  </a:cxn>
                </a:cxnLst>
                <a:rect l="0" t="0" r="r" b="b"/>
                <a:pathLst>
                  <a:path w="16384" h="16384">
                    <a:moveTo>
                      <a:pt x="745" y="16384"/>
                    </a:moveTo>
                    <a:lnTo>
                      <a:pt x="0" y="13405"/>
                    </a:lnTo>
                    <a:lnTo>
                      <a:pt x="13405" y="0"/>
                    </a:lnTo>
                    <a:lnTo>
                      <a:pt x="16384" y="2234"/>
                    </a:lnTo>
                    <a:lnTo>
                      <a:pt x="2979" y="16384"/>
                    </a:lnTo>
                    <a:lnTo>
                      <a:pt x="2234" y="12660"/>
                    </a:lnTo>
                    <a:lnTo>
                      <a:pt x="745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85" name="Объект 544">
                <a:extLst>
                  <a:ext uri="{FF2B5EF4-FFF2-40B4-BE49-F238E27FC236}">
                    <a16:creationId xmlns:a16="http://schemas.microsoft.com/office/drawing/2014/main" id="{00000000-0008-0000-0300-00008D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80000" y="3420000"/>
                <a:ext cx="20000" cy="20000"/>
              </a:xfrm>
              <a:custGeom>
                <a:avLst/>
                <a:gdLst/>
                <a:ahLst/>
                <a:cxnLst>
                  <a:cxn ang="0">
                    <a:pos x="5461" y="16384"/>
                  </a:cxn>
                  <a:cxn ang="0">
                    <a:pos x="16384" y="4096"/>
                  </a:cxn>
                  <a:cxn ang="0">
                    <a:pos x="0" y="0"/>
                  </a:cxn>
                  <a:cxn ang="0">
                    <a:pos x="5461" y="16384"/>
                  </a:cxn>
                </a:cxnLst>
                <a:rect l="0" t="0" r="r" b="b"/>
                <a:pathLst>
                  <a:path w="16384" h="16384">
                    <a:moveTo>
                      <a:pt x="5461" y="16384"/>
                    </a:moveTo>
                    <a:lnTo>
                      <a:pt x="16384" y="4096"/>
                    </a:lnTo>
                    <a:lnTo>
                      <a:pt x="0" y="0"/>
                    </a:lnTo>
                    <a:lnTo>
                      <a:pt x="5461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86" name="Объект 545">
                <a:extLst>
                  <a:ext uri="{FF2B5EF4-FFF2-40B4-BE49-F238E27FC236}">
                    <a16:creationId xmlns:a16="http://schemas.microsoft.com/office/drawing/2014/main" id="{00000000-0008-0000-0300-00008E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80000" y="3420000"/>
                <a:ext cx="120000" cy="40000"/>
              </a:xfrm>
              <a:custGeom>
                <a:avLst/>
                <a:gdLst/>
                <a:ahLst/>
                <a:cxnLst>
                  <a:cxn ang="0">
                    <a:pos x="15754" y="12873"/>
                  </a:cxn>
                  <a:cxn ang="0">
                    <a:pos x="15754" y="16384"/>
                  </a:cxn>
                  <a:cxn ang="0">
                    <a:pos x="0" y="5851"/>
                  </a:cxn>
                  <a:cxn ang="0">
                    <a:pos x="1260" y="0"/>
                  </a:cxn>
                  <a:cxn ang="0">
                    <a:pos x="16384" y="10533"/>
                  </a:cxn>
                  <a:cxn ang="0">
                    <a:pos x="15754" y="12873"/>
                  </a:cxn>
                </a:cxnLst>
                <a:rect l="0" t="0" r="r" b="b"/>
                <a:pathLst>
                  <a:path w="16384" h="16384">
                    <a:moveTo>
                      <a:pt x="15754" y="12873"/>
                    </a:moveTo>
                    <a:lnTo>
                      <a:pt x="15754" y="16384"/>
                    </a:lnTo>
                    <a:lnTo>
                      <a:pt x="0" y="5851"/>
                    </a:lnTo>
                    <a:lnTo>
                      <a:pt x="1260" y="0"/>
                    </a:lnTo>
                    <a:lnTo>
                      <a:pt x="16384" y="10533"/>
                    </a:lnTo>
                    <a:lnTo>
                      <a:pt x="15754" y="12873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87" name="Объект 546">
                <a:extLst>
                  <a:ext uri="{FF2B5EF4-FFF2-40B4-BE49-F238E27FC236}">
                    <a16:creationId xmlns:a16="http://schemas.microsoft.com/office/drawing/2014/main" id="{00000000-0008-0000-0300-00008F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00000" y="3380000"/>
                <a:ext cx="220000" cy="60000"/>
              </a:xfrm>
              <a:custGeom>
                <a:avLst/>
                <a:gdLst/>
                <a:ahLst/>
                <a:cxnLst>
                  <a:cxn ang="0">
                    <a:pos x="16384" y="2048"/>
                  </a:cxn>
                  <a:cxn ang="0">
                    <a:pos x="16056" y="0"/>
                  </a:cxn>
                  <a:cxn ang="0">
                    <a:pos x="0" y="12288"/>
                  </a:cxn>
                  <a:cxn ang="0">
                    <a:pos x="328" y="16384"/>
                  </a:cxn>
                  <a:cxn ang="0">
                    <a:pos x="16384" y="4096"/>
                  </a:cxn>
                  <a:cxn ang="0">
                    <a:pos x="16384" y="2048"/>
                  </a:cxn>
                </a:cxnLst>
                <a:rect l="0" t="0" r="r" b="b"/>
                <a:pathLst>
                  <a:path w="16384" h="16384">
                    <a:moveTo>
                      <a:pt x="16384" y="2048"/>
                    </a:moveTo>
                    <a:lnTo>
                      <a:pt x="16056" y="0"/>
                    </a:lnTo>
                    <a:lnTo>
                      <a:pt x="0" y="12288"/>
                    </a:lnTo>
                    <a:lnTo>
                      <a:pt x="328" y="16384"/>
                    </a:lnTo>
                    <a:lnTo>
                      <a:pt x="16384" y="4096"/>
                    </a:lnTo>
                    <a:lnTo>
                      <a:pt x="16384" y="2048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88" name="Текст 547">
                <a:extLst>
                  <a:ext uri="{FF2B5EF4-FFF2-40B4-BE49-F238E27FC236}">
                    <a16:creationId xmlns:a16="http://schemas.microsoft.com/office/drawing/2014/main" id="{00000000-0008-0000-0300-000090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00000" y="3080000"/>
                <a:ext cx="340000" cy="4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6289" name="Объект 725">
                <a:extLst>
                  <a:ext uri="{FF2B5EF4-FFF2-40B4-BE49-F238E27FC236}">
                    <a16:creationId xmlns:a16="http://schemas.microsoft.com/office/drawing/2014/main" id="{00000000-0008-0000-0300-000091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40000" y="3140000"/>
                <a:ext cx="20000" cy="18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0" y="11041"/>
                  </a:cxn>
                  <a:cxn ang="0">
                    <a:pos x="0" y="6767"/>
                  </a:cxn>
                  <a:cxn ang="0">
                    <a:pos x="0" y="3918"/>
                  </a:cxn>
                  <a:cxn ang="0">
                    <a:pos x="0" y="2137"/>
                  </a:cxn>
                  <a:cxn ang="0">
                    <a:pos x="0" y="712"/>
                  </a:cxn>
                  <a:cxn ang="0">
                    <a:pos x="0" y="356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0" y="11041"/>
                    </a:lnTo>
                    <a:lnTo>
                      <a:pt x="0" y="6767"/>
                    </a:lnTo>
                    <a:lnTo>
                      <a:pt x="0" y="3918"/>
                    </a:lnTo>
                    <a:lnTo>
                      <a:pt x="0" y="2137"/>
                    </a:lnTo>
                    <a:lnTo>
                      <a:pt x="0" y="712"/>
                    </a:lnTo>
                    <a:lnTo>
                      <a:pt x="0" y="356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90" name="Объект 726">
                <a:extLst>
                  <a:ext uri="{FF2B5EF4-FFF2-40B4-BE49-F238E27FC236}">
                    <a16:creationId xmlns:a16="http://schemas.microsoft.com/office/drawing/2014/main" id="{00000000-0008-0000-0300-000092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80000" y="310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0"/>
                  </a:cxn>
                  <a:cxn ang="0">
                    <a:pos x="0" y="16384"/>
                  </a:cxn>
                  <a:cxn ang="0">
                    <a:pos x="512" y="15941"/>
                  </a:cxn>
                  <a:cxn ang="0">
                    <a:pos x="1024" y="15941"/>
                  </a:cxn>
                  <a:cxn ang="0">
                    <a:pos x="2048" y="15941"/>
                  </a:cxn>
                  <a:cxn ang="0">
                    <a:pos x="2560" y="15056"/>
                  </a:cxn>
                  <a:cxn ang="0">
                    <a:pos x="3072" y="15056"/>
                  </a:cxn>
                  <a:cxn ang="0">
                    <a:pos x="3584" y="15056"/>
                  </a:cxn>
                  <a:cxn ang="0">
                    <a:pos x="4608" y="14613"/>
                  </a:cxn>
                  <a:cxn ang="0">
                    <a:pos x="5120" y="14613"/>
                  </a:cxn>
                  <a:cxn ang="0">
                    <a:pos x="5632" y="14613"/>
                  </a:cxn>
                  <a:cxn ang="0">
                    <a:pos x="6656" y="14613"/>
                  </a:cxn>
                  <a:cxn ang="0">
                    <a:pos x="7168" y="14613"/>
                  </a:cxn>
                  <a:cxn ang="0">
                    <a:pos x="7680" y="14613"/>
                  </a:cxn>
                  <a:cxn ang="0">
                    <a:pos x="8192" y="14613"/>
                  </a:cxn>
                  <a:cxn ang="0">
                    <a:pos x="9216" y="14613"/>
                  </a:cxn>
                  <a:cxn ang="0">
                    <a:pos x="9728" y="14613"/>
                  </a:cxn>
                  <a:cxn ang="0">
                    <a:pos x="10240" y="14613"/>
                  </a:cxn>
                  <a:cxn ang="0">
                    <a:pos x="11264" y="14613"/>
                  </a:cxn>
                  <a:cxn ang="0">
                    <a:pos x="11776" y="14613"/>
                  </a:cxn>
                  <a:cxn ang="0">
                    <a:pos x="12288" y="15056"/>
                  </a:cxn>
                  <a:cxn ang="0">
                    <a:pos x="12800" y="15056"/>
                  </a:cxn>
                  <a:cxn ang="0">
                    <a:pos x="13824" y="15056"/>
                  </a:cxn>
                  <a:cxn ang="0">
                    <a:pos x="14336" y="15941"/>
                  </a:cxn>
                  <a:cxn ang="0">
                    <a:pos x="14848" y="15941"/>
                  </a:cxn>
                  <a:cxn ang="0">
                    <a:pos x="15360" y="16384"/>
                  </a:cxn>
                  <a:cxn ang="0">
                    <a:pos x="16384" y="16384"/>
                  </a:cxn>
                  <a:cxn ang="0">
                    <a:pos x="7680" y="0"/>
                  </a:cxn>
                </a:cxnLst>
                <a:rect l="0" t="0" r="r" b="b"/>
                <a:pathLst>
                  <a:path w="16384" h="16384">
                    <a:moveTo>
                      <a:pt x="7680" y="0"/>
                    </a:moveTo>
                    <a:lnTo>
                      <a:pt x="0" y="16384"/>
                    </a:lnTo>
                    <a:lnTo>
                      <a:pt x="512" y="15941"/>
                    </a:lnTo>
                    <a:lnTo>
                      <a:pt x="1024" y="15941"/>
                    </a:lnTo>
                    <a:lnTo>
                      <a:pt x="2048" y="15941"/>
                    </a:lnTo>
                    <a:lnTo>
                      <a:pt x="2560" y="15056"/>
                    </a:lnTo>
                    <a:lnTo>
                      <a:pt x="3072" y="15056"/>
                    </a:lnTo>
                    <a:lnTo>
                      <a:pt x="3584" y="15056"/>
                    </a:lnTo>
                    <a:lnTo>
                      <a:pt x="4608" y="14613"/>
                    </a:lnTo>
                    <a:lnTo>
                      <a:pt x="5120" y="14613"/>
                    </a:lnTo>
                    <a:lnTo>
                      <a:pt x="5632" y="14613"/>
                    </a:lnTo>
                    <a:lnTo>
                      <a:pt x="6656" y="14613"/>
                    </a:lnTo>
                    <a:lnTo>
                      <a:pt x="7168" y="14613"/>
                    </a:lnTo>
                    <a:lnTo>
                      <a:pt x="7680" y="14613"/>
                    </a:lnTo>
                    <a:lnTo>
                      <a:pt x="8192" y="14613"/>
                    </a:lnTo>
                    <a:lnTo>
                      <a:pt x="9216" y="14613"/>
                    </a:lnTo>
                    <a:lnTo>
                      <a:pt x="9728" y="14613"/>
                    </a:lnTo>
                    <a:lnTo>
                      <a:pt x="10240" y="14613"/>
                    </a:lnTo>
                    <a:lnTo>
                      <a:pt x="11264" y="14613"/>
                    </a:lnTo>
                    <a:lnTo>
                      <a:pt x="11776" y="14613"/>
                    </a:lnTo>
                    <a:lnTo>
                      <a:pt x="12288" y="15056"/>
                    </a:lnTo>
                    <a:lnTo>
                      <a:pt x="12800" y="15056"/>
                    </a:lnTo>
                    <a:lnTo>
                      <a:pt x="13824" y="15056"/>
                    </a:lnTo>
                    <a:lnTo>
                      <a:pt x="14336" y="15941"/>
                    </a:lnTo>
                    <a:lnTo>
                      <a:pt x="14848" y="15941"/>
                    </a:lnTo>
                    <a:lnTo>
                      <a:pt x="15360" y="16384"/>
                    </a:lnTo>
                    <a:lnTo>
                      <a:pt x="16384" y="16384"/>
                    </a:lnTo>
                    <a:lnTo>
                      <a:pt x="768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91" name="Объект 727">
                <a:extLst>
                  <a:ext uri="{FF2B5EF4-FFF2-40B4-BE49-F238E27FC236}">
                    <a16:creationId xmlns:a16="http://schemas.microsoft.com/office/drawing/2014/main" id="{00000000-0008-0000-0300-000093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40000" y="3500000"/>
                <a:ext cx="20000" cy="16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0" y="11287"/>
                  </a:cxn>
                  <a:cxn ang="0">
                    <a:pos x="0" y="6918"/>
                  </a:cxn>
                  <a:cxn ang="0">
                    <a:pos x="0" y="4369"/>
                  </a:cxn>
                  <a:cxn ang="0">
                    <a:pos x="0" y="1820"/>
                  </a:cxn>
                  <a:cxn ang="0">
                    <a:pos x="0" y="1092"/>
                  </a:cxn>
                  <a:cxn ang="0">
                    <a:pos x="0" y="364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0" y="11287"/>
                    </a:lnTo>
                    <a:lnTo>
                      <a:pt x="0" y="6918"/>
                    </a:lnTo>
                    <a:lnTo>
                      <a:pt x="0" y="4369"/>
                    </a:lnTo>
                    <a:lnTo>
                      <a:pt x="0" y="1820"/>
                    </a:lnTo>
                    <a:lnTo>
                      <a:pt x="0" y="1092"/>
                    </a:lnTo>
                    <a:lnTo>
                      <a:pt x="0" y="364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92" name="Объект 728">
                <a:extLst>
                  <a:ext uri="{FF2B5EF4-FFF2-40B4-BE49-F238E27FC236}">
                    <a16:creationId xmlns:a16="http://schemas.microsoft.com/office/drawing/2014/main" id="{00000000-0008-0000-0300-000094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80000" y="3600000"/>
                <a:ext cx="120000" cy="140000"/>
              </a:xfrm>
              <a:custGeom>
                <a:avLst/>
                <a:gdLst/>
                <a:ahLst/>
                <a:cxnLst>
                  <a:cxn ang="0">
                    <a:pos x="7680" y="16384"/>
                  </a:cxn>
                  <a:cxn ang="0">
                    <a:pos x="0" y="0"/>
                  </a:cxn>
                  <a:cxn ang="0">
                    <a:pos x="512" y="443"/>
                  </a:cxn>
                  <a:cxn ang="0">
                    <a:pos x="1024" y="443"/>
                  </a:cxn>
                  <a:cxn ang="0">
                    <a:pos x="2048" y="443"/>
                  </a:cxn>
                  <a:cxn ang="0">
                    <a:pos x="2560" y="1328"/>
                  </a:cxn>
                  <a:cxn ang="0">
                    <a:pos x="3072" y="1328"/>
                  </a:cxn>
                  <a:cxn ang="0">
                    <a:pos x="3584" y="1328"/>
                  </a:cxn>
                  <a:cxn ang="0">
                    <a:pos x="4608" y="1328"/>
                  </a:cxn>
                  <a:cxn ang="0">
                    <a:pos x="5120" y="1771"/>
                  </a:cxn>
                  <a:cxn ang="0">
                    <a:pos x="5632" y="1771"/>
                  </a:cxn>
                  <a:cxn ang="0">
                    <a:pos x="6656" y="1771"/>
                  </a:cxn>
                  <a:cxn ang="0">
                    <a:pos x="7168" y="1771"/>
                  </a:cxn>
                  <a:cxn ang="0">
                    <a:pos x="7680" y="1771"/>
                  </a:cxn>
                  <a:cxn ang="0">
                    <a:pos x="8192" y="1771"/>
                  </a:cxn>
                  <a:cxn ang="0">
                    <a:pos x="9216" y="1771"/>
                  </a:cxn>
                  <a:cxn ang="0">
                    <a:pos x="9728" y="1771"/>
                  </a:cxn>
                  <a:cxn ang="0">
                    <a:pos x="10240" y="1771"/>
                  </a:cxn>
                  <a:cxn ang="0">
                    <a:pos x="11264" y="1771"/>
                  </a:cxn>
                  <a:cxn ang="0">
                    <a:pos x="11776" y="1328"/>
                  </a:cxn>
                  <a:cxn ang="0">
                    <a:pos x="12288" y="1328"/>
                  </a:cxn>
                  <a:cxn ang="0">
                    <a:pos x="12800" y="1328"/>
                  </a:cxn>
                  <a:cxn ang="0">
                    <a:pos x="13824" y="1328"/>
                  </a:cxn>
                  <a:cxn ang="0">
                    <a:pos x="14336" y="443"/>
                  </a:cxn>
                  <a:cxn ang="0">
                    <a:pos x="14848" y="443"/>
                  </a:cxn>
                  <a:cxn ang="0">
                    <a:pos x="15360" y="0"/>
                  </a:cxn>
                  <a:cxn ang="0">
                    <a:pos x="16384" y="0"/>
                  </a:cxn>
                  <a:cxn ang="0">
                    <a:pos x="7680" y="16384"/>
                  </a:cxn>
                </a:cxnLst>
                <a:rect l="0" t="0" r="r" b="b"/>
                <a:pathLst>
                  <a:path w="16384" h="16384">
                    <a:moveTo>
                      <a:pt x="7680" y="16384"/>
                    </a:moveTo>
                    <a:lnTo>
                      <a:pt x="0" y="0"/>
                    </a:lnTo>
                    <a:lnTo>
                      <a:pt x="512" y="443"/>
                    </a:lnTo>
                    <a:lnTo>
                      <a:pt x="1024" y="443"/>
                    </a:lnTo>
                    <a:lnTo>
                      <a:pt x="2048" y="443"/>
                    </a:lnTo>
                    <a:lnTo>
                      <a:pt x="2560" y="1328"/>
                    </a:lnTo>
                    <a:lnTo>
                      <a:pt x="3072" y="1328"/>
                    </a:lnTo>
                    <a:lnTo>
                      <a:pt x="3584" y="1328"/>
                    </a:lnTo>
                    <a:lnTo>
                      <a:pt x="4608" y="1328"/>
                    </a:lnTo>
                    <a:lnTo>
                      <a:pt x="5120" y="1771"/>
                    </a:lnTo>
                    <a:lnTo>
                      <a:pt x="5632" y="1771"/>
                    </a:lnTo>
                    <a:lnTo>
                      <a:pt x="6656" y="1771"/>
                    </a:lnTo>
                    <a:lnTo>
                      <a:pt x="7168" y="1771"/>
                    </a:lnTo>
                    <a:lnTo>
                      <a:pt x="7680" y="1771"/>
                    </a:lnTo>
                    <a:lnTo>
                      <a:pt x="8192" y="1771"/>
                    </a:lnTo>
                    <a:lnTo>
                      <a:pt x="9216" y="1771"/>
                    </a:lnTo>
                    <a:lnTo>
                      <a:pt x="9728" y="1771"/>
                    </a:lnTo>
                    <a:lnTo>
                      <a:pt x="10240" y="1771"/>
                    </a:lnTo>
                    <a:lnTo>
                      <a:pt x="11264" y="1771"/>
                    </a:lnTo>
                    <a:lnTo>
                      <a:pt x="11776" y="1328"/>
                    </a:lnTo>
                    <a:lnTo>
                      <a:pt x="12288" y="1328"/>
                    </a:lnTo>
                    <a:lnTo>
                      <a:pt x="12800" y="1328"/>
                    </a:lnTo>
                    <a:lnTo>
                      <a:pt x="13824" y="1328"/>
                    </a:lnTo>
                    <a:lnTo>
                      <a:pt x="14336" y="443"/>
                    </a:lnTo>
                    <a:lnTo>
                      <a:pt x="14848" y="443"/>
                    </a:lnTo>
                    <a:lnTo>
                      <a:pt x="15360" y="0"/>
                    </a:lnTo>
                    <a:lnTo>
                      <a:pt x="16384" y="0"/>
                    </a:lnTo>
                    <a:lnTo>
                      <a:pt x="768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293" name="Текст 840">
                <a:extLst>
                  <a:ext uri="{FF2B5EF4-FFF2-40B4-BE49-F238E27FC236}">
                    <a16:creationId xmlns:a16="http://schemas.microsoft.com/office/drawing/2014/main" id="{00000000-0008-0000-0300-000095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00000" y="270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100" b="1" i="0" u="none" strike="noStrike" baseline="0">
                    <a:solidFill>
                      <a:srgbClr val="FF0000"/>
                    </a:solidFill>
                    <a:latin typeface="Arial CE"/>
                    <a:cs typeface="Arial CE"/>
                  </a:rPr>
                  <a:t>X</a:t>
                </a:r>
              </a:p>
            </xdr:txBody>
          </xdr:sp>
          <xdr:sp macro="" textlink="">
            <xdr:nvSpPr>
              <xdr:cNvPr id="6294" name="Текст 841">
                <a:extLst>
                  <a:ext uri="{FF2B5EF4-FFF2-40B4-BE49-F238E27FC236}">
                    <a16:creationId xmlns:a16="http://schemas.microsoft.com/office/drawing/2014/main" id="{00000000-0008-0000-0300-000096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200000" y="270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100" b="1" i="0" u="none" strike="noStrike" baseline="0">
                    <a:solidFill>
                      <a:srgbClr val="FF0000"/>
                    </a:solidFill>
                    <a:latin typeface="Arial CE"/>
                    <a:cs typeface="Arial CE"/>
                  </a:rPr>
                  <a:t>X</a:t>
                </a:r>
              </a:p>
            </xdr:txBody>
          </xdr:sp>
          <xdr:sp macro="" textlink="">
            <xdr:nvSpPr>
              <xdr:cNvPr id="6295" name="Текст 842">
                <a:extLst>
                  <a:ext uri="{FF2B5EF4-FFF2-40B4-BE49-F238E27FC236}">
                    <a16:creationId xmlns:a16="http://schemas.microsoft.com/office/drawing/2014/main" id="{00000000-0008-0000-0300-000097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00000" y="28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merigo BT"/>
                  </a:rPr>
                  <a:t>X</a:t>
                </a:r>
              </a:p>
            </xdr:txBody>
          </xdr:sp>
          <xdr:sp macro="" textlink="">
            <xdr:nvSpPr>
              <xdr:cNvPr id="6296" name="Текст 843">
                <a:extLst>
                  <a:ext uri="{FF2B5EF4-FFF2-40B4-BE49-F238E27FC236}">
                    <a16:creationId xmlns:a16="http://schemas.microsoft.com/office/drawing/2014/main" id="{00000000-0008-0000-0300-000098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20000" y="420000"/>
                <a:ext cx="140000" cy="24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Overflow="clip" wrap="square" lIns="18288" tIns="18288" rIns="0" bIns="0" anchor="t" upright="1"/>
              <a:lstStyle/>
              <a:p>
                <a:pPr algn="l" rtl="0">
                  <a:defRPr sz="1000"/>
                </a:pPr>
                <a:r>
                  <a:rPr lang="ru-RU" sz="600" b="0" i="0" u="none" strike="noStrike" baseline="0">
                    <a:solidFill>
                      <a:srgbClr val="0000FF"/>
                    </a:solidFill>
                    <a:latin typeface="Futura MdCn BT"/>
                  </a:rPr>
                  <a:t>0</a:t>
                </a:r>
              </a:p>
            </xdr:txBody>
          </xdr:sp>
          <xdr:sp macro="" textlink="">
            <xdr:nvSpPr>
              <xdr:cNvPr id="6297" name="Текст 844">
                <a:extLst>
                  <a:ext uri="{FF2B5EF4-FFF2-40B4-BE49-F238E27FC236}">
                    <a16:creationId xmlns:a16="http://schemas.microsoft.com/office/drawing/2014/main" id="{00000000-0008-0000-0300-000099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320000" y="318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E"/>
                    <a:cs typeface="Arial CE"/>
                  </a:rPr>
                  <a:t>y</a:t>
                </a:r>
              </a:p>
            </xdr:txBody>
          </xdr:sp>
          <xdr:sp macro="" textlink="">
            <xdr:nvSpPr>
              <xdr:cNvPr id="6298" name="Текст 845">
                <a:extLst>
                  <a:ext uri="{FF2B5EF4-FFF2-40B4-BE49-F238E27FC236}">
                    <a16:creationId xmlns:a16="http://schemas.microsoft.com/office/drawing/2014/main" id="{00000000-0008-0000-0300-00009A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460000" y="3400000"/>
                <a:ext cx="200000" cy="3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9144" tIns="18288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600" b="0" i="0" u="none" strike="noStrike" baseline="0">
                    <a:solidFill>
                      <a:srgbClr val="0000FF"/>
                    </a:solidFill>
                    <a:latin typeface="Futura MdCn BT"/>
                  </a:rPr>
                  <a:t>0</a:t>
                </a:r>
              </a:p>
            </xdr:txBody>
          </xdr:sp>
          <xdr:sp macro="" textlink="">
            <xdr:nvSpPr>
              <xdr:cNvPr id="6299" name="Текст 846">
                <a:extLst>
                  <a:ext uri="{FF2B5EF4-FFF2-40B4-BE49-F238E27FC236}">
                    <a16:creationId xmlns:a16="http://schemas.microsoft.com/office/drawing/2014/main" id="{00000000-0008-0000-0300-00009B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00000" y="66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6300" name="Текст 847">
                <a:extLst>
                  <a:ext uri="{FF2B5EF4-FFF2-40B4-BE49-F238E27FC236}">
                    <a16:creationId xmlns:a16="http://schemas.microsoft.com/office/drawing/2014/main" id="{00000000-0008-0000-0300-00009C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080000" y="3400000"/>
                <a:ext cx="240000" cy="46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6301" name="Текст 1004">
                <a:extLst>
                  <a:ext uri="{FF2B5EF4-FFF2-40B4-BE49-F238E27FC236}">
                    <a16:creationId xmlns:a16="http://schemas.microsoft.com/office/drawing/2014/main" id="{00000000-0008-0000-0300-00009D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60000" y="26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6302" name="Текст 1005">
                <a:extLst>
                  <a:ext uri="{FF2B5EF4-FFF2-40B4-BE49-F238E27FC236}">
                    <a16:creationId xmlns:a16="http://schemas.microsoft.com/office/drawing/2014/main" id="{00000000-0008-0000-0300-00009E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60000" y="404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6303" name="Текст 1007">
                <a:extLst>
                  <a:ext uri="{FF2B5EF4-FFF2-40B4-BE49-F238E27FC236}">
                    <a16:creationId xmlns:a16="http://schemas.microsoft.com/office/drawing/2014/main" id="{00000000-0008-0000-0300-00009F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20000" y="3700000"/>
                <a:ext cx="320000" cy="46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6304" name="Текст 1009">
                <a:extLst>
                  <a:ext uri="{FF2B5EF4-FFF2-40B4-BE49-F238E27FC236}">
                    <a16:creationId xmlns:a16="http://schemas.microsoft.com/office/drawing/2014/main" id="{00000000-0008-0000-0300-0000A0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460000" y="398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u</a:t>
                </a:r>
              </a:p>
            </xdr:txBody>
          </xdr:sp>
          <xdr:sp macro="" textlink="">
            <xdr:nvSpPr>
              <xdr:cNvPr id="6305" name="Текст 1010">
                <a:extLst>
                  <a:ext uri="{FF2B5EF4-FFF2-40B4-BE49-F238E27FC236}">
                    <a16:creationId xmlns:a16="http://schemas.microsoft.com/office/drawing/2014/main" id="{00000000-0008-0000-0300-0000A1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20000" y="124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u</a:t>
                </a:r>
              </a:p>
            </xdr:txBody>
          </xdr:sp>
          <xdr:sp macro="" textlink="">
            <xdr:nvSpPr>
              <xdr:cNvPr id="6306" name="Объект 1023">
                <a:extLst>
                  <a:ext uri="{FF2B5EF4-FFF2-40B4-BE49-F238E27FC236}">
                    <a16:creationId xmlns:a16="http://schemas.microsoft.com/office/drawing/2014/main" id="{00000000-0008-0000-0300-0000A2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560000"/>
                <a:ext cx="160000" cy="12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16384"/>
                  </a:cxn>
                  <a:cxn ang="0">
                    <a:pos x="16384" y="15360"/>
                  </a:cxn>
                  <a:cxn ang="0">
                    <a:pos x="15522" y="14848"/>
                  </a:cxn>
                  <a:cxn ang="0">
                    <a:pos x="15522" y="14336"/>
                  </a:cxn>
                  <a:cxn ang="0">
                    <a:pos x="15091" y="13312"/>
                  </a:cxn>
                  <a:cxn ang="0">
                    <a:pos x="15091" y="12800"/>
                  </a:cxn>
                  <a:cxn ang="0">
                    <a:pos x="15091" y="12288"/>
                  </a:cxn>
                  <a:cxn ang="0">
                    <a:pos x="15091" y="11776"/>
                  </a:cxn>
                  <a:cxn ang="0">
                    <a:pos x="14659" y="11776"/>
                  </a:cxn>
                  <a:cxn ang="0">
                    <a:pos x="14659" y="10752"/>
                  </a:cxn>
                  <a:cxn ang="0">
                    <a:pos x="14659" y="10240"/>
                  </a:cxn>
                  <a:cxn ang="0">
                    <a:pos x="14659" y="9728"/>
                  </a:cxn>
                  <a:cxn ang="0">
                    <a:pos x="14659" y="9216"/>
                  </a:cxn>
                  <a:cxn ang="0">
                    <a:pos x="14659" y="8192"/>
                  </a:cxn>
                  <a:cxn ang="0">
                    <a:pos x="14659" y="7680"/>
                  </a:cxn>
                  <a:cxn ang="0">
                    <a:pos x="14659" y="7168"/>
                  </a:cxn>
                  <a:cxn ang="0">
                    <a:pos x="14659" y="6144"/>
                  </a:cxn>
                  <a:cxn ang="0">
                    <a:pos x="14659" y="5632"/>
                  </a:cxn>
                  <a:cxn ang="0">
                    <a:pos x="14659" y="5120"/>
                  </a:cxn>
                  <a:cxn ang="0">
                    <a:pos x="14659" y="4608"/>
                  </a:cxn>
                  <a:cxn ang="0">
                    <a:pos x="15091" y="3584"/>
                  </a:cxn>
                  <a:cxn ang="0">
                    <a:pos x="15091" y="3072"/>
                  </a:cxn>
                  <a:cxn ang="0">
                    <a:pos x="15091" y="2560"/>
                  </a:cxn>
                  <a:cxn ang="0">
                    <a:pos x="15091" y="1536"/>
                  </a:cxn>
                  <a:cxn ang="0">
                    <a:pos x="15522" y="1536"/>
                  </a:cxn>
                  <a:cxn ang="0">
                    <a:pos x="15522" y="1024"/>
                  </a:cxn>
                  <a:cxn ang="0">
                    <a:pos x="15522" y="512"/>
                  </a:cxn>
                  <a:cxn ang="0">
                    <a:pos x="16384" y="0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16384"/>
                    </a:lnTo>
                    <a:lnTo>
                      <a:pt x="16384" y="15360"/>
                    </a:lnTo>
                    <a:lnTo>
                      <a:pt x="15522" y="14848"/>
                    </a:lnTo>
                    <a:lnTo>
                      <a:pt x="15522" y="14336"/>
                    </a:lnTo>
                    <a:lnTo>
                      <a:pt x="15091" y="13312"/>
                    </a:lnTo>
                    <a:lnTo>
                      <a:pt x="15091" y="12800"/>
                    </a:lnTo>
                    <a:lnTo>
                      <a:pt x="15091" y="12288"/>
                    </a:lnTo>
                    <a:lnTo>
                      <a:pt x="15091" y="11776"/>
                    </a:lnTo>
                    <a:lnTo>
                      <a:pt x="14659" y="11776"/>
                    </a:lnTo>
                    <a:lnTo>
                      <a:pt x="14659" y="10752"/>
                    </a:lnTo>
                    <a:lnTo>
                      <a:pt x="14659" y="10240"/>
                    </a:lnTo>
                    <a:lnTo>
                      <a:pt x="14659" y="9728"/>
                    </a:lnTo>
                    <a:lnTo>
                      <a:pt x="14659" y="9216"/>
                    </a:lnTo>
                    <a:lnTo>
                      <a:pt x="14659" y="8192"/>
                    </a:lnTo>
                    <a:lnTo>
                      <a:pt x="14659" y="7680"/>
                    </a:lnTo>
                    <a:lnTo>
                      <a:pt x="14659" y="7168"/>
                    </a:lnTo>
                    <a:lnTo>
                      <a:pt x="14659" y="6144"/>
                    </a:lnTo>
                    <a:lnTo>
                      <a:pt x="14659" y="5632"/>
                    </a:lnTo>
                    <a:lnTo>
                      <a:pt x="14659" y="5120"/>
                    </a:lnTo>
                    <a:lnTo>
                      <a:pt x="14659" y="4608"/>
                    </a:lnTo>
                    <a:lnTo>
                      <a:pt x="15091" y="3584"/>
                    </a:lnTo>
                    <a:lnTo>
                      <a:pt x="15091" y="3072"/>
                    </a:lnTo>
                    <a:lnTo>
                      <a:pt x="15091" y="2560"/>
                    </a:lnTo>
                    <a:lnTo>
                      <a:pt x="15091" y="1536"/>
                    </a:lnTo>
                    <a:lnTo>
                      <a:pt x="15522" y="1536"/>
                    </a:lnTo>
                    <a:lnTo>
                      <a:pt x="15522" y="1024"/>
                    </a:lnTo>
                    <a:lnTo>
                      <a:pt x="15522" y="512"/>
                    </a:lnTo>
                    <a:lnTo>
                      <a:pt x="16384" y="0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307" name="Объект 1025">
                <a:extLst>
                  <a:ext uri="{FF2B5EF4-FFF2-40B4-BE49-F238E27FC236}">
                    <a16:creationId xmlns:a16="http://schemas.microsoft.com/office/drawing/2014/main" id="{00000000-0008-0000-0300-0000A3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00000" y="560000"/>
                <a:ext cx="160000" cy="12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16384"/>
                  </a:cxn>
                  <a:cxn ang="0">
                    <a:pos x="0" y="15360"/>
                  </a:cxn>
                  <a:cxn ang="0">
                    <a:pos x="431" y="14848"/>
                  </a:cxn>
                  <a:cxn ang="0">
                    <a:pos x="431" y="14336"/>
                  </a:cxn>
                  <a:cxn ang="0">
                    <a:pos x="862" y="13312"/>
                  </a:cxn>
                  <a:cxn ang="0">
                    <a:pos x="862" y="12800"/>
                  </a:cxn>
                  <a:cxn ang="0">
                    <a:pos x="862" y="12288"/>
                  </a:cxn>
                  <a:cxn ang="0">
                    <a:pos x="862" y="11776"/>
                  </a:cxn>
                  <a:cxn ang="0">
                    <a:pos x="1293" y="11776"/>
                  </a:cxn>
                  <a:cxn ang="0">
                    <a:pos x="1293" y="10752"/>
                  </a:cxn>
                  <a:cxn ang="0">
                    <a:pos x="1293" y="10240"/>
                  </a:cxn>
                  <a:cxn ang="0">
                    <a:pos x="1293" y="9728"/>
                  </a:cxn>
                  <a:cxn ang="0">
                    <a:pos x="1293" y="9216"/>
                  </a:cxn>
                  <a:cxn ang="0">
                    <a:pos x="1293" y="8192"/>
                  </a:cxn>
                  <a:cxn ang="0">
                    <a:pos x="1293" y="7680"/>
                  </a:cxn>
                  <a:cxn ang="0">
                    <a:pos x="1293" y="7168"/>
                  </a:cxn>
                  <a:cxn ang="0">
                    <a:pos x="1293" y="6144"/>
                  </a:cxn>
                  <a:cxn ang="0">
                    <a:pos x="1293" y="5632"/>
                  </a:cxn>
                  <a:cxn ang="0">
                    <a:pos x="1293" y="5120"/>
                  </a:cxn>
                  <a:cxn ang="0">
                    <a:pos x="1293" y="4608"/>
                  </a:cxn>
                  <a:cxn ang="0">
                    <a:pos x="862" y="3584"/>
                  </a:cxn>
                  <a:cxn ang="0">
                    <a:pos x="862" y="3072"/>
                  </a:cxn>
                  <a:cxn ang="0">
                    <a:pos x="862" y="2560"/>
                  </a:cxn>
                  <a:cxn ang="0">
                    <a:pos x="862" y="1536"/>
                  </a:cxn>
                  <a:cxn ang="0">
                    <a:pos x="431" y="1536"/>
                  </a:cxn>
                  <a:cxn ang="0">
                    <a:pos x="431" y="1024"/>
                  </a:cxn>
                  <a:cxn ang="0">
                    <a:pos x="431" y="512"/>
                  </a:cxn>
                  <a:cxn ang="0">
                    <a:pos x="0" y="0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16384"/>
                    </a:lnTo>
                    <a:lnTo>
                      <a:pt x="0" y="15360"/>
                    </a:lnTo>
                    <a:lnTo>
                      <a:pt x="431" y="14848"/>
                    </a:lnTo>
                    <a:lnTo>
                      <a:pt x="431" y="14336"/>
                    </a:lnTo>
                    <a:lnTo>
                      <a:pt x="862" y="13312"/>
                    </a:lnTo>
                    <a:lnTo>
                      <a:pt x="862" y="12800"/>
                    </a:lnTo>
                    <a:lnTo>
                      <a:pt x="862" y="12288"/>
                    </a:lnTo>
                    <a:lnTo>
                      <a:pt x="862" y="11776"/>
                    </a:lnTo>
                    <a:lnTo>
                      <a:pt x="1293" y="11776"/>
                    </a:lnTo>
                    <a:lnTo>
                      <a:pt x="1293" y="10752"/>
                    </a:lnTo>
                    <a:lnTo>
                      <a:pt x="1293" y="10240"/>
                    </a:lnTo>
                    <a:lnTo>
                      <a:pt x="1293" y="9728"/>
                    </a:lnTo>
                    <a:lnTo>
                      <a:pt x="1293" y="9216"/>
                    </a:lnTo>
                    <a:lnTo>
                      <a:pt x="1293" y="8192"/>
                    </a:lnTo>
                    <a:lnTo>
                      <a:pt x="1293" y="7680"/>
                    </a:lnTo>
                    <a:lnTo>
                      <a:pt x="1293" y="7168"/>
                    </a:lnTo>
                    <a:lnTo>
                      <a:pt x="1293" y="6144"/>
                    </a:lnTo>
                    <a:lnTo>
                      <a:pt x="1293" y="5632"/>
                    </a:lnTo>
                    <a:lnTo>
                      <a:pt x="1293" y="5120"/>
                    </a:lnTo>
                    <a:lnTo>
                      <a:pt x="1293" y="4608"/>
                    </a:lnTo>
                    <a:lnTo>
                      <a:pt x="862" y="3584"/>
                    </a:lnTo>
                    <a:lnTo>
                      <a:pt x="862" y="3072"/>
                    </a:lnTo>
                    <a:lnTo>
                      <a:pt x="862" y="2560"/>
                    </a:lnTo>
                    <a:lnTo>
                      <a:pt x="862" y="1536"/>
                    </a:lnTo>
                    <a:lnTo>
                      <a:pt x="431" y="1536"/>
                    </a:lnTo>
                    <a:lnTo>
                      <a:pt x="431" y="1024"/>
                    </a:lnTo>
                    <a:lnTo>
                      <a:pt x="431" y="512"/>
                    </a:lnTo>
                    <a:lnTo>
                      <a:pt x="0" y="0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308" name="Объект 1026">
                <a:extLst>
                  <a:ext uri="{FF2B5EF4-FFF2-40B4-BE49-F238E27FC236}">
                    <a16:creationId xmlns:a16="http://schemas.microsoft.com/office/drawing/2014/main" id="{00000000-0008-0000-0300-0000A4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40000" y="2580000"/>
                <a:ext cx="140000" cy="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410" y="0"/>
                  </a:cxn>
                  <a:cxn ang="0">
                    <a:pos x="1229" y="0"/>
                  </a:cxn>
                  <a:cxn ang="0">
                    <a:pos x="1638" y="0"/>
                  </a:cxn>
                  <a:cxn ang="0">
                    <a:pos x="2048" y="0"/>
                  </a:cxn>
                  <a:cxn ang="0">
                    <a:pos x="2867" y="0"/>
                  </a:cxn>
                  <a:cxn ang="0">
                    <a:pos x="3277" y="0"/>
                  </a:cxn>
                  <a:cxn ang="0">
                    <a:pos x="3686" y="0"/>
                  </a:cxn>
                  <a:cxn ang="0">
                    <a:pos x="5734" y="819"/>
                  </a:cxn>
                  <a:cxn ang="0">
                    <a:pos x="7373" y="3277"/>
                  </a:cxn>
                  <a:cxn ang="0">
                    <a:pos x="9421" y="4096"/>
                  </a:cxn>
                  <a:cxn ang="0">
                    <a:pos x="11059" y="5734"/>
                  </a:cxn>
                  <a:cxn ang="0">
                    <a:pos x="12698" y="8192"/>
                  </a:cxn>
                  <a:cxn ang="0">
                    <a:pos x="13517" y="11469"/>
                  </a:cxn>
                  <a:cxn ang="0">
                    <a:pos x="15155" y="14746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410" y="0"/>
                    </a:lnTo>
                    <a:lnTo>
                      <a:pt x="1229" y="0"/>
                    </a:lnTo>
                    <a:lnTo>
                      <a:pt x="1638" y="0"/>
                    </a:lnTo>
                    <a:lnTo>
                      <a:pt x="2048" y="0"/>
                    </a:lnTo>
                    <a:lnTo>
                      <a:pt x="2867" y="0"/>
                    </a:lnTo>
                    <a:lnTo>
                      <a:pt x="3277" y="0"/>
                    </a:lnTo>
                    <a:lnTo>
                      <a:pt x="3686" y="0"/>
                    </a:lnTo>
                    <a:lnTo>
                      <a:pt x="5734" y="819"/>
                    </a:lnTo>
                    <a:lnTo>
                      <a:pt x="7373" y="3277"/>
                    </a:lnTo>
                    <a:lnTo>
                      <a:pt x="9421" y="4096"/>
                    </a:lnTo>
                    <a:lnTo>
                      <a:pt x="11059" y="5734"/>
                    </a:lnTo>
                    <a:lnTo>
                      <a:pt x="12698" y="8192"/>
                    </a:lnTo>
                    <a:lnTo>
                      <a:pt x="13517" y="11469"/>
                    </a:lnTo>
                    <a:lnTo>
                      <a:pt x="15155" y="14746"/>
                    </a:ln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09" name="Объект 1027">
                <a:extLst>
                  <a:ext uri="{FF2B5EF4-FFF2-40B4-BE49-F238E27FC236}">
                    <a16:creationId xmlns:a16="http://schemas.microsoft.com/office/drawing/2014/main" id="{00000000-0008-0000-0300-0000A5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60000" y="254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0" y="7168"/>
                  </a:cxn>
                  <a:cxn ang="0">
                    <a:pos x="16384" y="0"/>
                  </a:cxn>
                  <a:cxn ang="0">
                    <a:pos x="15953" y="0"/>
                  </a:cxn>
                  <a:cxn ang="0">
                    <a:pos x="15953" y="1024"/>
                  </a:cxn>
                  <a:cxn ang="0">
                    <a:pos x="15953" y="1536"/>
                  </a:cxn>
                  <a:cxn ang="0">
                    <a:pos x="15522" y="2048"/>
                  </a:cxn>
                  <a:cxn ang="0">
                    <a:pos x="15522" y="2560"/>
                  </a:cxn>
                  <a:cxn ang="0">
                    <a:pos x="15522" y="3584"/>
                  </a:cxn>
                  <a:cxn ang="0">
                    <a:pos x="15091" y="4096"/>
                  </a:cxn>
                  <a:cxn ang="0">
                    <a:pos x="15091" y="4608"/>
                  </a:cxn>
                  <a:cxn ang="0">
                    <a:pos x="15091" y="5632"/>
                  </a:cxn>
                  <a:cxn ang="0">
                    <a:pos x="15091" y="6144"/>
                  </a:cxn>
                  <a:cxn ang="0">
                    <a:pos x="14228" y="6656"/>
                  </a:cxn>
                  <a:cxn ang="0">
                    <a:pos x="14228" y="7168"/>
                  </a:cxn>
                  <a:cxn ang="0">
                    <a:pos x="14228" y="8192"/>
                  </a:cxn>
                  <a:cxn ang="0">
                    <a:pos x="14228" y="8704"/>
                  </a:cxn>
                  <a:cxn ang="0">
                    <a:pos x="14228" y="9216"/>
                  </a:cxn>
                  <a:cxn ang="0">
                    <a:pos x="14228" y="10240"/>
                  </a:cxn>
                  <a:cxn ang="0">
                    <a:pos x="14228" y="10752"/>
                  </a:cxn>
                  <a:cxn ang="0">
                    <a:pos x="15091" y="11264"/>
                  </a:cxn>
                  <a:cxn ang="0">
                    <a:pos x="15091" y="11776"/>
                  </a:cxn>
                  <a:cxn ang="0">
                    <a:pos x="15091" y="12800"/>
                  </a:cxn>
                  <a:cxn ang="0">
                    <a:pos x="15091" y="13312"/>
                  </a:cxn>
                  <a:cxn ang="0">
                    <a:pos x="15091" y="13824"/>
                  </a:cxn>
                  <a:cxn ang="0">
                    <a:pos x="15522" y="14848"/>
                  </a:cxn>
                  <a:cxn ang="0">
                    <a:pos x="15522" y="15360"/>
                  </a:cxn>
                  <a:cxn ang="0">
                    <a:pos x="15953" y="15872"/>
                  </a:cxn>
                  <a:cxn ang="0">
                    <a:pos x="15953" y="16384"/>
                  </a:cxn>
                  <a:cxn ang="0">
                    <a:pos x="0" y="7168"/>
                  </a:cxn>
                </a:cxnLst>
                <a:rect l="0" t="0" r="r" b="b"/>
                <a:pathLst>
                  <a:path w="16384" h="16384">
                    <a:moveTo>
                      <a:pt x="0" y="7168"/>
                    </a:moveTo>
                    <a:lnTo>
                      <a:pt x="16384" y="0"/>
                    </a:lnTo>
                    <a:lnTo>
                      <a:pt x="15953" y="0"/>
                    </a:lnTo>
                    <a:lnTo>
                      <a:pt x="15953" y="1024"/>
                    </a:lnTo>
                    <a:lnTo>
                      <a:pt x="15953" y="1536"/>
                    </a:lnTo>
                    <a:lnTo>
                      <a:pt x="15522" y="2048"/>
                    </a:lnTo>
                    <a:lnTo>
                      <a:pt x="15522" y="2560"/>
                    </a:lnTo>
                    <a:lnTo>
                      <a:pt x="15522" y="3584"/>
                    </a:lnTo>
                    <a:lnTo>
                      <a:pt x="15091" y="4096"/>
                    </a:lnTo>
                    <a:lnTo>
                      <a:pt x="15091" y="4608"/>
                    </a:lnTo>
                    <a:lnTo>
                      <a:pt x="15091" y="5632"/>
                    </a:lnTo>
                    <a:lnTo>
                      <a:pt x="15091" y="6144"/>
                    </a:lnTo>
                    <a:lnTo>
                      <a:pt x="14228" y="6656"/>
                    </a:lnTo>
                    <a:lnTo>
                      <a:pt x="14228" y="7168"/>
                    </a:lnTo>
                    <a:lnTo>
                      <a:pt x="14228" y="8192"/>
                    </a:lnTo>
                    <a:lnTo>
                      <a:pt x="14228" y="8704"/>
                    </a:lnTo>
                    <a:lnTo>
                      <a:pt x="14228" y="9216"/>
                    </a:lnTo>
                    <a:lnTo>
                      <a:pt x="14228" y="10240"/>
                    </a:lnTo>
                    <a:lnTo>
                      <a:pt x="14228" y="10752"/>
                    </a:lnTo>
                    <a:lnTo>
                      <a:pt x="15091" y="11264"/>
                    </a:lnTo>
                    <a:lnTo>
                      <a:pt x="15091" y="11776"/>
                    </a:lnTo>
                    <a:lnTo>
                      <a:pt x="15091" y="12800"/>
                    </a:lnTo>
                    <a:lnTo>
                      <a:pt x="15091" y="13312"/>
                    </a:lnTo>
                    <a:lnTo>
                      <a:pt x="15091" y="13824"/>
                    </a:lnTo>
                    <a:lnTo>
                      <a:pt x="15522" y="14848"/>
                    </a:lnTo>
                    <a:lnTo>
                      <a:pt x="15522" y="15360"/>
                    </a:lnTo>
                    <a:lnTo>
                      <a:pt x="15953" y="15872"/>
                    </a:lnTo>
                    <a:lnTo>
                      <a:pt x="15953" y="16384"/>
                    </a:lnTo>
                    <a:lnTo>
                      <a:pt x="0" y="7168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310" name="Объект 1028">
                <a:extLst>
                  <a:ext uri="{FF2B5EF4-FFF2-40B4-BE49-F238E27FC236}">
                    <a16:creationId xmlns:a16="http://schemas.microsoft.com/office/drawing/2014/main" id="{00000000-0008-0000-0300-0000A6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0000" y="2580000"/>
                <a:ext cx="240000" cy="6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1638" y="12529"/>
                  </a:cxn>
                  <a:cxn ang="0">
                    <a:pos x="3823" y="10601"/>
                  </a:cxn>
                  <a:cxn ang="0">
                    <a:pos x="6007" y="6746"/>
                  </a:cxn>
                  <a:cxn ang="0">
                    <a:pos x="7919" y="3855"/>
                  </a:cxn>
                  <a:cxn ang="0">
                    <a:pos x="10103" y="2891"/>
                  </a:cxn>
                  <a:cxn ang="0">
                    <a:pos x="12288" y="1928"/>
                  </a:cxn>
                  <a:cxn ang="0">
                    <a:pos x="14199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1638" y="12529"/>
                    </a:lnTo>
                    <a:lnTo>
                      <a:pt x="3823" y="10601"/>
                    </a:lnTo>
                    <a:lnTo>
                      <a:pt x="6007" y="6746"/>
                    </a:lnTo>
                    <a:lnTo>
                      <a:pt x="7919" y="3855"/>
                    </a:lnTo>
                    <a:lnTo>
                      <a:pt x="10103" y="2891"/>
                    </a:lnTo>
                    <a:lnTo>
                      <a:pt x="12288" y="1928"/>
                    </a:lnTo>
                    <a:lnTo>
                      <a:pt x="14199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11" name="Объект 1029">
                <a:extLst>
                  <a:ext uri="{FF2B5EF4-FFF2-40B4-BE49-F238E27FC236}">
                    <a16:creationId xmlns:a16="http://schemas.microsoft.com/office/drawing/2014/main" id="{00000000-0008-0000-0300-0000A7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00000" y="2680000"/>
                <a:ext cx="60000" cy="12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0" y="15819"/>
                  </a:cxn>
                  <a:cxn ang="0">
                    <a:pos x="0" y="15254"/>
                  </a:cxn>
                  <a:cxn ang="0">
                    <a:pos x="1170" y="14689"/>
                  </a:cxn>
                  <a:cxn ang="0">
                    <a:pos x="1170" y="13559"/>
                  </a:cxn>
                  <a:cxn ang="0">
                    <a:pos x="1170" y="12429"/>
                  </a:cxn>
                  <a:cxn ang="0">
                    <a:pos x="1170" y="11299"/>
                  </a:cxn>
                  <a:cxn ang="0">
                    <a:pos x="2341" y="10734"/>
                  </a:cxn>
                  <a:cxn ang="0">
                    <a:pos x="2341" y="10169"/>
                  </a:cxn>
                  <a:cxn ang="0">
                    <a:pos x="3511" y="8474"/>
                  </a:cxn>
                  <a:cxn ang="0">
                    <a:pos x="5851" y="7345"/>
                  </a:cxn>
                  <a:cxn ang="0">
                    <a:pos x="7022" y="5650"/>
                  </a:cxn>
                  <a:cxn ang="0">
                    <a:pos x="8192" y="5085"/>
                  </a:cxn>
                  <a:cxn ang="0">
                    <a:pos x="10533" y="3390"/>
                  </a:cxn>
                  <a:cxn ang="0">
                    <a:pos x="11703" y="2260"/>
                  </a:cxn>
                  <a:cxn ang="0">
                    <a:pos x="14043" y="113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0" y="15819"/>
                    </a:lnTo>
                    <a:lnTo>
                      <a:pt x="0" y="15254"/>
                    </a:lnTo>
                    <a:lnTo>
                      <a:pt x="1170" y="14689"/>
                    </a:lnTo>
                    <a:lnTo>
                      <a:pt x="1170" y="13559"/>
                    </a:lnTo>
                    <a:lnTo>
                      <a:pt x="1170" y="12429"/>
                    </a:lnTo>
                    <a:lnTo>
                      <a:pt x="1170" y="11299"/>
                    </a:lnTo>
                    <a:lnTo>
                      <a:pt x="2341" y="10734"/>
                    </a:lnTo>
                    <a:lnTo>
                      <a:pt x="2341" y="10169"/>
                    </a:lnTo>
                    <a:lnTo>
                      <a:pt x="3511" y="8474"/>
                    </a:lnTo>
                    <a:lnTo>
                      <a:pt x="5851" y="7345"/>
                    </a:lnTo>
                    <a:lnTo>
                      <a:pt x="7022" y="5650"/>
                    </a:lnTo>
                    <a:lnTo>
                      <a:pt x="8192" y="5085"/>
                    </a:lnTo>
                    <a:lnTo>
                      <a:pt x="10533" y="3390"/>
                    </a:lnTo>
                    <a:lnTo>
                      <a:pt x="11703" y="2260"/>
                    </a:lnTo>
                    <a:lnTo>
                      <a:pt x="14043" y="113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12" name="Объект 1030">
                <a:extLst>
                  <a:ext uri="{FF2B5EF4-FFF2-40B4-BE49-F238E27FC236}">
                    <a16:creationId xmlns:a16="http://schemas.microsoft.com/office/drawing/2014/main" id="{00000000-0008-0000-0300-0000A81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60000" y="2640000"/>
                <a:ext cx="160000" cy="14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0" y="5881"/>
                  </a:cxn>
                  <a:cxn ang="0">
                    <a:pos x="840" y="6302"/>
                  </a:cxn>
                  <a:cxn ang="0">
                    <a:pos x="1260" y="6302"/>
                  </a:cxn>
                  <a:cxn ang="0">
                    <a:pos x="1680" y="7142"/>
                  </a:cxn>
                  <a:cxn ang="0">
                    <a:pos x="2521" y="7142"/>
                  </a:cxn>
                  <a:cxn ang="0">
                    <a:pos x="2941" y="7562"/>
                  </a:cxn>
                  <a:cxn ang="0">
                    <a:pos x="3361" y="7562"/>
                  </a:cxn>
                  <a:cxn ang="0">
                    <a:pos x="3361" y="7982"/>
                  </a:cxn>
                  <a:cxn ang="0">
                    <a:pos x="3781" y="7982"/>
                  </a:cxn>
                  <a:cxn ang="0">
                    <a:pos x="4621" y="8822"/>
                  </a:cxn>
                  <a:cxn ang="0">
                    <a:pos x="5041" y="9242"/>
                  </a:cxn>
                  <a:cxn ang="0">
                    <a:pos x="5461" y="9242"/>
                  </a:cxn>
                  <a:cxn ang="0">
                    <a:pos x="5461" y="9662"/>
                  </a:cxn>
                  <a:cxn ang="0">
                    <a:pos x="5881" y="9662"/>
                  </a:cxn>
                  <a:cxn ang="0">
                    <a:pos x="5881" y="10082"/>
                  </a:cxn>
                  <a:cxn ang="0">
                    <a:pos x="6722" y="10082"/>
                  </a:cxn>
                  <a:cxn ang="0">
                    <a:pos x="6722" y="10923"/>
                  </a:cxn>
                  <a:cxn ang="0">
                    <a:pos x="7142" y="11343"/>
                  </a:cxn>
                  <a:cxn ang="0">
                    <a:pos x="7562" y="11763"/>
                  </a:cxn>
                  <a:cxn ang="0">
                    <a:pos x="7562" y="12603"/>
                  </a:cxn>
                  <a:cxn ang="0">
                    <a:pos x="8402" y="13023"/>
                  </a:cxn>
                  <a:cxn ang="0">
                    <a:pos x="8402" y="13443"/>
                  </a:cxn>
                  <a:cxn ang="0">
                    <a:pos x="8822" y="13863"/>
                  </a:cxn>
                  <a:cxn ang="0">
                    <a:pos x="8822" y="14704"/>
                  </a:cxn>
                  <a:cxn ang="0">
                    <a:pos x="8822" y="15124"/>
                  </a:cxn>
                  <a:cxn ang="0">
                    <a:pos x="9242" y="15544"/>
                  </a:cxn>
                  <a:cxn ang="0">
                    <a:pos x="9242" y="16384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0" y="5881"/>
                    </a:lnTo>
                    <a:lnTo>
                      <a:pt x="840" y="6302"/>
                    </a:lnTo>
                    <a:lnTo>
                      <a:pt x="1260" y="6302"/>
                    </a:lnTo>
                    <a:lnTo>
                      <a:pt x="1680" y="7142"/>
                    </a:lnTo>
                    <a:lnTo>
                      <a:pt x="2521" y="7142"/>
                    </a:lnTo>
                    <a:lnTo>
                      <a:pt x="2941" y="7562"/>
                    </a:lnTo>
                    <a:lnTo>
                      <a:pt x="3361" y="7562"/>
                    </a:lnTo>
                    <a:lnTo>
                      <a:pt x="3361" y="7982"/>
                    </a:lnTo>
                    <a:lnTo>
                      <a:pt x="3781" y="7982"/>
                    </a:lnTo>
                    <a:lnTo>
                      <a:pt x="4621" y="8822"/>
                    </a:lnTo>
                    <a:lnTo>
                      <a:pt x="5041" y="9242"/>
                    </a:lnTo>
                    <a:lnTo>
                      <a:pt x="5461" y="9242"/>
                    </a:lnTo>
                    <a:lnTo>
                      <a:pt x="5461" y="9662"/>
                    </a:lnTo>
                    <a:lnTo>
                      <a:pt x="5881" y="9662"/>
                    </a:lnTo>
                    <a:lnTo>
                      <a:pt x="5881" y="10082"/>
                    </a:lnTo>
                    <a:lnTo>
                      <a:pt x="6722" y="10082"/>
                    </a:lnTo>
                    <a:lnTo>
                      <a:pt x="6722" y="10923"/>
                    </a:lnTo>
                    <a:lnTo>
                      <a:pt x="7142" y="11343"/>
                    </a:lnTo>
                    <a:lnTo>
                      <a:pt x="7562" y="11763"/>
                    </a:lnTo>
                    <a:lnTo>
                      <a:pt x="7562" y="12603"/>
                    </a:lnTo>
                    <a:lnTo>
                      <a:pt x="8402" y="13023"/>
                    </a:lnTo>
                    <a:lnTo>
                      <a:pt x="8402" y="13443"/>
                    </a:lnTo>
                    <a:lnTo>
                      <a:pt x="8822" y="13863"/>
                    </a:lnTo>
                    <a:lnTo>
                      <a:pt x="8822" y="14704"/>
                    </a:lnTo>
                    <a:lnTo>
                      <a:pt x="8822" y="15124"/>
                    </a:lnTo>
                    <a:lnTo>
                      <a:pt x="9242" y="15544"/>
                    </a:lnTo>
                    <a:lnTo>
                      <a:pt x="9242" y="16384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6313" name="Текст 1031">
                <a:extLst>
                  <a:ext uri="{FF2B5EF4-FFF2-40B4-BE49-F238E27FC236}">
                    <a16:creationId xmlns:a16="http://schemas.microsoft.com/office/drawing/2014/main" id="{00000000-0008-0000-0300-0000A9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60000" y="226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FF"/>
                    </a:solidFill>
                    <a:latin typeface="Symbol"/>
                  </a:rPr>
                  <a:t>a</a:t>
                </a:r>
              </a:p>
            </xdr:txBody>
          </xdr:sp>
          <xdr:sp macro="" textlink="">
            <xdr:nvSpPr>
              <xdr:cNvPr id="6314" name="Line 170">
                <a:extLst>
                  <a:ext uri="{FF2B5EF4-FFF2-40B4-BE49-F238E27FC236}">
                    <a16:creationId xmlns:a16="http://schemas.microsoft.com/office/drawing/2014/main" id="{00000000-0008-0000-0300-0000AA1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680000" y="360000"/>
                <a:ext cx="0" cy="392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6315" name="Line 171">
                <a:extLst>
                  <a:ext uri="{FF2B5EF4-FFF2-40B4-BE49-F238E27FC236}">
                    <a16:creationId xmlns:a16="http://schemas.microsoft.com/office/drawing/2014/main" id="{00000000-0008-0000-0300-0000AB1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60000" y="440000"/>
                <a:ext cx="0" cy="60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16" name="Line 172">
                <a:extLst>
                  <a:ext uri="{FF2B5EF4-FFF2-40B4-BE49-F238E27FC236}">
                    <a16:creationId xmlns:a16="http://schemas.microsoft.com/office/drawing/2014/main" id="{00000000-0008-0000-0300-0000AC1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00000" y="620000"/>
                <a:ext cx="4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17" name="Line 173">
                <a:extLst>
                  <a:ext uri="{FF2B5EF4-FFF2-40B4-BE49-F238E27FC236}">
                    <a16:creationId xmlns:a16="http://schemas.microsoft.com/office/drawing/2014/main" id="{00000000-0008-0000-0300-0000AD1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20000" y="1120000"/>
                <a:ext cx="1980000" cy="308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6318" name="Line 174">
                <a:extLst>
                  <a:ext uri="{FF2B5EF4-FFF2-40B4-BE49-F238E27FC236}">
                    <a16:creationId xmlns:a16="http://schemas.microsoft.com/office/drawing/2014/main" id="{00000000-0008-0000-0300-0000AE1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40000" y="3080000"/>
                <a:ext cx="314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6319" name="Текст 175">
                <a:extLst>
                  <a:ext uri="{FF2B5EF4-FFF2-40B4-BE49-F238E27FC236}">
                    <a16:creationId xmlns:a16="http://schemas.microsoft.com/office/drawing/2014/main" id="{00000000-0008-0000-0300-0000AF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00000" y="2140000"/>
                <a:ext cx="460000" cy="56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4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6326" name="Текст 182">
                <a:extLst>
                  <a:ext uri="{FF2B5EF4-FFF2-40B4-BE49-F238E27FC236}">
                    <a16:creationId xmlns:a16="http://schemas.microsoft.com/office/drawing/2014/main" id="{00000000-0008-0000-0300-0000B61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380000" y="14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800000"/>
                    </a:solidFill>
                    <a:latin typeface="Arial Cyr"/>
                    <a:cs typeface="Arial Cyr"/>
                  </a:rPr>
                  <a:t>2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2</xdr:row>
          <xdr:rowOff>114300</xdr:rowOff>
        </xdr:from>
        <xdr:to>
          <xdr:col>14</xdr:col>
          <xdr:colOff>228600</xdr:colOff>
          <xdr:row>4</xdr:row>
          <xdr:rowOff>9525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2</xdr:row>
          <xdr:rowOff>114300</xdr:rowOff>
        </xdr:from>
        <xdr:to>
          <xdr:col>12</xdr:col>
          <xdr:colOff>171450</xdr:colOff>
          <xdr:row>6</xdr:row>
          <xdr:rowOff>76200</xdr:rowOff>
        </xdr:to>
        <xdr:sp macro="" textlink="">
          <xdr:nvSpPr>
            <xdr:cNvPr id="6151" name="List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19050</xdr:rowOff>
        </xdr:from>
        <xdr:to>
          <xdr:col>14</xdr:col>
          <xdr:colOff>295275</xdr:colOff>
          <xdr:row>0</xdr:row>
          <xdr:rowOff>171450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19050</xdr:rowOff>
        </xdr:from>
        <xdr:to>
          <xdr:col>17</xdr:col>
          <xdr:colOff>200025</xdr:colOff>
          <xdr:row>2</xdr:row>
          <xdr:rowOff>85725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57150</xdr:rowOff>
    </xdr:from>
    <xdr:to>
      <xdr:col>3</xdr:col>
      <xdr:colOff>200025</xdr:colOff>
      <xdr:row>10</xdr:row>
      <xdr:rowOff>142875</xdr:rowOff>
    </xdr:to>
    <xdr:grpSp>
      <xdr:nvGrpSpPr>
        <xdr:cNvPr id="7293" name="Group 125">
          <a:extLst>
            <a:ext uri="{FF2B5EF4-FFF2-40B4-BE49-F238E27FC236}">
              <a16:creationId xmlns:a16="http://schemas.microsoft.com/office/drawing/2014/main" id="{00000000-0008-0000-0500-00007D1C0000}"/>
            </a:ext>
          </a:extLst>
        </xdr:cNvPr>
        <xdr:cNvGrpSpPr>
          <a:grpSpLocks/>
        </xdr:cNvGrpSpPr>
      </xdr:nvGrpSpPr>
      <xdr:grpSpPr bwMode="auto">
        <a:xfrm>
          <a:off x="38100" y="57150"/>
          <a:ext cx="1333500" cy="1990725"/>
          <a:chOff x="-7546" y="-180"/>
          <a:chExt cx="26460" cy="1881"/>
        </a:xfrm>
      </xdr:grpSpPr>
      <xdr:grpSp>
        <xdr:nvGrpSpPr>
          <xdr:cNvPr id="7232" name="Group 64">
            <a:extLst>
              <a:ext uri="{FF2B5EF4-FFF2-40B4-BE49-F238E27FC236}">
                <a16:creationId xmlns:a16="http://schemas.microsoft.com/office/drawing/2014/main" id="{00000000-0008-0000-0500-0000401C0000}"/>
              </a:ext>
            </a:extLst>
          </xdr:cNvPr>
          <xdr:cNvGrpSpPr>
            <a:grpSpLocks/>
          </xdr:cNvGrpSpPr>
        </xdr:nvGrpSpPr>
        <xdr:grpSpPr bwMode="auto">
          <a:xfrm>
            <a:off x="-7546" y="-180"/>
            <a:ext cx="26460" cy="1881"/>
            <a:chOff x="80000" y="120000"/>
            <a:chExt cx="2800000" cy="4180000"/>
          </a:xfrm>
        </xdr:grpSpPr>
        <xdr:sp macro="" textlink="">
          <xdr:nvSpPr>
            <xdr:cNvPr id="7233" name="Rectangle 65">
              <a:extLst>
                <a:ext uri="{FF2B5EF4-FFF2-40B4-BE49-F238E27FC236}">
                  <a16:creationId xmlns:a16="http://schemas.microsoft.com/office/drawing/2014/main" id="{00000000-0008-0000-0500-0000411C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0000" y="140000"/>
              <a:ext cx="2800000" cy="4100000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234" name="Group 66">
              <a:extLst>
                <a:ext uri="{FF2B5EF4-FFF2-40B4-BE49-F238E27FC236}">
                  <a16:creationId xmlns:a16="http://schemas.microsoft.com/office/drawing/2014/main" id="{00000000-0008-0000-0500-0000421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20000" y="120000"/>
              <a:ext cx="2620000" cy="4180000"/>
              <a:chOff x="220000" y="120000"/>
              <a:chExt cx="2620000" cy="4180000"/>
            </a:xfrm>
          </xdr:grpSpPr>
          <xdr:sp macro="" textlink="">
            <xdr:nvSpPr>
              <xdr:cNvPr id="7235" name="Текст 1042">
                <a:extLst>
                  <a:ext uri="{FF2B5EF4-FFF2-40B4-BE49-F238E27FC236}">
                    <a16:creationId xmlns:a16="http://schemas.microsoft.com/office/drawing/2014/main" id="{00000000-0008-0000-0500-000043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20000" y="368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7236" name="Текст 1274">
                <a:extLst>
                  <a:ext uri="{FF2B5EF4-FFF2-40B4-BE49-F238E27FC236}">
                    <a16:creationId xmlns:a16="http://schemas.microsoft.com/office/drawing/2014/main" id="{00000000-0008-0000-0500-000044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20000" y="12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7237" name="Объект 1033">
                <a:extLst>
                  <a:ext uri="{FF2B5EF4-FFF2-40B4-BE49-F238E27FC236}">
                    <a16:creationId xmlns:a16="http://schemas.microsoft.com/office/drawing/2014/main" id="{00000000-0008-0000-0500-000045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0000" y="1520000"/>
                <a:ext cx="100000" cy="80000"/>
              </a:xfrm>
              <a:custGeom>
                <a:avLst/>
                <a:gdLst/>
                <a:ahLst/>
                <a:cxnLst>
                  <a:cxn ang="0">
                    <a:pos x="16384" y="8704"/>
                  </a:cxn>
                  <a:cxn ang="0">
                    <a:pos x="0" y="16384"/>
                  </a:cxn>
                  <a:cxn ang="0">
                    <a:pos x="0" y="15872"/>
                  </a:cxn>
                  <a:cxn ang="0">
                    <a:pos x="443" y="15360"/>
                  </a:cxn>
                  <a:cxn ang="0">
                    <a:pos x="443" y="14336"/>
                  </a:cxn>
                  <a:cxn ang="0">
                    <a:pos x="443" y="13824"/>
                  </a:cxn>
                  <a:cxn ang="0">
                    <a:pos x="1328" y="13312"/>
                  </a:cxn>
                  <a:cxn ang="0">
                    <a:pos x="1328" y="12800"/>
                  </a:cxn>
                  <a:cxn ang="0">
                    <a:pos x="1328" y="11776"/>
                  </a:cxn>
                  <a:cxn ang="0">
                    <a:pos x="1328" y="11264"/>
                  </a:cxn>
                  <a:cxn ang="0">
                    <a:pos x="1328" y="10752"/>
                  </a:cxn>
                  <a:cxn ang="0">
                    <a:pos x="1771" y="9728"/>
                  </a:cxn>
                  <a:cxn ang="0">
                    <a:pos x="1771" y="9216"/>
                  </a:cxn>
                  <a:cxn ang="0">
                    <a:pos x="1771" y="8704"/>
                  </a:cxn>
                  <a:cxn ang="0">
                    <a:pos x="1771" y="8192"/>
                  </a:cxn>
                  <a:cxn ang="0">
                    <a:pos x="1771" y="7168"/>
                  </a:cxn>
                  <a:cxn ang="0">
                    <a:pos x="1771" y="6656"/>
                  </a:cxn>
                  <a:cxn ang="0">
                    <a:pos x="1328" y="6656"/>
                  </a:cxn>
                  <a:cxn ang="0">
                    <a:pos x="1328" y="6144"/>
                  </a:cxn>
                  <a:cxn ang="0">
                    <a:pos x="1328" y="5632"/>
                  </a:cxn>
                  <a:cxn ang="0">
                    <a:pos x="1328" y="4608"/>
                  </a:cxn>
                  <a:cxn ang="0">
                    <a:pos x="1328" y="4096"/>
                  </a:cxn>
                  <a:cxn ang="0">
                    <a:pos x="443" y="3584"/>
                  </a:cxn>
                  <a:cxn ang="0">
                    <a:pos x="443" y="2560"/>
                  </a:cxn>
                  <a:cxn ang="0">
                    <a:pos x="443" y="2048"/>
                  </a:cxn>
                  <a:cxn ang="0">
                    <a:pos x="443" y="1536"/>
                  </a:cxn>
                  <a:cxn ang="0">
                    <a:pos x="0" y="1536"/>
                  </a:cxn>
                  <a:cxn ang="0">
                    <a:pos x="0" y="1024"/>
                  </a:cxn>
                  <a:cxn ang="0">
                    <a:pos x="0" y="0"/>
                  </a:cxn>
                  <a:cxn ang="0">
                    <a:pos x="16384" y="8704"/>
                  </a:cxn>
                </a:cxnLst>
                <a:rect l="0" t="0" r="r" b="b"/>
                <a:pathLst>
                  <a:path w="16384" h="16384">
                    <a:moveTo>
                      <a:pt x="16384" y="8704"/>
                    </a:moveTo>
                    <a:lnTo>
                      <a:pt x="0" y="16384"/>
                    </a:lnTo>
                    <a:lnTo>
                      <a:pt x="0" y="15872"/>
                    </a:lnTo>
                    <a:lnTo>
                      <a:pt x="443" y="15360"/>
                    </a:lnTo>
                    <a:lnTo>
                      <a:pt x="443" y="14336"/>
                    </a:lnTo>
                    <a:lnTo>
                      <a:pt x="443" y="13824"/>
                    </a:lnTo>
                    <a:lnTo>
                      <a:pt x="1328" y="13312"/>
                    </a:lnTo>
                    <a:lnTo>
                      <a:pt x="1328" y="12800"/>
                    </a:lnTo>
                    <a:lnTo>
                      <a:pt x="1328" y="11776"/>
                    </a:lnTo>
                    <a:lnTo>
                      <a:pt x="1328" y="11264"/>
                    </a:lnTo>
                    <a:lnTo>
                      <a:pt x="1328" y="10752"/>
                    </a:lnTo>
                    <a:lnTo>
                      <a:pt x="1771" y="9728"/>
                    </a:lnTo>
                    <a:lnTo>
                      <a:pt x="1771" y="9216"/>
                    </a:lnTo>
                    <a:lnTo>
                      <a:pt x="1771" y="8704"/>
                    </a:lnTo>
                    <a:lnTo>
                      <a:pt x="1771" y="8192"/>
                    </a:lnTo>
                    <a:lnTo>
                      <a:pt x="1771" y="7168"/>
                    </a:lnTo>
                    <a:lnTo>
                      <a:pt x="1771" y="6656"/>
                    </a:lnTo>
                    <a:lnTo>
                      <a:pt x="1328" y="6656"/>
                    </a:lnTo>
                    <a:lnTo>
                      <a:pt x="1328" y="6144"/>
                    </a:lnTo>
                    <a:lnTo>
                      <a:pt x="1328" y="5632"/>
                    </a:lnTo>
                    <a:lnTo>
                      <a:pt x="1328" y="4608"/>
                    </a:lnTo>
                    <a:lnTo>
                      <a:pt x="1328" y="4096"/>
                    </a:lnTo>
                    <a:lnTo>
                      <a:pt x="443" y="3584"/>
                    </a:lnTo>
                    <a:lnTo>
                      <a:pt x="443" y="2560"/>
                    </a:lnTo>
                    <a:lnTo>
                      <a:pt x="443" y="2048"/>
                    </a:lnTo>
                    <a:lnTo>
                      <a:pt x="443" y="1536"/>
                    </a:lnTo>
                    <a:lnTo>
                      <a:pt x="0" y="1536"/>
                    </a:lnTo>
                    <a:lnTo>
                      <a:pt x="0" y="1024"/>
                    </a:lnTo>
                    <a:lnTo>
                      <a:pt x="0" y="0"/>
                    </a:lnTo>
                    <a:lnTo>
                      <a:pt x="16384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38" name="Объект 1035">
                <a:extLst>
                  <a:ext uri="{FF2B5EF4-FFF2-40B4-BE49-F238E27FC236}">
                    <a16:creationId xmlns:a16="http://schemas.microsoft.com/office/drawing/2014/main" id="{00000000-0008-0000-0500-000046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40000" y="152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8704"/>
                  </a:cxn>
                  <a:cxn ang="0">
                    <a:pos x="16384" y="16384"/>
                  </a:cxn>
                  <a:cxn ang="0">
                    <a:pos x="15941" y="15872"/>
                  </a:cxn>
                  <a:cxn ang="0">
                    <a:pos x="15941" y="15360"/>
                  </a:cxn>
                  <a:cxn ang="0">
                    <a:pos x="15941" y="14336"/>
                  </a:cxn>
                  <a:cxn ang="0">
                    <a:pos x="15941" y="13824"/>
                  </a:cxn>
                  <a:cxn ang="0">
                    <a:pos x="15056" y="13824"/>
                  </a:cxn>
                  <a:cxn ang="0">
                    <a:pos x="15056" y="13312"/>
                  </a:cxn>
                  <a:cxn ang="0">
                    <a:pos x="15056" y="12800"/>
                  </a:cxn>
                  <a:cxn ang="0">
                    <a:pos x="15056" y="11776"/>
                  </a:cxn>
                  <a:cxn ang="0">
                    <a:pos x="15056" y="11264"/>
                  </a:cxn>
                  <a:cxn ang="0">
                    <a:pos x="14613" y="11264"/>
                  </a:cxn>
                  <a:cxn ang="0">
                    <a:pos x="14613" y="10752"/>
                  </a:cxn>
                  <a:cxn ang="0">
                    <a:pos x="14613" y="9728"/>
                  </a:cxn>
                  <a:cxn ang="0">
                    <a:pos x="14613" y="9216"/>
                  </a:cxn>
                  <a:cxn ang="0">
                    <a:pos x="14613" y="8704"/>
                  </a:cxn>
                  <a:cxn ang="0">
                    <a:pos x="14613" y="8192"/>
                  </a:cxn>
                  <a:cxn ang="0">
                    <a:pos x="14613" y="7168"/>
                  </a:cxn>
                  <a:cxn ang="0">
                    <a:pos x="14613" y="6656"/>
                  </a:cxn>
                  <a:cxn ang="0">
                    <a:pos x="14613" y="6144"/>
                  </a:cxn>
                  <a:cxn ang="0">
                    <a:pos x="15056" y="5632"/>
                  </a:cxn>
                  <a:cxn ang="0">
                    <a:pos x="15056" y="4608"/>
                  </a:cxn>
                  <a:cxn ang="0">
                    <a:pos x="15056" y="4096"/>
                  </a:cxn>
                  <a:cxn ang="0">
                    <a:pos x="15056" y="3584"/>
                  </a:cxn>
                  <a:cxn ang="0">
                    <a:pos x="15941" y="2560"/>
                  </a:cxn>
                  <a:cxn ang="0">
                    <a:pos x="15941" y="2048"/>
                  </a:cxn>
                  <a:cxn ang="0">
                    <a:pos x="15941" y="1536"/>
                  </a:cxn>
                  <a:cxn ang="0">
                    <a:pos x="16384" y="1024"/>
                  </a:cxn>
                  <a:cxn ang="0">
                    <a:pos x="16384" y="0"/>
                  </a:cxn>
                  <a:cxn ang="0">
                    <a:pos x="0" y="8704"/>
                  </a:cxn>
                </a:cxnLst>
                <a:rect l="0" t="0" r="r" b="b"/>
                <a:pathLst>
                  <a:path w="16384" h="16384">
                    <a:moveTo>
                      <a:pt x="0" y="8704"/>
                    </a:moveTo>
                    <a:lnTo>
                      <a:pt x="16384" y="16384"/>
                    </a:lnTo>
                    <a:lnTo>
                      <a:pt x="15941" y="15872"/>
                    </a:lnTo>
                    <a:lnTo>
                      <a:pt x="15941" y="15360"/>
                    </a:lnTo>
                    <a:lnTo>
                      <a:pt x="15941" y="14336"/>
                    </a:lnTo>
                    <a:lnTo>
                      <a:pt x="15941" y="13824"/>
                    </a:lnTo>
                    <a:lnTo>
                      <a:pt x="15056" y="13824"/>
                    </a:lnTo>
                    <a:lnTo>
                      <a:pt x="15056" y="13312"/>
                    </a:lnTo>
                    <a:lnTo>
                      <a:pt x="15056" y="12800"/>
                    </a:lnTo>
                    <a:lnTo>
                      <a:pt x="15056" y="11776"/>
                    </a:lnTo>
                    <a:lnTo>
                      <a:pt x="15056" y="11264"/>
                    </a:lnTo>
                    <a:lnTo>
                      <a:pt x="14613" y="11264"/>
                    </a:lnTo>
                    <a:lnTo>
                      <a:pt x="14613" y="10752"/>
                    </a:lnTo>
                    <a:lnTo>
                      <a:pt x="14613" y="9728"/>
                    </a:lnTo>
                    <a:lnTo>
                      <a:pt x="14613" y="9216"/>
                    </a:lnTo>
                    <a:lnTo>
                      <a:pt x="14613" y="8704"/>
                    </a:lnTo>
                    <a:lnTo>
                      <a:pt x="14613" y="8192"/>
                    </a:lnTo>
                    <a:lnTo>
                      <a:pt x="14613" y="7168"/>
                    </a:lnTo>
                    <a:lnTo>
                      <a:pt x="14613" y="6656"/>
                    </a:lnTo>
                    <a:lnTo>
                      <a:pt x="14613" y="6144"/>
                    </a:lnTo>
                    <a:lnTo>
                      <a:pt x="15056" y="5632"/>
                    </a:lnTo>
                    <a:lnTo>
                      <a:pt x="15056" y="4608"/>
                    </a:lnTo>
                    <a:lnTo>
                      <a:pt x="15056" y="4096"/>
                    </a:lnTo>
                    <a:lnTo>
                      <a:pt x="15056" y="3584"/>
                    </a:lnTo>
                    <a:lnTo>
                      <a:pt x="15941" y="2560"/>
                    </a:lnTo>
                    <a:lnTo>
                      <a:pt x="15941" y="2048"/>
                    </a:lnTo>
                    <a:lnTo>
                      <a:pt x="15941" y="1536"/>
                    </a:lnTo>
                    <a:lnTo>
                      <a:pt x="16384" y="1024"/>
                    </a:lnTo>
                    <a:lnTo>
                      <a:pt x="16384" y="0"/>
                    </a:lnTo>
                    <a:lnTo>
                      <a:pt x="0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39" name="Объект 1036">
                <a:extLst>
                  <a:ext uri="{FF2B5EF4-FFF2-40B4-BE49-F238E27FC236}">
                    <a16:creationId xmlns:a16="http://schemas.microsoft.com/office/drawing/2014/main" id="{00000000-0008-0000-0500-000047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20000" y="1560000"/>
                <a:ext cx="2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40" name="Текст 1037">
                <a:extLst>
                  <a:ext uri="{FF2B5EF4-FFF2-40B4-BE49-F238E27FC236}">
                    <a16:creationId xmlns:a16="http://schemas.microsoft.com/office/drawing/2014/main" id="{00000000-0008-0000-0500-000048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40000" y="118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7241" name="Объект 1038">
                <a:extLst>
                  <a:ext uri="{FF2B5EF4-FFF2-40B4-BE49-F238E27FC236}">
                    <a16:creationId xmlns:a16="http://schemas.microsoft.com/office/drawing/2014/main" id="{00000000-0008-0000-0500-000049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20000" y="3400000"/>
                <a:ext cx="20000" cy="4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33"/>
                  </a:cxn>
                  <a:cxn ang="0">
                    <a:pos x="0" y="9485"/>
                  </a:cxn>
                  <a:cxn ang="0">
                    <a:pos x="0" y="12417"/>
                  </a:cxn>
                  <a:cxn ang="0">
                    <a:pos x="0" y="14314"/>
                  </a:cxn>
                  <a:cxn ang="0">
                    <a:pos x="0" y="15522"/>
                  </a:cxn>
                  <a:cxn ang="0">
                    <a:pos x="0" y="16125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33"/>
                    </a:lnTo>
                    <a:lnTo>
                      <a:pt x="0" y="9485"/>
                    </a:lnTo>
                    <a:lnTo>
                      <a:pt x="0" y="12417"/>
                    </a:lnTo>
                    <a:lnTo>
                      <a:pt x="0" y="14314"/>
                    </a:lnTo>
                    <a:lnTo>
                      <a:pt x="0" y="15522"/>
                    </a:lnTo>
                    <a:lnTo>
                      <a:pt x="0" y="16125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42" name="Объект 1039">
                <a:extLst>
                  <a:ext uri="{FF2B5EF4-FFF2-40B4-BE49-F238E27FC236}">
                    <a16:creationId xmlns:a16="http://schemas.microsoft.com/office/drawing/2014/main" id="{00000000-0008-0000-0500-00004A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80000" y="3740000"/>
                <a:ext cx="130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393" y="0"/>
                  </a:cxn>
                  <a:cxn ang="0">
                    <a:pos x="9479" y="0"/>
                  </a:cxn>
                  <a:cxn ang="0">
                    <a:pos x="12421" y="0"/>
                  </a:cxn>
                  <a:cxn ang="0">
                    <a:pos x="14341" y="0"/>
                  </a:cxn>
                  <a:cxn ang="0">
                    <a:pos x="15526" y="0"/>
                  </a:cxn>
                  <a:cxn ang="0">
                    <a:pos x="16139" y="0"/>
                  </a:cxn>
                  <a:cxn ang="0">
                    <a:pos x="16343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393" y="0"/>
                    </a:lnTo>
                    <a:lnTo>
                      <a:pt x="9479" y="0"/>
                    </a:lnTo>
                    <a:lnTo>
                      <a:pt x="12421" y="0"/>
                    </a:lnTo>
                    <a:lnTo>
                      <a:pt x="14341" y="0"/>
                    </a:lnTo>
                    <a:lnTo>
                      <a:pt x="15526" y="0"/>
                    </a:lnTo>
                    <a:lnTo>
                      <a:pt x="16139" y="0"/>
                    </a:lnTo>
                    <a:lnTo>
                      <a:pt x="16343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43" name="Объект 1040">
                <a:extLst>
                  <a:ext uri="{FF2B5EF4-FFF2-40B4-BE49-F238E27FC236}">
                    <a16:creationId xmlns:a16="http://schemas.microsoft.com/office/drawing/2014/main" id="{00000000-0008-0000-0500-00004B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20000" y="370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0"/>
                  </a:cxn>
                  <a:cxn ang="0">
                    <a:pos x="16384" y="512"/>
                  </a:cxn>
                  <a:cxn ang="0">
                    <a:pos x="15941" y="1024"/>
                  </a:cxn>
                  <a:cxn ang="0">
                    <a:pos x="15941" y="2048"/>
                  </a:cxn>
                  <a:cxn ang="0">
                    <a:pos x="15941" y="2560"/>
                  </a:cxn>
                  <a:cxn ang="0">
                    <a:pos x="15941" y="3072"/>
                  </a:cxn>
                  <a:cxn ang="0">
                    <a:pos x="15498" y="3072"/>
                  </a:cxn>
                  <a:cxn ang="0">
                    <a:pos x="15498" y="4096"/>
                  </a:cxn>
                  <a:cxn ang="0">
                    <a:pos x="15498" y="4608"/>
                  </a:cxn>
                  <a:cxn ang="0">
                    <a:pos x="15498" y="5120"/>
                  </a:cxn>
                  <a:cxn ang="0">
                    <a:pos x="15498" y="5632"/>
                  </a:cxn>
                  <a:cxn ang="0">
                    <a:pos x="14613" y="6656"/>
                  </a:cxn>
                  <a:cxn ang="0">
                    <a:pos x="14613" y="7168"/>
                  </a:cxn>
                  <a:cxn ang="0">
                    <a:pos x="14613" y="7680"/>
                  </a:cxn>
                  <a:cxn ang="0">
                    <a:pos x="14613" y="8192"/>
                  </a:cxn>
                  <a:cxn ang="0">
                    <a:pos x="14613" y="9216"/>
                  </a:cxn>
                  <a:cxn ang="0">
                    <a:pos x="14613" y="9728"/>
                  </a:cxn>
                  <a:cxn ang="0">
                    <a:pos x="15498" y="10240"/>
                  </a:cxn>
                  <a:cxn ang="0">
                    <a:pos x="15498" y="11264"/>
                  </a:cxn>
                  <a:cxn ang="0">
                    <a:pos x="15498" y="11776"/>
                  </a:cxn>
                  <a:cxn ang="0">
                    <a:pos x="15498" y="12288"/>
                  </a:cxn>
                  <a:cxn ang="0">
                    <a:pos x="15498" y="12800"/>
                  </a:cxn>
                  <a:cxn ang="0">
                    <a:pos x="15941" y="12800"/>
                  </a:cxn>
                  <a:cxn ang="0">
                    <a:pos x="15941" y="13824"/>
                  </a:cxn>
                  <a:cxn ang="0">
                    <a:pos x="15941" y="14336"/>
                  </a:cxn>
                  <a:cxn ang="0">
                    <a:pos x="15941" y="14848"/>
                  </a:cxn>
                  <a:cxn ang="0">
                    <a:pos x="16384" y="14848"/>
                  </a:cxn>
                  <a:cxn ang="0">
                    <a:pos x="16384" y="15872"/>
                  </a:cxn>
                  <a:cxn ang="0">
                    <a:pos x="16384" y="16384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0"/>
                    </a:lnTo>
                    <a:lnTo>
                      <a:pt x="16384" y="512"/>
                    </a:lnTo>
                    <a:lnTo>
                      <a:pt x="15941" y="1024"/>
                    </a:lnTo>
                    <a:lnTo>
                      <a:pt x="15941" y="2048"/>
                    </a:lnTo>
                    <a:lnTo>
                      <a:pt x="15941" y="2560"/>
                    </a:lnTo>
                    <a:lnTo>
                      <a:pt x="15941" y="3072"/>
                    </a:lnTo>
                    <a:lnTo>
                      <a:pt x="15498" y="3072"/>
                    </a:lnTo>
                    <a:lnTo>
                      <a:pt x="15498" y="4096"/>
                    </a:lnTo>
                    <a:lnTo>
                      <a:pt x="15498" y="4608"/>
                    </a:lnTo>
                    <a:lnTo>
                      <a:pt x="15498" y="5120"/>
                    </a:lnTo>
                    <a:lnTo>
                      <a:pt x="15498" y="5632"/>
                    </a:lnTo>
                    <a:lnTo>
                      <a:pt x="14613" y="6656"/>
                    </a:lnTo>
                    <a:lnTo>
                      <a:pt x="14613" y="7168"/>
                    </a:lnTo>
                    <a:lnTo>
                      <a:pt x="14613" y="7680"/>
                    </a:lnTo>
                    <a:lnTo>
                      <a:pt x="14613" y="8192"/>
                    </a:lnTo>
                    <a:lnTo>
                      <a:pt x="14613" y="9216"/>
                    </a:lnTo>
                    <a:lnTo>
                      <a:pt x="14613" y="9728"/>
                    </a:lnTo>
                    <a:lnTo>
                      <a:pt x="15498" y="10240"/>
                    </a:lnTo>
                    <a:lnTo>
                      <a:pt x="15498" y="11264"/>
                    </a:lnTo>
                    <a:lnTo>
                      <a:pt x="15498" y="11776"/>
                    </a:lnTo>
                    <a:lnTo>
                      <a:pt x="15498" y="12288"/>
                    </a:lnTo>
                    <a:lnTo>
                      <a:pt x="15498" y="12800"/>
                    </a:lnTo>
                    <a:lnTo>
                      <a:pt x="15941" y="12800"/>
                    </a:lnTo>
                    <a:lnTo>
                      <a:pt x="15941" y="13824"/>
                    </a:lnTo>
                    <a:lnTo>
                      <a:pt x="15941" y="14336"/>
                    </a:lnTo>
                    <a:lnTo>
                      <a:pt x="15941" y="14848"/>
                    </a:lnTo>
                    <a:lnTo>
                      <a:pt x="16384" y="14848"/>
                    </a:lnTo>
                    <a:lnTo>
                      <a:pt x="16384" y="15872"/>
                    </a:lnTo>
                    <a:lnTo>
                      <a:pt x="16384" y="16384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44" name="Объект 1041">
                <a:extLst>
                  <a:ext uri="{FF2B5EF4-FFF2-40B4-BE49-F238E27FC236}">
                    <a16:creationId xmlns:a16="http://schemas.microsoft.com/office/drawing/2014/main" id="{00000000-0008-0000-0500-00004C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00000" y="3700000"/>
                <a:ext cx="120000" cy="8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0"/>
                  </a:cxn>
                  <a:cxn ang="0">
                    <a:pos x="431" y="512"/>
                  </a:cxn>
                  <a:cxn ang="0">
                    <a:pos x="431" y="1024"/>
                  </a:cxn>
                  <a:cxn ang="0">
                    <a:pos x="862" y="2048"/>
                  </a:cxn>
                  <a:cxn ang="0">
                    <a:pos x="862" y="2560"/>
                  </a:cxn>
                  <a:cxn ang="0">
                    <a:pos x="862" y="3072"/>
                  </a:cxn>
                  <a:cxn ang="0">
                    <a:pos x="1725" y="3072"/>
                  </a:cxn>
                  <a:cxn ang="0">
                    <a:pos x="1725" y="4096"/>
                  </a:cxn>
                  <a:cxn ang="0">
                    <a:pos x="1725" y="4608"/>
                  </a:cxn>
                  <a:cxn ang="0">
                    <a:pos x="1725" y="5120"/>
                  </a:cxn>
                  <a:cxn ang="0">
                    <a:pos x="1725" y="5632"/>
                  </a:cxn>
                  <a:cxn ang="0">
                    <a:pos x="1725" y="6656"/>
                  </a:cxn>
                  <a:cxn ang="0">
                    <a:pos x="2156" y="7168"/>
                  </a:cxn>
                  <a:cxn ang="0">
                    <a:pos x="2156" y="7680"/>
                  </a:cxn>
                  <a:cxn ang="0">
                    <a:pos x="2156" y="8192"/>
                  </a:cxn>
                  <a:cxn ang="0">
                    <a:pos x="2156" y="9216"/>
                  </a:cxn>
                  <a:cxn ang="0">
                    <a:pos x="1725" y="9728"/>
                  </a:cxn>
                  <a:cxn ang="0">
                    <a:pos x="1725" y="10240"/>
                  </a:cxn>
                  <a:cxn ang="0">
                    <a:pos x="1725" y="11264"/>
                  </a:cxn>
                  <a:cxn ang="0">
                    <a:pos x="1725" y="11776"/>
                  </a:cxn>
                  <a:cxn ang="0">
                    <a:pos x="1725" y="12288"/>
                  </a:cxn>
                  <a:cxn ang="0">
                    <a:pos x="1725" y="12800"/>
                  </a:cxn>
                  <a:cxn ang="0">
                    <a:pos x="862" y="12800"/>
                  </a:cxn>
                  <a:cxn ang="0">
                    <a:pos x="862" y="13824"/>
                  </a:cxn>
                  <a:cxn ang="0">
                    <a:pos x="862" y="14336"/>
                  </a:cxn>
                  <a:cxn ang="0">
                    <a:pos x="431" y="14848"/>
                  </a:cxn>
                  <a:cxn ang="0">
                    <a:pos x="431" y="15872"/>
                  </a:cxn>
                  <a:cxn ang="0">
                    <a:pos x="0" y="16384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0"/>
                    </a:lnTo>
                    <a:lnTo>
                      <a:pt x="431" y="512"/>
                    </a:lnTo>
                    <a:lnTo>
                      <a:pt x="431" y="1024"/>
                    </a:lnTo>
                    <a:lnTo>
                      <a:pt x="862" y="2048"/>
                    </a:lnTo>
                    <a:lnTo>
                      <a:pt x="862" y="2560"/>
                    </a:lnTo>
                    <a:lnTo>
                      <a:pt x="862" y="3072"/>
                    </a:lnTo>
                    <a:lnTo>
                      <a:pt x="1725" y="3072"/>
                    </a:lnTo>
                    <a:lnTo>
                      <a:pt x="1725" y="4096"/>
                    </a:lnTo>
                    <a:lnTo>
                      <a:pt x="1725" y="4608"/>
                    </a:lnTo>
                    <a:lnTo>
                      <a:pt x="1725" y="5120"/>
                    </a:lnTo>
                    <a:lnTo>
                      <a:pt x="1725" y="5632"/>
                    </a:lnTo>
                    <a:lnTo>
                      <a:pt x="1725" y="6656"/>
                    </a:lnTo>
                    <a:lnTo>
                      <a:pt x="2156" y="7168"/>
                    </a:lnTo>
                    <a:lnTo>
                      <a:pt x="2156" y="7680"/>
                    </a:lnTo>
                    <a:lnTo>
                      <a:pt x="2156" y="8192"/>
                    </a:lnTo>
                    <a:lnTo>
                      <a:pt x="2156" y="9216"/>
                    </a:lnTo>
                    <a:lnTo>
                      <a:pt x="1725" y="9728"/>
                    </a:lnTo>
                    <a:lnTo>
                      <a:pt x="1725" y="10240"/>
                    </a:lnTo>
                    <a:lnTo>
                      <a:pt x="1725" y="11264"/>
                    </a:lnTo>
                    <a:lnTo>
                      <a:pt x="1725" y="11776"/>
                    </a:lnTo>
                    <a:lnTo>
                      <a:pt x="1725" y="12288"/>
                    </a:lnTo>
                    <a:lnTo>
                      <a:pt x="1725" y="12800"/>
                    </a:lnTo>
                    <a:lnTo>
                      <a:pt x="862" y="12800"/>
                    </a:lnTo>
                    <a:lnTo>
                      <a:pt x="862" y="13824"/>
                    </a:lnTo>
                    <a:lnTo>
                      <a:pt x="862" y="14336"/>
                    </a:lnTo>
                    <a:lnTo>
                      <a:pt x="431" y="14848"/>
                    </a:lnTo>
                    <a:lnTo>
                      <a:pt x="431" y="15872"/>
                    </a:lnTo>
                    <a:lnTo>
                      <a:pt x="0" y="16384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45" name="Объект 1043">
                <a:extLst>
                  <a:ext uri="{FF2B5EF4-FFF2-40B4-BE49-F238E27FC236}">
                    <a16:creationId xmlns:a16="http://schemas.microsoft.com/office/drawing/2014/main" id="{00000000-0008-0000-0500-00004D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20000" y="440000"/>
                <a:ext cx="0" cy="3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46" name="Объект 1044">
                <a:extLst>
                  <a:ext uri="{FF2B5EF4-FFF2-40B4-BE49-F238E27FC236}">
                    <a16:creationId xmlns:a16="http://schemas.microsoft.com/office/drawing/2014/main" id="{00000000-0008-0000-0500-00004E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80000" y="68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8192" y="16384"/>
                  </a:cxn>
                  <a:cxn ang="0">
                    <a:pos x="0" y="0"/>
                  </a:cxn>
                  <a:cxn ang="0">
                    <a:pos x="1024" y="0"/>
                  </a:cxn>
                  <a:cxn ang="0">
                    <a:pos x="1024" y="443"/>
                  </a:cxn>
                  <a:cxn ang="0">
                    <a:pos x="1536" y="443"/>
                  </a:cxn>
                  <a:cxn ang="0">
                    <a:pos x="2048" y="443"/>
                  </a:cxn>
                  <a:cxn ang="0">
                    <a:pos x="2560" y="443"/>
                  </a:cxn>
                  <a:cxn ang="0">
                    <a:pos x="2560" y="886"/>
                  </a:cxn>
                  <a:cxn ang="0">
                    <a:pos x="3584" y="886"/>
                  </a:cxn>
                  <a:cxn ang="0">
                    <a:pos x="4096" y="886"/>
                  </a:cxn>
                  <a:cxn ang="0">
                    <a:pos x="4608" y="886"/>
                  </a:cxn>
                  <a:cxn ang="0">
                    <a:pos x="5632" y="886"/>
                  </a:cxn>
                  <a:cxn ang="0">
                    <a:pos x="5632" y="1771"/>
                  </a:cxn>
                  <a:cxn ang="0">
                    <a:pos x="6144" y="1771"/>
                  </a:cxn>
                  <a:cxn ang="0">
                    <a:pos x="6656" y="1771"/>
                  </a:cxn>
                  <a:cxn ang="0">
                    <a:pos x="7168" y="1771"/>
                  </a:cxn>
                  <a:cxn ang="0">
                    <a:pos x="8192" y="1771"/>
                  </a:cxn>
                  <a:cxn ang="0">
                    <a:pos x="8704" y="1771"/>
                  </a:cxn>
                  <a:cxn ang="0">
                    <a:pos x="9216" y="1771"/>
                  </a:cxn>
                  <a:cxn ang="0">
                    <a:pos x="10240" y="1771"/>
                  </a:cxn>
                  <a:cxn ang="0">
                    <a:pos x="10752" y="1771"/>
                  </a:cxn>
                  <a:cxn ang="0">
                    <a:pos x="11264" y="886"/>
                  </a:cxn>
                  <a:cxn ang="0">
                    <a:pos x="11776" y="886"/>
                  </a:cxn>
                  <a:cxn ang="0">
                    <a:pos x="12800" y="886"/>
                  </a:cxn>
                  <a:cxn ang="0">
                    <a:pos x="13312" y="886"/>
                  </a:cxn>
                  <a:cxn ang="0">
                    <a:pos x="13824" y="443"/>
                  </a:cxn>
                  <a:cxn ang="0">
                    <a:pos x="14336" y="443"/>
                  </a:cxn>
                  <a:cxn ang="0">
                    <a:pos x="15360" y="443"/>
                  </a:cxn>
                  <a:cxn ang="0">
                    <a:pos x="15872" y="0"/>
                  </a:cxn>
                  <a:cxn ang="0">
                    <a:pos x="16384" y="0"/>
                  </a:cxn>
                  <a:cxn ang="0">
                    <a:pos x="8192" y="16384"/>
                  </a:cxn>
                </a:cxnLst>
                <a:rect l="0" t="0" r="r" b="b"/>
                <a:pathLst>
                  <a:path w="16384" h="16384">
                    <a:moveTo>
                      <a:pt x="8192" y="16384"/>
                    </a:moveTo>
                    <a:lnTo>
                      <a:pt x="0" y="0"/>
                    </a:lnTo>
                    <a:lnTo>
                      <a:pt x="1024" y="0"/>
                    </a:lnTo>
                    <a:lnTo>
                      <a:pt x="1024" y="443"/>
                    </a:lnTo>
                    <a:lnTo>
                      <a:pt x="1536" y="443"/>
                    </a:lnTo>
                    <a:lnTo>
                      <a:pt x="2048" y="443"/>
                    </a:lnTo>
                    <a:lnTo>
                      <a:pt x="2560" y="443"/>
                    </a:lnTo>
                    <a:lnTo>
                      <a:pt x="2560" y="886"/>
                    </a:lnTo>
                    <a:lnTo>
                      <a:pt x="3584" y="886"/>
                    </a:lnTo>
                    <a:lnTo>
                      <a:pt x="4096" y="886"/>
                    </a:lnTo>
                    <a:lnTo>
                      <a:pt x="4608" y="886"/>
                    </a:lnTo>
                    <a:lnTo>
                      <a:pt x="5632" y="886"/>
                    </a:lnTo>
                    <a:lnTo>
                      <a:pt x="5632" y="1771"/>
                    </a:lnTo>
                    <a:lnTo>
                      <a:pt x="6144" y="1771"/>
                    </a:lnTo>
                    <a:lnTo>
                      <a:pt x="6656" y="1771"/>
                    </a:lnTo>
                    <a:lnTo>
                      <a:pt x="7168" y="1771"/>
                    </a:lnTo>
                    <a:lnTo>
                      <a:pt x="8192" y="1771"/>
                    </a:lnTo>
                    <a:lnTo>
                      <a:pt x="8704" y="1771"/>
                    </a:lnTo>
                    <a:lnTo>
                      <a:pt x="9216" y="1771"/>
                    </a:lnTo>
                    <a:lnTo>
                      <a:pt x="10240" y="1771"/>
                    </a:lnTo>
                    <a:lnTo>
                      <a:pt x="10752" y="1771"/>
                    </a:lnTo>
                    <a:lnTo>
                      <a:pt x="11264" y="886"/>
                    </a:lnTo>
                    <a:lnTo>
                      <a:pt x="11776" y="886"/>
                    </a:lnTo>
                    <a:lnTo>
                      <a:pt x="12800" y="886"/>
                    </a:lnTo>
                    <a:lnTo>
                      <a:pt x="13312" y="886"/>
                    </a:lnTo>
                    <a:lnTo>
                      <a:pt x="13824" y="443"/>
                    </a:lnTo>
                    <a:lnTo>
                      <a:pt x="14336" y="443"/>
                    </a:lnTo>
                    <a:lnTo>
                      <a:pt x="15360" y="443"/>
                    </a:lnTo>
                    <a:lnTo>
                      <a:pt x="15872" y="0"/>
                    </a:lnTo>
                    <a:lnTo>
                      <a:pt x="16384" y="0"/>
                    </a:lnTo>
                    <a:lnTo>
                      <a:pt x="8192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47" name="Объект 1045">
                <a:extLst>
                  <a:ext uri="{FF2B5EF4-FFF2-40B4-BE49-F238E27FC236}">
                    <a16:creationId xmlns:a16="http://schemas.microsoft.com/office/drawing/2014/main" id="{00000000-0008-0000-0500-00004F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20000" y="960000"/>
                <a:ext cx="0" cy="3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48" name="Объект 1046">
                <a:extLst>
                  <a:ext uri="{FF2B5EF4-FFF2-40B4-BE49-F238E27FC236}">
                    <a16:creationId xmlns:a16="http://schemas.microsoft.com/office/drawing/2014/main" id="{00000000-0008-0000-0500-000050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80000" y="96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8192" y="0"/>
                  </a:cxn>
                  <a:cxn ang="0">
                    <a:pos x="0" y="16384"/>
                  </a:cxn>
                  <a:cxn ang="0">
                    <a:pos x="1024" y="15953"/>
                  </a:cxn>
                  <a:cxn ang="0">
                    <a:pos x="1536" y="15522"/>
                  </a:cxn>
                  <a:cxn ang="0">
                    <a:pos x="2048" y="15522"/>
                  </a:cxn>
                  <a:cxn ang="0">
                    <a:pos x="2560" y="15522"/>
                  </a:cxn>
                  <a:cxn ang="0">
                    <a:pos x="3584" y="14659"/>
                  </a:cxn>
                  <a:cxn ang="0">
                    <a:pos x="4096" y="14659"/>
                  </a:cxn>
                  <a:cxn ang="0">
                    <a:pos x="4608" y="14659"/>
                  </a:cxn>
                  <a:cxn ang="0">
                    <a:pos x="5632" y="14659"/>
                  </a:cxn>
                  <a:cxn ang="0">
                    <a:pos x="6144" y="14659"/>
                  </a:cxn>
                  <a:cxn ang="0">
                    <a:pos x="6656" y="14228"/>
                  </a:cxn>
                  <a:cxn ang="0">
                    <a:pos x="7168" y="14228"/>
                  </a:cxn>
                  <a:cxn ang="0">
                    <a:pos x="8192" y="14228"/>
                  </a:cxn>
                  <a:cxn ang="0">
                    <a:pos x="8704" y="14228"/>
                  </a:cxn>
                  <a:cxn ang="0">
                    <a:pos x="9216" y="14228"/>
                  </a:cxn>
                  <a:cxn ang="0">
                    <a:pos x="10240" y="14228"/>
                  </a:cxn>
                  <a:cxn ang="0">
                    <a:pos x="10240" y="14659"/>
                  </a:cxn>
                  <a:cxn ang="0">
                    <a:pos x="10752" y="14659"/>
                  </a:cxn>
                  <a:cxn ang="0">
                    <a:pos x="11264" y="14659"/>
                  </a:cxn>
                  <a:cxn ang="0">
                    <a:pos x="11776" y="14659"/>
                  </a:cxn>
                  <a:cxn ang="0">
                    <a:pos x="12800" y="14659"/>
                  </a:cxn>
                  <a:cxn ang="0">
                    <a:pos x="13312" y="15522"/>
                  </a:cxn>
                  <a:cxn ang="0">
                    <a:pos x="13824" y="15522"/>
                  </a:cxn>
                  <a:cxn ang="0">
                    <a:pos x="14336" y="15522"/>
                  </a:cxn>
                  <a:cxn ang="0">
                    <a:pos x="15360" y="15522"/>
                  </a:cxn>
                  <a:cxn ang="0">
                    <a:pos x="15360" y="15953"/>
                  </a:cxn>
                  <a:cxn ang="0">
                    <a:pos x="15872" y="15953"/>
                  </a:cxn>
                  <a:cxn ang="0">
                    <a:pos x="16384" y="16384"/>
                  </a:cxn>
                  <a:cxn ang="0">
                    <a:pos x="8192" y="0"/>
                  </a:cxn>
                </a:cxnLst>
                <a:rect l="0" t="0" r="r" b="b"/>
                <a:pathLst>
                  <a:path w="16384" h="16384">
                    <a:moveTo>
                      <a:pt x="8192" y="0"/>
                    </a:moveTo>
                    <a:lnTo>
                      <a:pt x="0" y="16384"/>
                    </a:lnTo>
                    <a:lnTo>
                      <a:pt x="1024" y="15953"/>
                    </a:lnTo>
                    <a:lnTo>
                      <a:pt x="1536" y="15522"/>
                    </a:lnTo>
                    <a:lnTo>
                      <a:pt x="2048" y="15522"/>
                    </a:lnTo>
                    <a:lnTo>
                      <a:pt x="2560" y="15522"/>
                    </a:lnTo>
                    <a:lnTo>
                      <a:pt x="3584" y="14659"/>
                    </a:lnTo>
                    <a:lnTo>
                      <a:pt x="4096" y="14659"/>
                    </a:lnTo>
                    <a:lnTo>
                      <a:pt x="4608" y="14659"/>
                    </a:lnTo>
                    <a:lnTo>
                      <a:pt x="5632" y="14659"/>
                    </a:lnTo>
                    <a:lnTo>
                      <a:pt x="6144" y="14659"/>
                    </a:lnTo>
                    <a:lnTo>
                      <a:pt x="6656" y="14228"/>
                    </a:lnTo>
                    <a:lnTo>
                      <a:pt x="7168" y="14228"/>
                    </a:lnTo>
                    <a:lnTo>
                      <a:pt x="8192" y="14228"/>
                    </a:lnTo>
                    <a:lnTo>
                      <a:pt x="8704" y="14228"/>
                    </a:lnTo>
                    <a:lnTo>
                      <a:pt x="9216" y="14228"/>
                    </a:lnTo>
                    <a:lnTo>
                      <a:pt x="10240" y="14228"/>
                    </a:lnTo>
                    <a:lnTo>
                      <a:pt x="10240" y="14659"/>
                    </a:lnTo>
                    <a:lnTo>
                      <a:pt x="10752" y="14659"/>
                    </a:lnTo>
                    <a:lnTo>
                      <a:pt x="11264" y="14659"/>
                    </a:lnTo>
                    <a:lnTo>
                      <a:pt x="11776" y="14659"/>
                    </a:lnTo>
                    <a:lnTo>
                      <a:pt x="12800" y="14659"/>
                    </a:lnTo>
                    <a:lnTo>
                      <a:pt x="13312" y="15522"/>
                    </a:lnTo>
                    <a:lnTo>
                      <a:pt x="13824" y="15522"/>
                    </a:lnTo>
                    <a:lnTo>
                      <a:pt x="14336" y="15522"/>
                    </a:lnTo>
                    <a:lnTo>
                      <a:pt x="15360" y="15522"/>
                    </a:lnTo>
                    <a:lnTo>
                      <a:pt x="15360" y="15953"/>
                    </a:lnTo>
                    <a:lnTo>
                      <a:pt x="15872" y="15953"/>
                    </a:lnTo>
                    <a:lnTo>
                      <a:pt x="16384" y="16384"/>
                    </a:lnTo>
                    <a:lnTo>
                      <a:pt x="8192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49" name="Объект 1047">
                <a:extLst>
                  <a:ext uri="{FF2B5EF4-FFF2-40B4-BE49-F238E27FC236}">
                    <a16:creationId xmlns:a16="http://schemas.microsoft.com/office/drawing/2014/main" id="{00000000-0008-0000-0500-000051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20000" y="760000"/>
                <a:ext cx="0" cy="2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50" name="Текст 1048">
                <a:extLst>
                  <a:ext uri="{FF2B5EF4-FFF2-40B4-BE49-F238E27FC236}">
                    <a16:creationId xmlns:a16="http://schemas.microsoft.com/office/drawing/2014/main" id="{00000000-0008-0000-0500-000052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980000" y="40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7251" name="Объект 1049">
                <a:extLst>
                  <a:ext uri="{FF2B5EF4-FFF2-40B4-BE49-F238E27FC236}">
                    <a16:creationId xmlns:a16="http://schemas.microsoft.com/office/drawing/2014/main" id="{00000000-0008-0000-0500-000053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20000" y="780000"/>
                <a:ext cx="1400000" cy="2600000"/>
              </a:xfrm>
              <a:custGeom>
                <a:avLst/>
                <a:gdLst/>
                <a:ahLst/>
                <a:cxnLst>
                  <a:cxn ang="0">
                    <a:pos x="2515" y="8185"/>
                  </a:cxn>
                  <a:cxn ang="0">
                    <a:pos x="2515" y="13690"/>
                  </a:cxn>
                  <a:cxn ang="0">
                    <a:pos x="2515" y="13865"/>
                  </a:cxn>
                  <a:cxn ang="0">
                    <a:pos x="2552" y="14010"/>
                  </a:cxn>
                  <a:cxn ang="0">
                    <a:pos x="2663" y="14141"/>
                  </a:cxn>
                  <a:cxn ang="0">
                    <a:pos x="2737" y="14272"/>
                  </a:cxn>
                  <a:cxn ang="0">
                    <a:pos x="2922" y="14403"/>
                  </a:cxn>
                  <a:cxn ang="0">
                    <a:pos x="3070" y="14491"/>
                  </a:cxn>
                  <a:cxn ang="0">
                    <a:pos x="3292" y="14607"/>
                  </a:cxn>
                  <a:cxn ang="0">
                    <a:pos x="3550" y="14680"/>
                  </a:cxn>
                  <a:cxn ang="0">
                    <a:pos x="3772" y="14782"/>
                  </a:cxn>
                  <a:cxn ang="0">
                    <a:pos x="4068" y="14826"/>
                  </a:cxn>
                  <a:cxn ang="0">
                    <a:pos x="4364" y="14899"/>
                  </a:cxn>
                  <a:cxn ang="0">
                    <a:pos x="4697" y="14957"/>
                  </a:cxn>
                  <a:cxn ang="0">
                    <a:pos x="5400" y="15059"/>
                  </a:cxn>
                  <a:cxn ang="0">
                    <a:pos x="6139" y="15132"/>
                  </a:cxn>
                  <a:cxn ang="0">
                    <a:pos x="14905" y="15612"/>
                  </a:cxn>
                  <a:cxn ang="0">
                    <a:pos x="15274" y="15627"/>
                  </a:cxn>
                  <a:cxn ang="0">
                    <a:pos x="15607" y="15670"/>
                  </a:cxn>
                  <a:cxn ang="0">
                    <a:pos x="15866" y="15729"/>
                  </a:cxn>
                  <a:cxn ang="0">
                    <a:pos x="16051" y="15816"/>
                  </a:cxn>
                  <a:cxn ang="0">
                    <a:pos x="16199" y="15933"/>
                  </a:cxn>
                  <a:cxn ang="0">
                    <a:pos x="16273" y="16049"/>
                  </a:cxn>
                  <a:cxn ang="0">
                    <a:pos x="16310" y="16209"/>
                  </a:cxn>
                  <a:cxn ang="0">
                    <a:pos x="16384" y="16384"/>
                  </a:cxn>
                  <a:cxn ang="0">
                    <a:pos x="0" y="16384"/>
                  </a:cxn>
                  <a:cxn ang="0">
                    <a:pos x="0" y="8185"/>
                  </a:cxn>
                  <a:cxn ang="0">
                    <a:pos x="0" y="0"/>
                  </a:cxn>
                  <a:cxn ang="0">
                    <a:pos x="16384" y="0"/>
                  </a:cxn>
                  <a:cxn ang="0">
                    <a:pos x="16310" y="175"/>
                  </a:cxn>
                  <a:cxn ang="0">
                    <a:pos x="16273" y="320"/>
                  </a:cxn>
                  <a:cxn ang="0">
                    <a:pos x="16199" y="451"/>
                  </a:cxn>
                  <a:cxn ang="0">
                    <a:pos x="16051" y="568"/>
                  </a:cxn>
                  <a:cxn ang="0">
                    <a:pos x="15866" y="641"/>
                  </a:cxn>
                  <a:cxn ang="0">
                    <a:pos x="15607" y="714"/>
                  </a:cxn>
                  <a:cxn ang="0">
                    <a:pos x="15274" y="757"/>
                  </a:cxn>
                  <a:cxn ang="0">
                    <a:pos x="14905" y="757"/>
                  </a:cxn>
                  <a:cxn ang="0">
                    <a:pos x="5917" y="1398"/>
                  </a:cxn>
                  <a:cxn ang="0">
                    <a:pos x="5104" y="1471"/>
                  </a:cxn>
                  <a:cxn ang="0">
                    <a:pos x="4401" y="1587"/>
                  </a:cxn>
                  <a:cxn ang="0">
                    <a:pos x="4105" y="1660"/>
                  </a:cxn>
                  <a:cxn ang="0">
                    <a:pos x="3846" y="1718"/>
                  </a:cxn>
                  <a:cxn ang="0">
                    <a:pos x="3550" y="1820"/>
                  </a:cxn>
                  <a:cxn ang="0">
                    <a:pos x="3292" y="1893"/>
                  </a:cxn>
                  <a:cxn ang="0">
                    <a:pos x="3107" y="1995"/>
                  </a:cxn>
                  <a:cxn ang="0">
                    <a:pos x="2959" y="2112"/>
                  </a:cxn>
                  <a:cxn ang="0">
                    <a:pos x="2848" y="2228"/>
                  </a:cxn>
                  <a:cxn ang="0">
                    <a:pos x="2700" y="2359"/>
                  </a:cxn>
                  <a:cxn ang="0">
                    <a:pos x="2589" y="2505"/>
                  </a:cxn>
                  <a:cxn ang="0">
                    <a:pos x="2552" y="2651"/>
                  </a:cxn>
                  <a:cxn ang="0">
                    <a:pos x="2515" y="2825"/>
                  </a:cxn>
                  <a:cxn ang="0">
                    <a:pos x="2515" y="3000"/>
                  </a:cxn>
                  <a:cxn ang="0">
                    <a:pos x="2515" y="8185"/>
                  </a:cxn>
                </a:cxnLst>
                <a:rect l="0" t="0" r="r" b="b"/>
                <a:pathLst>
                  <a:path w="16384" h="16384">
                    <a:moveTo>
                      <a:pt x="2515" y="8185"/>
                    </a:moveTo>
                    <a:lnTo>
                      <a:pt x="2515" y="13690"/>
                    </a:lnTo>
                    <a:lnTo>
                      <a:pt x="2515" y="13865"/>
                    </a:lnTo>
                    <a:lnTo>
                      <a:pt x="2552" y="14010"/>
                    </a:lnTo>
                    <a:lnTo>
                      <a:pt x="2663" y="14141"/>
                    </a:lnTo>
                    <a:lnTo>
                      <a:pt x="2737" y="14272"/>
                    </a:lnTo>
                    <a:lnTo>
                      <a:pt x="2922" y="14403"/>
                    </a:lnTo>
                    <a:lnTo>
                      <a:pt x="3070" y="14491"/>
                    </a:lnTo>
                    <a:lnTo>
                      <a:pt x="3292" y="14607"/>
                    </a:lnTo>
                    <a:lnTo>
                      <a:pt x="3550" y="14680"/>
                    </a:lnTo>
                    <a:lnTo>
                      <a:pt x="3772" y="14782"/>
                    </a:lnTo>
                    <a:lnTo>
                      <a:pt x="4068" y="14826"/>
                    </a:lnTo>
                    <a:lnTo>
                      <a:pt x="4364" y="14899"/>
                    </a:lnTo>
                    <a:lnTo>
                      <a:pt x="4697" y="14957"/>
                    </a:lnTo>
                    <a:lnTo>
                      <a:pt x="5400" y="15059"/>
                    </a:lnTo>
                    <a:lnTo>
                      <a:pt x="6139" y="15132"/>
                    </a:lnTo>
                    <a:lnTo>
                      <a:pt x="14905" y="15612"/>
                    </a:lnTo>
                    <a:lnTo>
                      <a:pt x="15274" y="15627"/>
                    </a:lnTo>
                    <a:lnTo>
                      <a:pt x="15607" y="15670"/>
                    </a:lnTo>
                    <a:lnTo>
                      <a:pt x="15866" y="15729"/>
                    </a:lnTo>
                    <a:lnTo>
                      <a:pt x="16051" y="15816"/>
                    </a:lnTo>
                    <a:lnTo>
                      <a:pt x="16199" y="15933"/>
                    </a:lnTo>
                    <a:lnTo>
                      <a:pt x="16273" y="16049"/>
                    </a:lnTo>
                    <a:lnTo>
                      <a:pt x="16310" y="16209"/>
                    </a:lnTo>
                    <a:lnTo>
                      <a:pt x="16384" y="16384"/>
                    </a:lnTo>
                    <a:lnTo>
                      <a:pt x="0" y="16384"/>
                    </a:lnTo>
                    <a:lnTo>
                      <a:pt x="0" y="8185"/>
                    </a:lnTo>
                    <a:lnTo>
                      <a:pt x="0" y="0"/>
                    </a:lnTo>
                    <a:lnTo>
                      <a:pt x="16384" y="0"/>
                    </a:lnTo>
                    <a:lnTo>
                      <a:pt x="16310" y="175"/>
                    </a:lnTo>
                    <a:lnTo>
                      <a:pt x="16273" y="320"/>
                    </a:lnTo>
                    <a:lnTo>
                      <a:pt x="16199" y="451"/>
                    </a:lnTo>
                    <a:lnTo>
                      <a:pt x="16051" y="568"/>
                    </a:lnTo>
                    <a:lnTo>
                      <a:pt x="15866" y="641"/>
                    </a:lnTo>
                    <a:lnTo>
                      <a:pt x="15607" y="714"/>
                    </a:lnTo>
                    <a:lnTo>
                      <a:pt x="15274" y="757"/>
                    </a:lnTo>
                    <a:lnTo>
                      <a:pt x="14905" y="757"/>
                    </a:lnTo>
                    <a:lnTo>
                      <a:pt x="5917" y="1398"/>
                    </a:lnTo>
                    <a:lnTo>
                      <a:pt x="5104" y="1471"/>
                    </a:lnTo>
                    <a:lnTo>
                      <a:pt x="4401" y="1587"/>
                    </a:lnTo>
                    <a:lnTo>
                      <a:pt x="4105" y="1660"/>
                    </a:lnTo>
                    <a:lnTo>
                      <a:pt x="3846" y="1718"/>
                    </a:lnTo>
                    <a:lnTo>
                      <a:pt x="3550" y="1820"/>
                    </a:lnTo>
                    <a:lnTo>
                      <a:pt x="3292" y="1893"/>
                    </a:lnTo>
                    <a:lnTo>
                      <a:pt x="3107" y="1995"/>
                    </a:lnTo>
                    <a:lnTo>
                      <a:pt x="2959" y="2112"/>
                    </a:lnTo>
                    <a:lnTo>
                      <a:pt x="2848" y="2228"/>
                    </a:lnTo>
                    <a:lnTo>
                      <a:pt x="2700" y="2359"/>
                    </a:lnTo>
                    <a:lnTo>
                      <a:pt x="2589" y="2505"/>
                    </a:lnTo>
                    <a:lnTo>
                      <a:pt x="2552" y="2651"/>
                    </a:lnTo>
                    <a:lnTo>
                      <a:pt x="2515" y="2825"/>
                    </a:lnTo>
                    <a:lnTo>
                      <a:pt x="2515" y="3000"/>
                    </a:lnTo>
                    <a:lnTo>
                      <a:pt x="2515" y="8185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52" name="Объект 1050">
                <a:extLst>
                  <a:ext uri="{FF2B5EF4-FFF2-40B4-BE49-F238E27FC236}">
                    <a16:creationId xmlns:a16="http://schemas.microsoft.com/office/drawing/2014/main" id="{00000000-0008-0000-0500-000054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20000" y="780000"/>
                <a:ext cx="1400000" cy="2600000"/>
              </a:xfrm>
              <a:custGeom>
                <a:avLst/>
                <a:gdLst/>
                <a:ahLst/>
                <a:cxnLst>
                  <a:cxn ang="0">
                    <a:pos x="2515" y="8185"/>
                  </a:cxn>
                  <a:cxn ang="0">
                    <a:pos x="2515" y="13690"/>
                  </a:cxn>
                  <a:cxn ang="0">
                    <a:pos x="2515" y="13865"/>
                  </a:cxn>
                  <a:cxn ang="0">
                    <a:pos x="2552" y="14010"/>
                  </a:cxn>
                  <a:cxn ang="0">
                    <a:pos x="2663" y="14141"/>
                  </a:cxn>
                  <a:cxn ang="0">
                    <a:pos x="2737" y="14272"/>
                  </a:cxn>
                  <a:cxn ang="0">
                    <a:pos x="2922" y="14403"/>
                  </a:cxn>
                  <a:cxn ang="0">
                    <a:pos x="3070" y="14491"/>
                  </a:cxn>
                  <a:cxn ang="0">
                    <a:pos x="3292" y="14607"/>
                  </a:cxn>
                  <a:cxn ang="0">
                    <a:pos x="3550" y="14680"/>
                  </a:cxn>
                  <a:cxn ang="0">
                    <a:pos x="3772" y="14782"/>
                  </a:cxn>
                  <a:cxn ang="0">
                    <a:pos x="4068" y="14826"/>
                  </a:cxn>
                  <a:cxn ang="0">
                    <a:pos x="4364" y="14899"/>
                  </a:cxn>
                  <a:cxn ang="0">
                    <a:pos x="4697" y="14957"/>
                  </a:cxn>
                  <a:cxn ang="0">
                    <a:pos x="5400" y="15059"/>
                  </a:cxn>
                  <a:cxn ang="0">
                    <a:pos x="6139" y="15132"/>
                  </a:cxn>
                  <a:cxn ang="0">
                    <a:pos x="14905" y="15612"/>
                  </a:cxn>
                  <a:cxn ang="0">
                    <a:pos x="15274" y="15627"/>
                  </a:cxn>
                  <a:cxn ang="0">
                    <a:pos x="15607" y="15670"/>
                  </a:cxn>
                  <a:cxn ang="0">
                    <a:pos x="15866" y="15729"/>
                  </a:cxn>
                  <a:cxn ang="0">
                    <a:pos x="16051" y="15816"/>
                  </a:cxn>
                  <a:cxn ang="0">
                    <a:pos x="16199" y="15933"/>
                  </a:cxn>
                  <a:cxn ang="0">
                    <a:pos x="16273" y="16049"/>
                  </a:cxn>
                  <a:cxn ang="0">
                    <a:pos x="16310" y="16209"/>
                  </a:cxn>
                  <a:cxn ang="0">
                    <a:pos x="16384" y="16384"/>
                  </a:cxn>
                  <a:cxn ang="0">
                    <a:pos x="0" y="16384"/>
                  </a:cxn>
                  <a:cxn ang="0">
                    <a:pos x="0" y="8185"/>
                  </a:cxn>
                  <a:cxn ang="0">
                    <a:pos x="0" y="0"/>
                  </a:cxn>
                  <a:cxn ang="0">
                    <a:pos x="16384" y="0"/>
                  </a:cxn>
                  <a:cxn ang="0">
                    <a:pos x="16310" y="175"/>
                  </a:cxn>
                  <a:cxn ang="0">
                    <a:pos x="16273" y="320"/>
                  </a:cxn>
                  <a:cxn ang="0">
                    <a:pos x="16199" y="451"/>
                  </a:cxn>
                  <a:cxn ang="0">
                    <a:pos x="16051" y="568"/>
                  </a:cxn>
                  <a:cxn ang="0">
                    <a:pos x="15866" y="641"/>
                  </a:cxn>
                  <a:cxn ang="0">
                    <a:pos x="15607" y="714"/>
                  </a:cxn>
                  <a:cxn ang="0">
                    <a:pos x="15274" y="757"/>
                  </a:cxn>
                  <a:cxn ang="0">
                    <a:pos x="14905" y="757"/>
                  </a:cxn>
                  <a:cxn ang="0">
                    <a:pos x="5917" y="1398"/>
                  </a:cxn>
                  <a:cxn ang="0">
                    <a:pos x="5104" y="1471"/>
                  </a:cxn>
                  <a:cxn ang="0">
                    <a:pos x="4401" y="1587"/>
                  </a:cxn>
                  <a:cxn ang="0">
                    <a:pos x="4105" y="1660"/>
                  </a:cxn>
                  <a:cxn ang="0">
                    <a:pos x="3846" y="1718"/>
                  </a:cxn>
                  <a:cxn ang="0">
                    <a:pos x="3550" y="1820"/>
                  </a:cxn>
                  <a:cxn ang="0">
                    <a:pos x="3292" y="1893"/>
                  </a:cxn>
                  <a:cxn ang="0">
                    <a:pos x="3107" y="1995"/>
                  </a:cxn>
                  <a:cxn ang="0">
                    <a:pos x="2959" y="2112"/>
                  </a:cxn>
                  <a:cxn ang="0">
                    <a:pos x="2848" y="2228"/>
                  </a:cxn>
                  <a:cxn ang="0">
                    <a:pos x="2700" y="2359"/>
                  </a:cxn>
                  <a:cxn ang="0">
                    <a:pos x="2589" y="2505"/>
                  </a:cxn>
                  <a:cxn ang="0">
                    <a:pos x="2552" y="2651"/>
                  </a:cxn>
                  <a:cxn ang="0">
                    <a:pos x="2515" y="2825"/>
                  </a:cxn>
                  <a:cxn ang="0">
                    <a:pos x="2515" y="3000"/>
                  </a:cxn>
                  <a:cxn ang="0">
                    <a:pos x="2515" y="8185"/>
                  </a:cxn>
                </a:cxnLst>
                <a:rect l="0" t="0" r="r" b="b"/>
                <a:pathLst>
                  <a:path w="16384" h="16384">
                    <a:moveTo>
                      <a:pt x="2515" y="8185"/>
                    </a:moveTo>
                    <a:lnTo>
                      <a:pt x="2515" y="13690"/>
                    </a:lnTo>
                    <a:lnTo>
                      <a:pt x="2515" y="13865"/>
                    </a:lnTo>
                    <a:lnTo>
                      <a:pt x="2552" y="14010"/>
                    </a:lnTo>
                    <a:lnTo>
                      <a:pt x="2663" y="14141"/>
                    </a:lnTo>
                    <a:lnTo>
                      <a:pt x="2737" y="14272"/>
                    </a:lnTo>
                    <a:lnTo>
                      <a:pt x="2922" y="14403"/>
                    </a:lnTo>
                    <a:lnTo>
                      <a:pt x="3070" y="14491"/>
                    </a:lnTo>
                    <a:lnTo>
                      <a:pt x="3292" y="14607"/>
                    </a:lnTo>
                    <a:lnTo>
                      <a:pt x="3550" y="14680"/>
                    </a:lnTo>
                    <a:lnTo>
                      <a:pt x="3772" y="14782"/>
                    </a:lnTo>
                    <a:lnTo>
                      <a:pt x="4068" y="14826"/>
                    </a:lnTo>
                    <a:lnTo>
                      <a:pt x="4364" y="14899"/>
                    </a:lnTo>
                    <a:lnTo>
                      <a:pt x="4697" y="14957"/>
                    </a:lnTo>
                    <a:lnTo>
                      <a:pt x="5400" y="15059"/>
                    </a:lnTo>
                    <a:lnTo>
                      <a:pt x="6139" y="15132"/>
                    </a:lnTo>
                    <a:lnTo>
                      <a:pt x="14905" y="15612"/>
                    </a:lnTo>
                    <a:lnTo>
                      <a:pt x="15274" y="15627"/>
                    </a:lnTo>
                    <a:lnTo>
                      <a:pt x="15607" y="15670"/>
                    </a:lnTo>
                    <a:lnTo>
                      <a:pt x="15866" y="15729"/>
                    </a:lnTo>
                    <a:lnTo>
                      <a:pt x="16051" y="15816"/>
                    </a:lnTo>
                    <a:lnTo>
                      <a:pt x="16199" y="15933"/>
                    </a:lnTo>
                    <a:lnTo>
                      <a:pt x="16273" y="16049"/>
                    </a:lnTo>
                    <a:lnTo>
                      <a:pt x="16310" y="16209"/>
                    </a:lnTo>
                    <a:lnTo>
                      <a:pt x="16384" y="16384"/>
                    </a:lnTo>
                    <a:lnTo>
                      <a:pt x="0" y="16384"/>
                    </a:lnTo>
                    <a:lnTo>
                      <a:pt x="0" y="8185"/>
                    </a:lnTo>
                    <a:lnTo>
                      <a:pt x="0" y="0"/>
                    </a:lnTo>
                    <a:lnTo>
                      <a:pt x="16384" y="0"/>
                    </a:lnTo>
                    <a:lnTo>
                      <a:pt x="16310" y="175"/>
                    </a:lnTo>
                    <a:lnTo>
                      <a:pt x="16273" y="320"/>
                    </a:lnTo>
                    <a:lnTo>
                      <a:pt x="16199" y="451"/>
                    </a:lnTo>
                    <a:lnTo>
                      <a:pt x="16051" y="568"/>
                    </a:lnTo>
                    <a:lnTo>
                      <a:pt x="15866" y="641"/>
                    </a:lnTo>
                    <a:lnTo>
                      <a:pt x="15607" y="714"/>
                    </a:lnTo>
                    <a:lnTo>
                      <a:pt x="15274" y="757"/>
                    </a:lnTo>
                    <a:lnTo>
                      <a:pt x="14905" y="757"/>
                    </a:lnTo>
                    <a:lnTo>
                      <a:pt x="5917" y="1398"/>
                    </a:lnTo>
                    <a:lnTo>
                      <a:pt x="5104" y="1471"/>
                    </a:lnTo>
                    <a:lnTo>
                      <a:pt x="4401" y="1587"/>
                    </a:lnTo>
                    <a:lnTo>
                      <a:pt x="4105" y="1660"/>
                    </a:lnTo>
                    <a:lnTo>
                      <a:pt x="3846" y="1718"/>
                    </a:lnTo>
                    <a:lnTo>
                      <a:pt x="3550" y="1820"/>
                    </a:lnTo>
                    <a:lnTo>
                      <a:pt x="3292" y="1893"/>
                    </a:lnTo>
                    <a:lnTo>
                      <a:pt x="3107" y="1995"/>
                    </a:lnTo>
                    <a:lnTo>
                      <a:pt x="2959" y="2112"/>
                    </a:lnTo>
                    <a:lnTo>
                      <a:pt x="2848" y="2228"/>
                    </a:lnTo>
                    <a:lnTo>
                      <a:pt x="2700" y="2359"/>
                    </a:lnTo>
                    <a:lnTo>
                      <a:pt x="2589" y="2505"/>
                    </a:lnTo>
                    <a:lnTo>
                      <a:pt x="2552" y="2651"/>
                    </a:lnTo>
                    <a:lnTo>
                      <a:pt x="2515" y="2825"/>
                    </a:lnTo>
                    <a:lnTo>
                      <a:pt x="2515" y="3000"/>
                    </a:lnTo>
                    <a:lnTo>
                      <a:pt x="2515" y="8185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53" name="Объект 1051">
                <a:extLst>
                  <a:ext uri="{FF2B5EF4-FFF2-40B4-BE49-F238E27FC236}">
                    <a16:creationId xmlns:a16="http://schemas.microsoft.com/office/drawing/2014/main" id="{00000000-0008-0000-0500-000055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20000" y="500000"/>
                <a:ext cx="20000" cy="33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776"/>
                  </a:cxn>
                  <a:cxn ang="0">
                    <a:pos x="0" y="9994"/>
                  </a:cxn>
                  <a:cxn ang="0">
                    <a:pos x="0" y="12916"/>
                  </a:cxn>
                  <a:cxn ang="0">
                    <a:pos x="0" y="14781"/>
                  </a:cxn>
                  <a:cxn ang="0">
                    <a:pos x="0" y="15827"/>
                  </a:cxn>
                  <a:cxn ang="0">
                    <a:pos x="0" y="16282"/>
                  </a:cxn>
                  <a:cxn ang="0">
                    <a:pos x="0" y="16384"/>
                  </a:cxn>
                  <a:cxn ang="0">
                    <a:pos x="0" y="16373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776"/>
                    </a:lnTo>
                    <a:lnTo>
                      <a:pt x="0" y="9994"/>
                    </a:lnTo>
                    <a:lnTo>
                      <a:pt x="0" y="12916"/>
                    </a:lnTo>
                    <a:lnTo>
                      <a:pt x="0" y="14781"/>
                    </a:lnTo>
                    <a:lnTo>
                      <a:pt x="0" y="15827"/>
                    </a:lnTo>
                    <a:lnTo>
                      <a:pt x="0" y="16282"/>
                    </a:lnTo>
                    <a:lnTo>
                      <a:pt x="0" y="16384"/>
                    </a:lnTo>
                    <a:lnTo>
                      <a:pt x="0" y="16373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54" name="Объект 1052">
                <a:extLst>
                  <a:ext uri="{FF2B5EF4-FFF2-40B4-BE49-F238E27FC236}">
                    <a16:creationId xmlns:a16="http://schemas.microsoft.com/office/drawing/2014/main" id="{00000000-0008-0000-0500-000056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20000" y="800000"/>
                <a:ext cx="20000" cy="4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61"/>
                  </a:cxn>
                  <a:cxn ang="0">
                    <a:pos x="0" y="9498"/>
                  </a:cxn>
                  <a:cxn ang="0">
                    <a:pos x="0" y="12427"/>
                  </a:cxn>
                  <a:cxn ang="0">
                    <a:pos x="0" y="14405"/>
                  </a:cxn>
                  <a:cxn ang="0">
                    <a:pos x="0" y="15593"/>
                  </a:cxn>
                  <a:cxn ang="0">
                    <a:pos x="0" y="16226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61"/>
                    </a:lnTo>
                    <a:lnTo>
                      <a:pt x="0" y="9498"/>
                    </a:lnTo>
                    <a:lnTo>
                      <a:pt x="0" y="12427"/>
                    </a:lnTo>
                    <a:lnTo>
                      <a:pt x="0" y="14405"/>
                    </a:lnTo>
                    <a:lnTo>
                      <a:pt x="0" y="15593"/>
                    </a:lnTo>
                    <a:lnTo>
                      <a:pt x="0" y="16226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55" name="Объект 1053">
                <a:extLst>
                  <a:ext uri="{FF2B5EF4-FFF2-40B4-BE49-F238E27FC236}">
                    <a16:creationId xmlns:a16="http://schemas.microsoft.com/office/drawing/2014/main" id="{00000000-0008-0000-0500-000057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00000" y="1200000"/>
                <a:ext cx="48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25" y="0"/>
                  </a:cxn>
                  <a:cxn ang="0">
                    <a:pos x="9440" y="0"/>
                  </a:cxn>
                  <a:cxn ang="0">
                    <a:pos x="12369" y="0"/>
                  </a:cxn>
                  <a:cxn ang="0">
                    <a:pos x="14322" y="0"/>
                  </a:cxn>
                  <a:cxn ang="0">
                    <a:pos x="15624" y="0"/>
                  </a:cxn>
                  <a:cxn ang="0">
                    <a:pos x="1616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25" y="0"/>
                    </a:lnTo>
                    <a:lnTo>
                      <a:pt x="9440" y="0"/>
                    </a:lnTo>
                    <a:lnTo>
                      <a:pt x="12369" y="0"/>
                    </a:lnTo>
                    <a:lnTo>
                      <a:pt x="14322" y="0"/>
                    </a:lnTo>
                    <a:lnTo>
                      <a:pt x="15624" y="0"/>
                    </a:lnTo>
                    <a:lnTo>
                      <a:pt x="1616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56" name="Объект 1054">
                <a:extLst>
                  <a:ext uri="{FF2B5EF4-FFF2-40B4-BE49-F238E27FC236}">
                    <a16:creationId xmlns:a16="http://schemas.microsoft.com/office/drawing/2014/main" id="{00000000-0008-0000-0500-000058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20000" y="116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8440"/>
                  </a:cxn>
                  <a:cxn ang="0">
                    <a:pos x="16384" y="0"/>
                  </a:cxn>
                  <a:cxn ang="0">
                    <a:pos x="15953" y="496"/>
                  </a:cxn>
                  <a:cxn ang="0">
                    <a:pos x="15953" y="1489"/>
                  </a:cxn>
                  <a:cxn ang="0">
                    <a:pos x="15953" y="1986"/>
                  </a:cxn>
                  <a:cxn ang="0">
                    <a:pos x="15522" y="2482"/>
                  </a:cxn>
                  <a:cxn ang="0">
                    <a:pos x="15522" y="2979"/>
                  </a:cxn>
                  <a:cxn ang="0">
                    <a:pos x="15091" y="3972"/>
                  </a:cxn>
                  <a:cxn ang="0">
                    <a:pos x="15091" y="4468"/>
                  </a:cxn>
                  <a:cxn ang="0">
                    <a:pos x="15091" y="4965"/>
                  </a:cxn>
                  <a:cxn ang="0">
                    <a:pos x="15091" y="5958"/>
                  </a:cxn>
                  <a:cxn ang="0">
                    <a:pos x="15091" y="6454"/>
                  </a:cxn>
                  <a:cxn ang="0">
                    <a:pos x="15091" y="6951"/>
                  </a:cxn>
                  <a:cxn ang="0">
                    <a:pos x="14228" y="6951"/>
                  </a:cxn>
                  <a:cxn ang="0">
                    <a:pos x="14228" y="7447"/>
                  </a:cxn>
                  <a:cxn ang="0">
                    <a:pos x="14228" y="8440"/>
                  </a:cxn>
                  <a:cxn ang="0">
                    <a:pos x="14228" y="8937"/>
                  </a:cxn>
                  <a:cxn ang="0">
                    <a:pos x="14228" y="9433"/>
                  </a:cxn>
                  <a:cxn ang="0">
                    <a:pos x="15091" y="9433"/>
                  </a:cxn>
                  <a:cxn ang="0">
                    <a:pos x="15091" y="10426"/>
                  </a:cxn>
                  <a:cxn ang="0">
                    <a:pos x="15091" y="10923"/>
                  </a:cxn>
                  <a:cxn ang="0">
                    <a:pos x="15091" y="11419"/>
                  </a:cxn>
                  <a:cxn ang="0">
                    <a:pos x="15091" y="11916"/>
                  </a:cxn>
                  <a:cxn ang="0">
                    <a:pos x="15091" y="12909"/>
                  </a:cxn>
                  <a:cxn ang="0">
                    <a:pos x="15522" y="13405"/>
                  </a:cxn>
                  <a:cxn ang="0">
                    <a:pos x="15522" y="13902"/>
                  </a:cxn>
                  <a:cxn ang="0">
                    <a:pos x="15953" y="14398"/>
                  </a:cxn>
                  <a:cxn ang="0">
                    <a:pos x="15953" y="15391"/>
                  </a:cxn>
                  <a:cxn ang="0">
                    <a:pos x="15953" y="15888"/>
                  </a:cxn>
                  <a:cxn ang="0">
                    <a:pos x="16384" y="16384"/>
                  </a:cxn>
                  <a:cxn ang="0">
                    <a:pos x="0" y="8440"/>
                  </a:cxn>
                </a:cxnLst>
                <a:rect l="0" t="0" r="r" b="b"/>
                <a:pathLst>
                  <a:path w="16384" h="16384">
                    <a:moveTo>
                      <a:pt x="0" y="8440"/>
                    </a:moveTo>
                    <a:lnTo>
                      <a:pt x="16384" y="0"/>
                    </a:lnTo>
                    <a:lnTo>
                      <a:pt x="15953" y="496"/>
                    </a:lnTo>
                    <a:lnTo>
                      <a:pt x="15953" y="1489"/>
                    </a:lnTo>
                    <a:lnTo>
                      <a:pt x="15953" y="1986"/>
                    </a:lnTo>
                    <a:lnTo>
                      <a:pt x="15522" y="2482"/>
                    </a:lnTo>
                    <a:lnTo>
                      <a:pt x="15522" y="2979"/>
                    </a:lnTo>
                    <a:lnTo>
                      <a:pt x="15091" y="3972"/>
                    </a:lnTo>
                    <a:lnTo>
                      <a:pt x="15091" y="4468"/>
                    </a:lnTo>
                    <a:lnTo>
                      <a:pt x="15091" y="4965"/>
                    </a:lnTo>
                    <a:lnTo>
                      <a:pt x="15091" y="5958"/>
                    </a:lnTo>
                    <a:lnTo>
                      <a:pt x="15091" y="6454"/>
                    </a:lnTo>
                    <a:lnTo>
                      <a:pt x="15091" y="6951"/>
                    </a:lnTo>
                    <a:lnTo>
                      <a:pt x="14228" y="6951"/>
                    </a:lnTo>
                    <a:lnTo>
                      <a:pt x="14228" y="7447"/>
                    </a:lnTo>
                    <a:lnTo>
                      <a:pt x="14228" y="8440"/>
                    </a:lnTo>
                    <a:lnTo>
                      <a:pt x="14228" y="8937"/>
                    </a:lnTo>
                    <a:lnTo>
                      <a:pt x="14228" y="9433"/>
                    </a:lnTo>
                    <a:lnTo>
                      <a:pt x="15091" y="9433"/>
                    </a:lnTo>
                    <a:lnTo>
                      <a:pt x="15091" y="10426"/>
                    </a:lnTo>
                    <a:lnTo>
                      <a:pt x="15091" y="10923"/>
                    </a:lnTo>
                    <a:lnTo>
                      <a:pt x="15091" y="11419"/>
                    </a:lnTo>
                    <a:lnTo>
                      <a:pt x="15091" y="11916"/>
                    </a:lnTo>
                    <a:lnTo>
                      <a:pt x="15091" y="12909"/>
                    </a:lnTo>
                    <a:lnTo>
                      <a:pt x="15522" y="13405"/>
                    </a:lnTo>
                    <a:lnTo>
                      <a:pt x="15522" y="13902"/>
                    </a:lnTo>
                    <a:lnTo>
                      <a:pt x="15953" y="14398"/>
                    </a:lnTo>
                    <a:lnTo>
                      <a:pt x="15953" y="15391"/>
                    </a:lnTo>
                    <a:lnTo>
                      <a:pt x="15953" y="15888"/>
                    </a:lnTo>
                    <a:lnTo>
                      <a:pt x="16384" y="16384"/>
                    </a:lnTo>
                    <a:lnTo>
                      <a:pt x="0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57" name="Объект 1055">
                <a:extLst>
                  <a:ext uri="{FF2B5EF4-FFF2-40B4-BE49-F238E27FC236}">
                    <a16:creationId xmlns:a16="http://schemas.microsoft.com/office/drawing/2014/main" id="{00000000-0008-0000-0500-000059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20000" y="1160000"/>
                <a:ext cx="100000" cy="80000"/>
              </a:xfrm>
              <a:custGeom>
                <a:avLst/>
                <a:gdLst/>
                <a:ahLst/>
                <a:cxnLst>
                  <a:cxn ang="0">
                    <a:pos x="16384" y="8440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1489"/>
                  </a:cxn>
                  <a:cxn ang="0">
                    <a:pos x="886" y="1986"/>
                  </a:cxn>
                  <a:cxn ang="0">
                    <a:pos x="886" y="2482"/>
                  </a:cxn>
                  <a:cxn ang="0">
                    <a:pos x="886" y="2979"/>
                  </a:cxn>
                  <a:cxn ang="0">
                    <a:pos x="1328" y="3972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958"/>
                  </a:cxn>
                  <a:cxn ang="0">
                    <a:pos x="1328" y="6454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8440"/>
                  </a:cxn>
                  <a:cxn ang="0">
                    <a:pos x="1771" y="8937"/>
                  </a:cxn>
                  <a:cxn ang="0">
                    <a:pos x="1771" y="9433"/>
                  </a:cxn>
                  <a:cxn ang="0">
                    <a:pos x="1328" y="10426"/>
                  </a:cxn>
                  <a:cxn ang="0">
                    <a:pos x="1328" y="10923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909"/>
                  </a:cxn>
                  <a:cxn ang="0">
                    <a:pos x="886" y="13405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5391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8440"/>
                  </a:cxn>
                </a:cxnLst>
                <a:rect l="0" t="0" r="r" b="b"/>
                <a:pathLst>
                  <a:path w="16384" h="16384">
                    <a:moveTo>
                      <a:pt x="16384" y="8440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1489"/>
                    </a:lnTo>
                    <a:lnTo>
                      <a:pt x="886" y="1986"/>
                    </a:lnTo>
                    <a:lnTo>
                      <a:pt x="886" y="2482"/>
                    </a:lnTo>
                    <a:lnTo>
                      <a:pt x="886" y="2979"/>
                    </a:lnTo>
                    <a:lnTo>
                      <a:pt x="1328" y="3972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958"/>
                    </a:lnTo>
                    <a:lnTo>
                      <a:pt x="1328" y="6454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8440"/>
                    </a:lnTo>
                    <a:lnTo>
                      <a:pt x="1771" y="8937"/>
                    </a:lnTo>
                    <a:lnTo>
                      <a:pt x="1771" y="9433"/>
                    </a:lnTo>
                    <a:lnTo>
                      <a:pt x="1328" y="10426"/>
                    </a:lnTo>
                    <a:lnTo>
                      <a:pt x="1328" y="10923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909"/>
                    </a:lnTo>
                    <a:lnTo>
                      <a:pt x="886" y="13405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5391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58" name="Объект 1057">
                <a:extLst>
                  <a:ext uri="{FF2B5EF4-FFF2-40B4-BE49-F238E27FC236}">
                    <a16:creationId xmlns:a16="http://schemas.microsoft.com/office/drawing/2014/main" id="{00000000-0008-0000-0500-00005A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0000" y="820000"/>
                <a:ext cx="0" cy="25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11"/>
                  </a:cxn>
                  <a:cxn ang="0">
                    <a:pos x="0" y="9470"/>
                  </a:cxn>
                  <a:cxn ang="0">
                    <a:pos x="0" y="12371"/>
                  </a:cxn>
                  <a:cxn ang="0">
                    <a:pos x="0" y="14325"/>
                  </a:cxn>
                  <a:cxn ang="0">
                    <a:pos x="0" y="15512"/>
                  </a:cxn>
                  <a:cxn ang="0">
                    <a:pos x="0" y="16113"/>
                  </a:cxn>
                  <a:cxn ang="0">
                    <a:pos x="0" y="16339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11"/>
                    </a:lnTo>
                    <a:lnTo>
                      <a:pt x="0" y="9470"/>
                    </a:lnTo>
                    <a:lnTo>
                      <a:pt x="0" y="12371"/>
                    </a:lnTo>
                    <a:lnTo>
                      <a:pt x="0" y="14325"/>
                    </a:lnTo>
                    <a:lnTo>
                      <a:pt x="0" y="15512"/>
                    </a:lnTo>
                    <a:lnTo>
                      <a:pt x="0" y="16113"/>
                    </a:lnTo>
                    <a:lnTo>
                      <a:pt x="0" y="16339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59" name="Объект 1058">
                <a:extLst>
                  <a:ext uri="{FF2B5EF4-FFF2-40B4-BE49-F238E27FC236}">
                    <a16:creationId xmlns:a16="http://schemas.microsoft.com/office/drawing/2014/main" id="{00000000-0008-0000-0500-00005B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000" y="780000"/>
                <a:ext cx="100000" cy="60000"/>
              </a:xfrm>
              <a:custGeom>
                <a:avLst/>
                <a:gdLst/>
                <a:ahLst/>
                <a:cxnLst>
                  <a:cxn ang="0">
                    <a:pos x="8704" y="0"/>
                  </a:cxn>
                  <a:cxn ang="0">
                    <a:pos x="16384" y="16384"/>
                  </a:cxn>
                  <a:cxn ang="0">
                    <a:pos x="15872" y="16384"/>
                  </a:cxn>
                  <a:cxn ang="0">
                    <a:pos x="15360" y="15941"/>
                  </a:cxn>
                  <a:cxn ang="0">
                    <a:pos x="14336" y="15941"/>
                  </a:cxn>
                  <a:cxn ang="0">
                    <a:pos x="13824" y="15941"/>
                  </a:cxn>
                  <a:cxn ang="0">
                    <a:pos x="13312" y="15941"/>
                  </a:cxn>
                  <a:cxn ang="0">
                    <a:pos x="13312" y="15056"/>
                  </a:cxn>
                  <a:cxn ang="0">
                    <a:pos x="12800" y="15056"/>
                  </a:cxn>
                  <a:cxn ang="0">
                    <a:pos x="11776" y="15056"/>
                  </a:cxn>
                  <a:cxn ang="0">
                    <a:pos x="11264" y="15056"/>
                  </a:cxn>
                  <a:cxn ang="0">
                    <a:pos x="10752" y="15056"/>
                  </a:cxn>
                  <a:cxn ang="0">
                    <a:pos x="10752" y="14613"/>
                  </a:cxn>
                  <a:cxn ang="0">
                    <a:pos x="10240" y="14613"/>
                  </a:cxn>
                  <a:cxn ang="0">
                    <a:pos x="9216" y="14613"/>
                  </a:cxn>
                  <a:cxn ang="0">
                    <a:pos x="8704" y="14613"/>
                  </a:cxn>
                  <a:cxn ang="0">
                    <a:pos x="8192" y="14613"/>
                  </a:cxn>
                  <a:cxn ang="0">
                    <a:pos x="7168" y="14613"/>
                  </a:cxn>
                  <a:cxn ang="0">
                    <a:pos x="6656" y="14613"/>
                  </a:cxn>
                  <a:cxn ang="0">
                    <a:pos x="6144" y="14613"/>
                  </a:cxn>
                  <a:cxn ang="0">
                    <a:pos x="6144" y="15056"/>
                  </a:cxn>
                  <a:cxn ang="0">
                    <a:pos x="5632" y="15056"/>
                  </a:cxn>
                  <a:cxn ang="0">
                    <a:pos x="4608" y="15056"/>
                  </a:cxn>
                  <a:cxn ang="0">
                    <a:pos x="4096" y="15056"/>
                  </a:cxn>
                  <a:cxn ang="0">
                    <a:pos x="3584" y="15056"/>
                  </a:cxn>
                  <a:cxn ang="0">
                    <a:pos x="3584" y="15941"/>
                  </a:cxn>
                  <a:cxn ang="0">
                    <a:pos x="2560" y="15941"/>
                  </a:cxn>
                  <a:cxn ang="0">
                    <a:pos x="2048" y="15941"/>
                  </a:cxn>
                  <a:cxn ang="0">
                    <a:pos x="1536" y="15941"/>
                  </a:cxn>
                  <a:cxn ang="0">
                    <a:pos x="1536" y="16384"/>
                  </a:cxn>
                  <a:cxn ang="0">
                    <a:pos x="1024" y="16384"/>
                  </a:cxn>
                  <a:cxn ang="0">
                    <a:pos x="0" y="16384"/>
                  </a:cxn>
                  <a:cxn ang="0">
                    <a:pos x="8704" y="0"/>
                  </a:cxn>
                </a:cxnLst>
                <a:rect l="0" t="0" r="r" b="b"/>
                <a:pathLst>
                  <a:path w="16384" h="16384">
                    <a:moveTo>
                      <a:pt x="8704" y="0"/>
                    </a:moveTo>
                    <a:lnTo>
                      <a:pt x="16384" y="16384"/>
                    </a:lnTo>
                    <a:lnTo>
                      <a:pt x="15872" y="16384"/>
                    </a:lnTo>
                    <a:lnTo>
                      <a:pt x="15360" y="15941"/>
                    </a:lnTo>
                    <a:lnTo>
                      <a:pt x="14336" y="15941"/>
                    </a:lnTo>
                    <a:lnTo>
                      <a:pt x="13824" y="15941"/>
                    </a:lnTo>
                    <a:lnTo>
                      <a:pt x="13312" y="15941"/>
                    </a:lnTo>
                    <a:lnTo>
                      <a:pt x="13312" y="15056"/>
                    </a:lnTo>
                    <a:lnTo>
                      <a:pt x="12800" y="15056"/>
                    </a:lnTo>
                    <a:lnTo>
                      <a:pt x="11776" y="15056"/>
                    </a:lnTo>
                    <a:lnTo>
                      <a:pt x="11264" y="15056"/>
                    </a:lnTo>
                    <a:lnTo>
                      <a:pt x="10752" y="15056"/>
                    </a:lnTo>
                    <a:lnTo>
                      <a:pt x="10752" y="14613"/>
                    </a:lnTo>
                    <a:lnTo>
                      <a:pt x="10240" y="14613"/>
                    </a:lnTo>
                    <a:lnTo>
                      <a:pt x="9216" y="14613"/>
                    </a:lnTo>
                    <a:lnTo>
                      <a:pt x="8704" y="14613"/>
                    </a:lnTo>
                    <a:lnTo>
                      <a:pt x="8192" y="14613"/>
                    </a:lnTo>
                    <a:lnTo>
                      <a:pt x="7168" y="14613"/>
                    </a:lnTo>
                    <a:lnTo>
                      <a:pt x="6656" y="14613"/>
                    </a:lnTo>
                    <a:lnTo>
                      <a:pt x="6144" y="14613"/>
                    </a:lnTo>
                    <a:lnTo>
                      <a:pt x="6144" y="15056"/>
                    </a:lnTo>
                    <a:lnTo>
                      <a:pt x="5632" y="15056"/>
                    </a:lnTo>
                    <a:lnTo>
                      <a:pt x="4608" y="15056"/>
                    </a:lnTo>
                    <a:lnTo>
                      <a:pt x="4096" y="15056"/>
                    </a:lnTo>
                    <a:lnTo>
                      <a:pt x="3584" y="15056"/>
                    </a:lnTo>
                    <a:lnTo>
                      <a:pt x="3584" y="15941"/>
                    </a:lnTo>
                    <a:lnTo>
                      <a:pt x="2560" y="15941"/>
                    </a:lnTo>
                    <a:lnTo>
                      <a:pt x="2048" y="15941"/>
                    </a:lnTo>
                    <a:lnTo>
                      <a:pt x="1536" y="15941"/>
                    </a:lnTo>
                    <a:lnTo>
                      <a:pt x="1536" y="16384"/>
                    </a:lnTo>
                    <a:lnTo>
                      <a:pt x="1024" y="16384"/>
                    </a:lnTo>
                    <a:lnTo>
                      <a:pt x="0" y="16384"/>
                    </a:lnTo>
                    <a:lnTo>
                      <a:pt x="870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60" name="Объект 1059">
                <a:extLst>
                  <a:ext uri="{FF2B5EF4-FFF2-40B4-BE49-F238E27FC236}">
                    <a16:creationId xmlns:a16="http://schemas.microsoft.com/office/drawing/2014/main" id="{00000000-0008-0000-0500-00005C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000" y="3300000"/>
                <a:ext cx="100000" cy="80000"/>
              </a:xfrm>
              <a:custGeom>
                <a:avLst/>
                <a:gdLst/>
                <a:ahLst/>
                <a:cxnLst>
                  <a:cxn ang="0">
                    <a:pos x="8704" y="16384"/>
                  </a:cxn>
                  <a:cxn ang="0">
                    <a:pos x="16384" y="0"/>
                  </a:cxn>
                  <a:cxn ang="0">
                    <a:pos x="15872" y="0"/>
                  </a:cxn>
                  <a:cxn ang="0">
                    <a:pos x="15872" y="443"/>
                  </a:cxn>
                  <a:cxn ang="0">
                    <a:pos x="15360" y="443"/>
                  </a:cxn>
                  <a:cxn ang="0">
                    <a:pos x="14336" y="443"/>
                  </a:cxn>
                  <a:cxn ang="0">
                    <a:pos x="13824" y="886"/>
                  </a:cxn>
                  <a:cxn ang="0">
                    <a:pos x="13312" y="886"/>
                  </a:cxn>
                  <a:cxn ang="0">
                    <a:pos x="12800" y="886"/>
                  </a:cxn>
                  <a:cxn ang="0">
                    <a:pos x="11776" y="1328"/>
                  </a:cxn>
                  <a:cxn ang="0">
                    <a:pos x="11264" y="1328"/>
                  </a:cxn>
                  <a:cxn ang="0">
                    <a:pos x="10752" y="1328"/>
                  </a:cxn>
                  <a:cxn ang="0">
                    <a:pos x="10240" y="1328"/>
                  </a:cxn>
                  <a:cxn ang="0">
                    <a:pos x="9216" y="1328"/>
                  </a:cxn>
                  <a:cxn ang="0">
                    <a:pos x="8704" y="1328"/>
                  </a:cxn>
                  <a:cxn ang="0">
                    <a:pos x="8192" y="1328"/>
                  </a:cxn>
                  <a:cxn ang="0">
                    <a:pos x="7168" y="1328"/>
                  </a:cxn>
                  <a:cxn ang="0">
                    <a:pos x="6656" y="1328"/>
                  </a:cxn>
                  <a:cxn ang="0">
                    <a:pos x="6144" y="1328"/>
                  </a:cxn>
                  <a:cxn ang="0">
                    <a:pos x="5632" y="1328"/>
                  </a:cxn>
                  <a:cxn ang="0">
                    <a:pos x="4608" y="1328"/>
                  </a:cxn>
                  <a:cxn ang="0">
                    <a:pos x="4096" y="886"/>
                  </a:cxn>
                  <a:cxn ang="0">
                    <a:pos x="3584" y="886"/>
                  </a:cxn>
                  <a:cxn ang="0">
                    <a:pos x="2560" y="886"/>
                  </a:cxn>
                  <a:cxn ang="0">
                    <a:pos x="2048" y="443"/>
                  </a:cxn>
                  <a:cxn ang="0">
                    <a:pos x="1536" y="443"/>
                  </a:cxn>
                  <a:cxn ang="0">
                    <a:pos x="1024" y="0"/>
                  </a:cxn>
                  <a:cxn ang="0">
                    <a:pos x="0" y="0"/>
                  </a:cxn>
                  <a:cxn ang="0">
                    <a:pos x="8704" y="16384"/>
                  </a:cxn>
                </a:cxnLst>
                <a:rect l="0" t="0" r="r" b="b"/>
                <a:pathLst>
                  <a:path w="16384" h="16384">
                    <a:moveTo>
                      <a:pt x="8704" y="16384"/>
                    </a:moveTo>
                    <a:lnTo>
                      <a:pt x="16384" y="0"/>
                    </a:lnTo>
                    <a:lnTo>
                      <a:pt x="15872" y="0"/>
                    </a:lnTo>
                    <a:lnTo>
                      <a:pt x="15872" y="443"/>
                    </a:lnTo>
                    <a:lnTo>
                      <a:pt x="15360" y="443"/>
                    </a:lnTo>
                    <a:lnTo>
                      <a:pt x="14336" y="443"/>
                    </a:lnTo>
                    <a:lnTo>
                      <a:pt x="13824" y="886"/>
                    </a:lnTo>
                    <a:lnTo>
                      <a:pt x="13312" y="886"/>
                    </a:lnTo>
                    <a:lnTo>
                      <a:pt x="12800" y="886"/>
                    </a:lnTo>
                    <a:lnTo>
                      <a:pt x="11776" y="1328"/>
                    </a:lnTo>
                    <a:lnTo>
                      <a:pt x="11264" y="1328"/>
                    </a:lnTo>
                    <a:lnTo>
                      <a:pt x="10752" y="1328"/>
                    </a:lnTo>
                    <a:lnTo>
                      <a:pt x="10240" y="1328"/>
                    </a:lnTo>
                    <a:lnTo>
                      <a:pt x="9216" y="1328"/>
                    </a:lnTo>
                    <a:lnTo>
                      <a:pt x="8704" y="1328"/>
                    </a:lnTo>
                    <a:lnTo>
                      <a:pt x="8192" y="1328"/>
                    </a:lnTo>
                    <a:lnTo>
                      <a:pt x="7168" y="1328"/>
                    </a:lnTo>
                    <a:lnTo>
                      <a:pt x="6656" y="1328"/>
                    </a:lnTo>
                    <a:lnTo>
                      <a:pt x="6144" y="1328"/>
                    </a:lnTo>
                    <a:lnTo>
                      <a:pt x="5632" y="1328"/>
                    </a:lnTo>
                    <a:lnTo>
                      <a:pt x="4608" y="1328"/>
                    </a:lnTo>
                    <a:lnTo>
                      <a:pt x="4096" y="886"/>
                    </a:lnTo>
                    <a:lnTo>
                      <a:pt x="3584" y="886"/>
                    </a:lnTo>
                    <a:lnTo>
                      <a:pt x="2560" y="886"/>
                    </a:lnTo>
                    <a:lnTo>
                      <a:pt x="2048" y="443"/>
                    </a:lnTo>
                    <a:lnTo>
                      <a:pt x="1536" y="443"/>
                    </a:lnTo>
                    <a:lnTo>
                      <a:pt x="1024" y="0"/>
                    </a:lnTo>
                    <a:lnTo>
                      <a:pt x="0" y="0"/>
                    </a:lnTo>
                    <a:lnTo>
                      <a:pt x="8704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61" name="Объект 1060">
                <a:extLst>
                  <a:ext uri="{FF2B5EF4-FFF2-40B4-BE49-F238E27FC236}">
                    <a16:creationId xmlns:a16="http://schemas.microsoft.com/office/drawing/2014/main" id="{00000000-0008-0000-0500-00005D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0000" y="780000"/>
                <a:ext cx="72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62" name="Текст 1061">
                <a:extLst>
                  <a:ext uri="{FF2B5EF4-FFF2-40B4-BE49-F238E27FC236}">
                    <a16:creationId xmlns:a16="http://schemas.microsoft.com/office/drawing/2014/main" id="{00000000-0008-0000-0500-00005E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0000" y="192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7263" name="Объект 1062">
                <a:extLst>
                  <a:ext uri="{FF2B5EF4-FFF2-40B4-BE49-F238E27FC236}">
                    <a16:creationId xmlns:a16="http://schemas.microsoft.com/office/drawing/2014/main" id="{00000000-0008-0000-0500-00005F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0000" y="640000"/>
                <a:ext cx="20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64" name="Объект 1063">
                <a:extLst>
                  <a:ext uri="{FF2B5EF4-FFF2-40B4-BE49-F238E27FC236}">
                    <a16:creationId xmlns:a16="http://schemas.microsoft.com/office/drawing/2014/main" id="{00000000-0008-0000-0500-000060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0000" y="58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16384" y="7944"/>
                  </a:cxn>
                  <a:cxn ang="0">
                    <a:pos x="0" y="16384"/>
                  </a:cxn>
                  <a:cxn ang="0">
                    <a:pos x="0" y="15888"/>
                  </a:cxn>
                  <a:cxn ang="0">
                    <a:pos x="0" y="14895"/>
                  </a:cxn>
                  <a:cxn ang="0">
                    <a:pos x="443" y="14398"/>
                  </a:cxn>
                  <a:cxn ang="0">
                    <a:pos x="443" y="13902"/>
                  </a:cxn>
                  <a:cxn ang="0">
                    <a:pos x="443" y="13405"/>
                  </a:cxn>
                  <a:cxn ang="0">
                    <a:pos x="1328" y="12412"/>
                  </a:cxn>
                  <a:cxn ang="0">
                    <a:pos x="1328" y="11916"/>
                  </a:cxn>
                  <a:cxn ang="0">
                    <a:pos x="1328" y="11419"/>
                  </a:cxn>
                  <a:cxn ang="0">
                    <a:pos x="1328" y="10426"/>
                  </a:cxn>
                  <a:cxn ang="0">
                    <a:pos x="1328" y="9930"/>
                  </a:cxn>
                  <a:cxn ang="0">
                    <a:pos x="1771" y="9433"/>
                  </a:cxn>
                  <a:cxn ang="0">
                    <a:pos x="1771" y="8937"/>
                  </a:cxn>
                  <a:cxn ang="0">
                    <a:pos x="1771" y="7944"/>
                  </a:cxn>
                  <a:cxn ang="0">
                    <a:pos x="1771" y="7447"/>
                  </a:cxn>
                  <a:cxn ang="0">
                    <a:pos x="1771" y="6951"/>
                  </a:cxn>
                  <a:cxn ang="0">
                    <a:pos x="1328" y="6454"/>
                  </a:cxn>
                  <a:cxn ang="0">
                    <a:pos x="1328" y="5461"/>
                  </a:cxn>
                  <a:cxn ang="0">
                    <a:pos x="1328" y="4965"/>
                  </a:cxn>
                  <a:cxn ang="0">
                    <a:pos x="1328" y="4468"/>
                  </a:cxn>
                  <a:cxn ang="0">
                    <a:pos x="1328" y="3475"/>
                  </a:cxn>
                  <a:cxn ang="0">
                    <a:pos x="443" y="2979"/>
                  </a:cxn>
                  <a:cxn ang="0">
                    <a:pos x="443" y="2482"/>
                  </a:cxn>
                  <a:cxn ang="0">
                    <a:pos x="443" y="1986"/>
                  </a:cxn>
                  <a:cxn ang="0">
                    <a:pos x="0" y="993"/>
                  </a:cxn>
                  <a:cxn ang="0">
                    <a:pos x="0" y="496"/>
                  </a:cxn>
                  <a:cxn ang="0">
                    <a:pos x="0" y="0"/>
                  </a:cxn>
                  <a:cxn ang="0">
                    <a:pos x="16384" y="7944"/>
                  </a:cxn>
                </a:cxnLst>
                <a:rect l="0" t="0" r="r" b="b"/>
                <a:pathLst>
                  <a:path w="16384" h="16384">
                    <a:moveTo>
                      <a:pt x="16384" y="7944"/>
                    </a:moveTo>
                    <a:lnTo>
                      <a:pt x="0" y="16384"/>
                    </a:lnTo>
                    <a:lnTo>
                      <a:pt x="0" y="15888"/>
                    </a:lnTo>
                    <a:lnTo>
                      <a:pt x="0" y="14895"/>
                    </a:lnTo>
                    <a:lnTo>
                      <a:pt x="443" y="14398"/>
                    </a:lnTo>
                    <a:lnTo>
                      <a:pt x="443" y="13902"/>
                    </a:lnTo>
                    <a:lnTo>
                      <a:pt x="443" y="13405"/>
                    </a:lnTo>
                    <a:lnTo>
                      <a:pt x="1328" y="12412"/>
                    </a:lnTo>
                    <a:lnTo>
                      <a:pt x="1328" y="11916"/>
                    </a:lnTo>
                    <a:lnTo>
                      <a:pt x="1328" y="11419"/>
                    </a:lnTo>
                    <a:lnTo>
                      <a:pt x="1328" y="10426"/>
                    </a:lnTo>
                    <a:lnTo>
                      <a:pt x="1328" y="9930"/>
                    </a:lnTo>
                    <a:lnTo>
                      <a:pt x="1771" y="9433"/>
                    </a:lnTo>
                    <a:lnTo>
                      <a:pt x="1771" y="8937"/>
                    </a:lnTo>
                    <a:lnTo>
                      <a:pt x="1771" y="7944"/>
                    </a:lnTo>
                    <a:lnTo>
                      <a:pt x="1771" y="7447"/>
                    </a:lnTo>
                    <a:lnTo>
                      <a:pt x="1771" y="6951"/>
                    </a:lnTo>
                    <a:lnTo>
                      <a:pt x="1328" y="6454"/>
                    </a:lnTo>
                    <a:lnTo>
                      <a:pt x="1328" y="5461"/>
                    </a:lnTo>
                    <a:lnTo>
                      <a:pt x="1328" y="4965"/>
                    </a:lnTo>
                    <a:lnTo>
                      <a:pt x="1328" y="4468"/>
                    </a:lnTo>
                    <a:lnTo>
                      <a:pt x="1328" y="3475"/>
                    </a:lnTo>
                    <a:lnTo>
                      <a:pt x="443" y="2979"/>
                    </a:lnTo>
                    <a:lnTo>
                      <a:pt x="443" y="2482"/>
                    </a:lnTo>
                    <a:lnTo>
                      <a:pt x="443" y="1986"/>
                    </a:lnTo>
                    <a:lnTo>
                      <a:pt x="0" y="993"/>
                    </a:lnTo>
                    <a:lnTo>
                      <a:pt x="0" y="496"/>
                    </a:lnTo>
                    <a:lnTo>
                      <a:pt x="0" y="0"/>
                    </a:lnTo>
                    <a:lnTo>
                      <a:pt x="16384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65" name="Объект 1064">
                <a:extLst>
                  <a:ext uri="{FF2B5EF4-FFF2-40B4-BE49-F238E27FC236}">
                    <a16:creationId xmlns:a16="http://schemas.microsoft.com/office/drawing/2014/main" id="{00000000-0008-0000-0500-000061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60000" y="640000"/>
                <a:ext cx="22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66" name="Объект 1065">
                <a:extLst>
                  <a:ext uri="{FF2B5EF4-FFF2-40B4-BE49-F238E27FC236}">
                    <a16:creationId xmlns:a16="http://schemas.microsoft.com/office/drawing/2014/main" id="{00000000-0008-0000-0500-000062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60000" y="58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0" y="7944"/>
                  </a:cxn>
                  <a:cxn ang="0">
                    <a:pos x="16384" y="16384"/>
                  </a:cxn>
                  <a:cxn ang="0">
                    <a:pos x="15953" y="15888"/>
                  </a:cxn>
                  <a:cxn ang="0">
                    <a:pos x="15953" y="14895"/>
                  </a:cxn>
                  <a:cxn ang="0">
                    <a:pos x="15953" y="14398"/>
                  </a:cxn>
                  <a:cxn ang="0">
                    <a:pos x="15522" y="13902"/>
                  </a:cxn>
                  <a:cxn ang="0">
                    <a:pos x="15522" y="13405"/>
                  </a:cxn>
                  <a:cxn ang="0">
                    <a:pos x="15522" y="12412"/>
                  </a:cxn>
                  <a:cxn ang="0">
                    <a:pos x="15091" y="11916"/>
                  </a:cxn>
                  <a:cxn ang="0">
                    <a:pos x="15091" y="11419"/>
                  </a:cxn>
                  <a:cxn ang="0">
                    <a:pos x="15091" y="10426"/>
                  </a:cxn>
                  <a:cxn ang="0">
                    <a:pos x="15091" y="9930"/>
                  </a:cxn>
                  <a:cxn ang="0">
                    <a:pos x="15091" y="9433"/>
                  </a:cxn>
                  <a:cxn ang="0">
                    <a:pos x="15091" y="8937"/>
                  </a:cxn>
                  <a:cxn ang="0">
                    <a:pos x="15091" y="7944"/>
                  </a:cxn>
                  <a:cxn ang="0">
                    <a:pos x="15091" y="7447"/>
                  </a:cxn>
                  <a:cxn ang="0">
                    <a:pos x="15091" y="6951"/>
                  </a:cxn>
                  <a:cxn ang="0">
                    <a:pos x="15091" y="6454"/>
                  </a:cxn>
                  <a:cxn ang="0">
                    <a:pos x="15091" y="5461"/>
                  </a:cxn>
                  <a:cxn ang="0">
                    <a:pos x="15091" y="4965"/>
                  </a:cxn>
                  <a:cxn ang="0">
                    <a:pos x="15091" y="4468"/>
                  </a:cxn>
                  <a:cxn ang="0">
                    <a:pos x="15522" y="3475"/>
                  </a:cxn>
                  <a:cxn ang="0">
                    <a:pos x="15522" y="2979"/>
                  </a:cxn>
                  <a:cxn ang="0">
                    <a:pos x="15522" y="2482"/>
                  </a:cxn>
                  <a:cxn ang="0">
                    <a:pos x="15522" y="1986"/>
                  </a:cxn>
                  <a:cxn ang="0">
                    <a:pos x="15953" y="1986"/>
                  </a:cxn>
                  <a:cxn ang="0">
                    <a:pos x="15953" y="993"/>
                  </a:cxn>
                  <a:cxn ang="0">
                    <a:pos x="15953" y="496"/>
                  </a:cxn>
                  <a:cxn ang="0">
                    <a:pos x="16384" y="0"/>
                  </a:cxn>
                  <a:cxn ang="0">
                    <a:pos x="0" y="7944"/>
                  </a:cxn>
                </a:cxnLst>
                <a:rect l="0" t="0" r="r" b="b"/>
                <a:pathLst>
                  <a:path w="16384" h="16384">
                    <a:moveTo>
                      <a:pt x="0" y="7944"/>
                    </a:moveTo>
                    <a:lnTo>
                      <a:pt x="16384" y="16384"/>
                    </a:lnTo>
                    <a:lnTo>
                      <a:pt x="15953" y="15888"/>
                    </a:lnTo>
                    <a:lnTo>
                      <a:pt x="15953" y="14895"/>
                    </a:lnTo>
                    <a:lnTo>
                      <a:pt x="15953" y="14398"/>
                    </a:lnTo>
                    <a:lnTo>
                      <a:pt x="15522" y="13902"/>
                    </a:lnTo>
                    <a:lnTo>
                      <a:pt x="15522" y="13405"/>
                    </a:lnTo>
                    <a:lnTo>
                      <a:pt x="15522" y="12412"/>
                    </a:lnTo>
                    <a:lnTo>
                      <a:pt x="15091" y="11916"/>
                    </a:lnTo>
                    <a:lnTo>
                      <a:pt x="15091" y="11419"/>
                    </a:lnTo>
                    <a:lnTo>
                      <a:pt x="15091" y="10426"/>
                    </a:lnTo>
                    <a:lnTo>
                      <a:pt x="15091" y="9930"/>
                    </a:lnTo>
                    <a:lnTo>
                      <a:pt x="15091" y="9433"/>
                    </a:lnTo>
                    <a:lnTo>
                      <a:pt x="15091" y="8937"/>
                    </a:lnTo>
                    <a:lnTo>
                      <a:pt x="15091" y="7944"/>
                    </a:lnTo>
                    <a:lnTo>
                      <a:pt x="15091" y="7447"/>
                    </a:lnTo>
                    <a:lnTo>
                      <a:pt x="15091" y="6951"/>
                    </a:lnTo>
                    <a:lnTo>
                      <a:pt x="15091" y="6454"/>
                    </a:lnTo>
                    <a:lnTo>
                      <a:pt x="15091" y="5461"/>
                    </a:lnTo>
                    <a:lnTo>
                      <a:pt x="15091" y="4965"/>
                    </a:lnTo>
                    <a:lnTo>
                      <a:pt x="15091" y="4468"/>
                    </a:lnTo>
                    <a:lnTo>
                      <a:pt x="15522" y="3475"/>
                    </a:lnTo>
                    <a:lnTo>
                      <a:pt x="15522" y="2979"/>
                    </a:lnTo>
                    <a:lnTo>
                      <a:pt x="15522" y="2482"/>
                    </a:lnTo>
                    <a:lnTo>
                      <a:pt x="15522" y="1986"/>
                    </a:lnTo>
                    <a:lnTo>
                      <a:pt x="15953" y="1986"/>
                    </a:lnTo>
                    <a:lnTo>
                      <a:pt x="15953" y="993"/>
                    </a:lnTo>
                    <a:lnTo>
                      <a:pt x="15953" y="496"/>
                    </a:lnTo>
                    <a:lnTo>
                      <a:pt x="16384" y="0"/>
                    </a:lnTo>
                    <a:lnTo>
                      <a:pt x="0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67" name="Объект 1066">
                <a:extLst>
                  <a:ext uri="{FF2B5EF4-FFF2-40B4-BE49-F238E27FC236}">
                    <a16:creationId xmlns:a16="http://schemas.microsoft.com/office/drawing/2014/main" id="{00000000-0008-0000-0500-000063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20000" y="640000"/>
                <a:ext cx="44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68" name="Текст 1067">
                <a:extLst>
                  <a:ext uri="{FF2B5EF4-FFF2-40B4-BE49-F238E27FC236}">
                    <a16:creationId xmlns:a16="http://schemas.microsoft.com/office/drawing/2014/main" id="{00000000-0008-0000-0500-000064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80000" y="240000"/>
                <a:ext cx="2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Times New Roman CE"/>
                    <a:cs typeface="Times New Roman CE"/>
                  </a:rPr>
                  <a:t>z</a:t>
                </a:r>
              </a:p>
            </xdr:txBody>
          </xdr:sp>
          <xdr:sp macro="" textlink="">
            <xdr:nvSpPr>
              <xdr:cNvPr id="7269" name="Текст 1068">
                <a:extLst>
                  <a:ext uri="{FF2B5EF4-FFF2-40B4-BE49-F238E27FC236}">
                    <a16:creationId xmlns:a16="http://schemas.microsoft.com/office/drawing/2014/main" id="{00000000-0008-0000-0500-000065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20000" y="440000"/>
                <a:ext cx="200000" cy="3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9144" tIns="18288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600" b="0" i="0" u="none" strike="noStrike" baseline="0">
                    <a:solidFill>
                      <a:srgbClr val="0000FF"/>
                    </a:solidFill>
                    <a:latin typeface="Times New Roman CE"/>
                    <a:cs typeface="Times New Roman CE"/>
                  </a:rPr>
                  <a:t>0</a:t>
                </a:r>
              </a:p>
            </xdr:txBody>
          </xdr:sp>
          <xdr:sp macro="" textlink="">
            <xdr:nvSpPr>
              <xdr:cNvPr id="7270" name="Текст 1275">
                <a:extLst>
                  <a:ext uri="{FF2B5EF4-FFF2-40B4-BE49-F238E27FC236}">
                    <a16:creationId xmlns:a16="http://schemas.microsoft.com/office/drawing/2014/main" id="{00000000-0008-0000-0500-000066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20000" y="332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7271" name="Текст 1344">
                <a:extLst>
                  <a:ext uri="{FF2B5EF4-FFF2-40B4-BE49-F238E27FC236}">
                    <a16:creationId xmlns:a16="http://schemas.microsoft.com/office/drawing/2014/main" id="{00000000-0008-0000-0500-000067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300000" y="174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7272" name="Текст 1345">
                <a:extLst>
                  <a:ext uri="{FF2B5EF4-FFF2-40B4-BE49-F238E27FC236}">
                    <a16:creationId xmlns:a16="http://schemas.microsoft.com/office/drawing/2014/main" id="{00000000-0008-0000-0500-000068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0000" y="174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7273" name="Текст 1346">
                <a:extLst>
                  <a:ext uri="{FF2B5EF4-FFF2-40B4-BE49-F238E27FC236}">
                    <a16:creationId xmlns:a16="http://schemas.microsoft.com/office/drawing/2014/main" id="{00000000-0008-0000-0500-000069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960000" y="900000"/>
                <a:ext cx="6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 -s</a:t>
                </a:r>
              </a:p>
            </xdr:txBody>
          </xdr:sp>
          <xdr:sp macro="" textlink="">
            <xdr:nvSpPr>
              <xdr:cNvPr id="7274" name="Текст 1347">
                <a:extLst>
                  <a:ext uri="{FF2B5EF4-FFF2-40B4-BE49-F238E27FC236}">
                    <a16:creationId xmlns:a16="http://schemas.microsoft.com/office/drawing/2014/main" id="{00000000-0008-0000-0500-00006A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100000" y="1180000"/>
                <a:ext cx="300000" cy="4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9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2</a:t>
                </a:r>
              </a:p>
            </xdr:txBody>
          </xdr:sp>
          <xdr:sp macro="" textlink="">
            <xdr:nvSpPr>
              <xdr:cNvPr id="7275" name="Объект 1349">
                <a:extLst>
                  <a:ext uri="{FF2B5EF4-FFF2-40B4-BE49-F238E27FC236}">
                    <a16:creationId xmlns:a16="http://schemas.microsoft.com/office/drawing/2014/main" id="{00000000-0008-0000-0500-00006B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00000" y="2960000"/>
                <a:ext cx="720000" cy="12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9251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9251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76" name="Объект 1350">
                <a:extLst>
                  <a:ext uri="{FF2B5EF4-FFF2-40B4-BE49-F238E27FC236}">
                    <a16:creationId xmlns:a16="http://schemas.microsoft.com/office/drawing/2014/main" id="{00000000-0008-0000-0500-00006C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00000" y="3020000"/>
                <a:ext cx="120000" cy="6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10789" y="0"/>
                  </a:cxn>
                  <a:cxn ang="0">
                    <a:pos x="10789" y="529"/>
                  </a:cxn>
                  <a:cxn ang="0">
                    <a:pos x="10789" y="1057"/>
                  </a:cxn>
                  <a:cxn ang="0">
                    <a:pos x="10789" y="2114"/>
                  </a:cxn>
                  <a:cxn ang="0">
                    <a:pos x="10789" y="2643"/>
                  </a:cxn>
                  <a:cxn ang="0">
                    <a:pos x="10789" y="3171"/>
                  </a:cxn>
                  <a:cxn ang="0">
                    <a:pos x="10789" y="4228"/>
                  </a:cxn>
                  <a:cxn ang="0">
                    <a:pos x="10789" y="4757"/>
                  </a:cxn>
                  <a:cxn ang="0">
                    <a:pos x="11189" y="4757"/>
                  </a:cxn>
                  <a:cxn ang="0">
                    <a:pos x="11189" y="5285"/>
                  </a:cxn>
                  <a:cxn ang="0">
                    <a:pos x="11189" y="5814"/>
                  </a:cxn>
                  <a:cxn ang="0">
                    <a:pos x="11189" y="6871"/>
                  </a:cxn>
                  <a:cxn ang="0">
                    <a:pos x="11589" y="7399"/>
                  </a:cxn>
                  <a:cxn ang="0">
                    <a:pos x="11589" y="7928"/>
                  </a:cxn>
                  <a:cxn ang="0">
                    <a:pos x="11589" y="8985"/>
                  </a:cxn>
                  <a:cxn ang="0">
                    <a:pos x="12388" y="8985"/>
                  </a:cxn>
                  <a:cxn ang="0">
                    <a:pos x="12388" y="9513"/>
                  </a:cxn>
                  <a:cxn ang="0">
                    <a:pos x="12388" y="10042"/>
                  </a:cxn>
                  <a:cxn ang="0">
                    <a:pos x="12788" y="10042"/>
                  </a:cxn>
                  <a:cxn ang="0">
                    <a:pos x="12788" y="10570"/>
                  </a:cxn>
                  <a:cxn ang="0">
                    <a:pos x="13187" y="11627"/>
                  </a:cxn>
                  <a:cxn ang="0">
                    <a:pos x="13986" y="12156"/>
                  </a:cxn>
                  <a:cxn ang="0">
                    <a:pos x="13986" y="12684"/>
                  </a:cxn>
                  <a:cxn ang="0">
                    <a:pos x="14386" y="12684"/>
                  </a:cxn>
                  <a:cxn ang="0">
                    <a:pos x="14386" y="13213"/>
                  </a:cxn>
                  <a:cxn ang="0">
                    <a:pos x="14786" y="13213"/>
                  </a:cxn>
                  <a:cxn ang="0">
                    <a:pos x="15185" y="14270"/>
                  </a:cxn>
                  <a:cxn ang="0">
                    <a:pos x="15185" y="14798"/>
                  </a:cxn>
                  <a:cxn ang="0">
                    <a:pos x="15984" y="14798"/>
                  </a:cxn>
                  <a:cxn ang="0">
                    <a:pos x="16384" y="15327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10789" y="0"/>
                    </a:lnTo>
                    <a:lnTo>
                      <a:pt x="10789" y="529"/>
                    </a:lnTo>
                    <a:lnTo>
                      <a:pt x="10789" y="1057"/>
                    </a:lnTo>
                    <a:lnTo>
                      <a:pt x="10789" y="2114"/>
                    </a:lnTo>
                    <a:lnTo>
                      <a:pt x="10789" y="2643"/>
                    </a:lnTo>
                    <a:lnTo>
                      <a:pt x="10789" y="3171"/>
                    </a:lnTo>
                    <a:lnTo>
                      <a:pt x="10789" y="4228"/>
                    </a:lnTo>
                    <a:lnTo>
                      <a:pt x="10789" y="4757"/>
                    </a:lnTo>
                    <a:lnTo>
                      <a:pt x="11189" y="4757"/>
                    </a:lnTo>
                    <a:lnTo>
                      <a:pt x="11189" y="5285"/>
                    </a:lnTo>
                    <a:lnTo>
                      <a:pt x="11189" y="5814"/>
                    </a:lnTo>
                    <a:lnTo>
                      <a:pt x="11189" y="6871"/>
                    </a:lnTo>
                    <a:lnTo>
                      <a:pt x="11589" y="7399"/>
                    </a:lnTo>
                    <a:lnTo>
                      <a:pt x="11589" y="7928"/>
                    </a:lnTo>
                    <a:lnTo>
                      <a:pt x="11589" y="8985"/>
                    </a:lnTo>
                    <a:lnTo>
                      <a:pt x="12388" y="8985"/>
                    </a:lnTo>
                    <a:lnTo>
                      <a:pt x="12388" y="9513"/>
                    </a:lnTo>
                    <a:lnTo>
                      <a:pt x="12388" y="10042"/>
                    </a:lnTo>
                    <a:lnTo>
                      <a:pt x="12788" y="10042"/>
                    </a:lnTo>
                    <a:lnTo>
                      <a:pt x="12788" y="10570"/>
                    </a:lnTo>
                    <a:lnTo>
                      <a:pt x="13187" y="11627"/>
                    </a:lnTo>
                    <a:lnTo>
                      <a:pt x="13986" y="12156"/>
                    </a:lnTo>
                    <a:lnTo>
                      <a:pt x="13986" y="12684"/>
                    </a:lnTo>
                    <a:lnTo>
                      <a:pt x="14386" y="12684"/>
                    </a:lnTo>
                    <a:lnTo>
                      <a:pt x="14386" y="13213"/>
                    </a:lnTo>
                    <a:lnTo>
                      <a:pt x="14786" y="13213"/>
                    </a:lnTo>
                    <a:lnTo>
                      <a:pt x="15185" y="14270"/>
                    </a:lnTo>
                    <a:lnTo>
                      <a:pt x="15185" y="14798"/>
                    </a:lnTo>
                    <a:lnTo>
                      <a:pt x="15984" y="14798"/>
                    </a:lnTo>
                    <a:lnTo>
                      <a:pt x="16384" y="15327"/>
                    </a:lnTo>
                    <a:lnTo>
                      <a:pt x="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77" name="Текст 1351">
                <a:extLst>
                  <a:ext uri="{FF2B5EF4-FFF2-40B4-BE49-F238E27FC236}">
                    <a16:creationId xmlns:a16="http://schemas.microsoft.com/office/drawing/2014/main" id="{00000000-0008-0000-0500-00006D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80000" y="2600000"/>
                <a:ext cx="42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7278" name="Объект 1352">
                <a:extLst>
                  <a:ext uri="{FF2B5EF4-FFF2-40B4-BE49-F238E27FC236}">
                    <a16:creationId xmlns:a16="http://schemas.microsoft.com/office/drawing/2014/main" id="{00000000-0008-0000-0500-00006E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40000" y="3160000"/>
                <a:ext cx="200000" cy="140000"/>
              </a:xfrm>
              <a:custGeom>
                <a:avLst/>
                <a:gdLst/>
                <a:ahLst/>
                <a:cxnLst>
                  <a:cxn ang="0">
                    <a:pos x="6049" y="16384"/>
                  </a:cxn>
                  <a:cxn ang="0">
                    <a:pos x="1638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6049" y="16384"/>
                    </a:moveTo>
                    <a:lnTo>
                      <a:pt x="16384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79" name="Объект 1353">
                <a:extLst>
                  <a:ext uri="{FF2B5EF4-FFF2-40B4-BE49-F238E27FC236}">
                    <a16:creationId xmlns:a16="http://schemas.microsoft.com/office/drawing/2014/main" id="{00000000-0008-0000-0500-00006F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20000" y="3220000"/>
                <a:ext cx="100000" cy="8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2979" y="0"/>
                  </a:cxn>
                  <a:cxn ang="0">
                    <a:pos x="3972" y="400"/>
                  </a:cxn>
                  <a:cxn ang="0">
                    <a:pos x="3972" y="1199"/>
                  </a:cxn>
                  <a:cxn ang="0">
                    <a:pos x="4468" y="1199"/>
                  </a:cxn>
                  <a:cxn ang="0">
                    <a:pos x="4468" y="1598"/>
                  </a:cxn>
                  <a:cxn ang="0">
                    <a:pos x="4965" y="1998"/>
                  </a:cxn>
                  <a:cxn ang="0">
                    <a:pos x="5461" y="2797"/>
                  </a:cxn>
                  <a:cxn ang="0">
                    <a:pos x="5461" y="3197"/>
                  </a:cxn>
                  <a:cxn ang="0">
                    <a:pos x="6454" y="3197"/>
                  </a:cxn>
                  <a:cxn ang="0">
                    <a:pos x="6454" y="3596"/>
                  </a:cxn>
                  <a:cxn ang="0">
                    <a:pos x="6951" y="3596"/>
                  </a:cxn>
                  <a:cxn ang="0">
                    <a:pos x="7447" y="3996"/>
                  </a:cxn>
                  <a:cxn ang="0">
                    <a:pos x="8440" y="4795"/>
                  </a:cxn>
                  <a:cxn ang="0">
                    <a:pos x="8937" y="5195"/>
                  </a:cxn>
                  <a:cxn ang="0">
                    <a:pos x="9433" y="5195"/>
                  </a:cxn>
                  <a:cxn ang="0">
                    <a:pos x="9433" y="5595"/>
                  </a:cxn>
                  <a:cxn ang="0">
                    <a:pos x="9930" y="5595"/>
                  </a:cxn>
                  <a:cxn ang="0">
                    <a:pos x="10923" y="5595"/>
                  </a:cxn>
                  <a:cxn ang="0">
                    <a:pos x="11419" y="5994"/>
                  </a:cxn>
                  <a:cxn ang="0">
                    <a:pos x="11916" y="5994"/>
                  </a:cxn>
                  <a:cxn ang="0">
                    <a:pos x="12909" y="6793"/>
                  </a:cxn>
                  <a:cxn ang="0">
                    <a:pos x="13405" y="6793"/>
                  </a:cxn>
                  <a:cxn ang="0">
                    <a:pos x="13902" y="6793"/>
                  </a:cxn>
                  <a:cxn ang="0">
                    <a:pos x="14398" y="6793"/>
                  </a:cxn>
                  <a:cxn ang="0">
                    <a:pos x="15391" y="7193"/>
                  </a:cxn>
                  <a:cxn ang="0">
                    <a:pos x="15888" y="7193"/>
                  </a:cxn>
                  <a:cxn ang="0">
                    <a:pos x="16384" y="7193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2979" y="0"/>
                    </a:lnTo>
                    <a:lnTo>
                      <a:pt x="3972" y="400"/>
                    </a:lnTo>
                    <a:lnTo>
                      <a:pt x="3972" y="1199"/>
                    </a:lnTo>
                    <a:lnTo>
                      <a:pt x="4468" y="1199"/>
                    </a:lnTo>
                    <a:lnTo>
                      <a:pt x="4468" y="1598"/>
                    </a:lnTo>
                    <a:lnTo>
                      <a:pt x="4965" y="1998"/>
                    </a:lnTo>
                    <a:lnTo>
                      <a:pt x="5461" y="2797"/>
                    </a:lnTo>
                    <a:lnTo>
                      <a:pt x="5461" y="3197"/>
                    </a:lnTo>
                    <a:lnTo>
                      <a:pt x="6454" y="3197"/>
                    </a:lnTo>
                    <a:lnTo>
                      <a:pt x="6454" y="3596"/>
                    </a:lnTo>
                    <a:lnTo>
                      <a:pt x="6951" y="3596"/>
                    </a:lnTo>
                    <a:lnTo>
                      <a:pt x="7447" y="3996"/>
                    </a:lnTo>
                    <a:lnTo>
                      <a:pt x="8440" y="4795"/>
                    </a:lnTo>
                    <a:lnTo>
                      <a:pt x="8937" y="5195"/>
                    </a:lnTo>
                    <a:lnTo>
                      <a:pt x="9433" y="5195"/>
                    </a:lnTo>
                    <a:lnTo>
                      <a:pt x="9433" y="5595"/>
                    </a:lnTo>
                    <a:lnTo>
                      <a:pt x="9930" y="5595"/>
                    </a:lnTo>
                    <a:lnTo>
                      <a:pt x="10923" y="5595"/>
                    </a:lnTo>
                    <a:lnTo>
                      <a:pt x="11419" y="5994"/>
                    </a:lnTo>
                    <a:lnTo>
                      <a:pt x="11916" y="5994"/>
                    </a:lnTo>
                    <a:lnTo>
                      <a:pt x="12909" y="6793"/>
                    </a:lnTo>
                    <a:lnTo>
                      <a:pt x="13405" y="6793"/>
                    </a:lnTo>
                    <a:lnTo>
                      <a:pt x="13902" y="6793"/>
                    </a:lnTo>
                    <a:lnTo>
                      <a:pt x="14398" y="6793"/>
                    </a:lnTo>
                    <a:lnTo>
                      <a:pt x="15391" y="7193"/>
                    </a:lnTo>
                    <a:lnTo>
                      <a:pt x="15888" y="7193"/>
                    </a:lnTo>
                    <a:lnTo>
                      <a:pt x="16384" y="7193"/>
                    </a:lnTo>
                    <a:lnTo>
                      <a:pt x="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80" name="Объект 1673">
                <a:extLst>
                  <a:ext uri="{FF2B5EF4-FFF2-40B4-BE49-F238E27FC236}">
                    <a16:creationId xmlns:a16="http://schemas.microsoft.com/office/drawing/2014/main" id="{00000000-0008-0000-0500-000070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00000" y="1200000"/>
                <a:ext cx="48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25" y="0"/>
                  </a:cxn>
                  <a:cxn ang="0">
                    <a:pos x="9440" y="0"/>
                  </a:cxn>
                  <a:cxn ang="0">
                    <a:pos x="12369" y="0"/>
                  </a:cxn>
                  <a:cxn ang="0">
                    <a:pos x="14322" y="0"/>
                  </a:cxn>
                  <a:cxn ang="0">
                    <a:pos x="15624" y="0"/>
                  </a:cxn>
                  <a:cxn ang="0">
                    <a:pos x="1616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25" y="0"/>
                    </a:lnTo>
                    <a:lnTo>
                      <a:pt x="9440" y="0"/>
                    </a:lnTo>
                    <a:lnTo>
                      <a:pt x="12369" y="0"/>
                    </a:lnTo>
                    <a:lnTo>
                      <a:pt x="14322" y="0"/>
                    </a:lnTo>
                    <a:lnTo>
                      <a:pt x="15624" y="0"/>
                    </a:lnTo>
                    <a:lnTo>
                      <a:pt x="1616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81" name="Объект 1674">
                <a:extLst>
                  <a:ext uri="{FF2B5EF4-FFF2-40B4-BE49-F238E27FC236}">
                    <a16:creationId xmlns:a16="http://schemas.microsoft.com/office/drawing/2014/main" id="{00000000-0008-0000-0500-000071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20000" y="116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8440"/>
                  </a:cxn>
                  <a:cxn ang="0">
                    <a:pos x="16384" y="0"/>
                  </a:cxn>
                  <a:cxn ang="0">
                    <a:pos x="15953" y="496"/>
                  </a:cxn>
                  <a:cxn ang="0">
                    <a:pos x="15953" y="1489"/>
                  </a:cxn>
                  <a:cxn ang="0">
                    <a:pos x="15953" y="1986"/>
                  </a:cxn>
                  <a:cxn ang="0">
                    <a:pos x="15522" y="2482"/>
                  </a:cxn>
                  <a:cxn ang="0">
                    <a:pos x="15522" y="2979"/>
                  </a:cxn>
                  <a:cxn ang="0">
                    <a:pos x="15091" y="3972"/>
                  </a:cxn>
                  <a:cxn ang="0">
                    <a:pos x="15091" y="4468"/>
                  </a:cxn>
                  <a:cxn ang="0">
                    <a:pos x="15091" y="4965"/>
                  </a:cxn>
                  <a:cxn ang="0">
                    <a:pos x="15091" y="5958"/>
                  </a:cxn>
                  <a:cxn ang="0">
                    <a:pos x="15091" y="6454"/>
                  </a:cxn>
                  <a:cxn ang="0">
                    <a:pos x="15091" y="6951"/>
                  </a:cxn>
                  <a:cxn ang="0">
                    <a:pos x="14228" y="6951"/>
                  </a:cxn>
                  <a:cxn ang="0">
                    <a:pos x="14228" y="7447"/>
                  </a:cxn>
                  <a:cxn ang="0">
                    <a:pos x="14228" y="8440"/>
                  </a:cxn>
                  <a:cxn ang="0">
                    <a:pos x="14228" y="8937"/>
                  </a:cxn>
                  <a:cxn ang="0">
                    <a:pos x="14228" y="9433"/>
                  </a:cxn>
                  <a:cxn ang="0">
                    <a:pos x="15091" y="9433"/>
                  </a:cxn>
                  <a:cxn ang="0">
                    <a:pos x="15091" y="10426"/>
                  </a:cxn>
                  <a:cxn ang="0">
                    <a:pos x="15091" y="10923"/>
                  </a:cxn>
                  <a:cxn ang="0">
                    <a:pos x="15091" y="11419"/>
                  </a:cxn>
                  <a:cxn ang="0">
                    <a:pos x="15091" y="11916"/>
                  </a:cxn>
                  <a:cxn ang="0">
                    <a:pos x="15091" y="12909"/>
                  </a:cxn>
                  <a:cxn ang="0">
                    <a:pos x="15522" y="13405"/>
                  </a:cxn>
                  <a:cxn ang="0">
                    <a:pos x="15522" y="13902"/>
                  </a:cxn>
                  <a:cxn ang="0">
                    <a:pos x="15953" y="14398"/>
                  </a:cxn>
                  <a:cxn ang="0">
                    <a:pos x="15953" y="15391"/>
                  </a:cxn>
                  <a:cxn ang="0">
                    <a:pos x="15953" y="15888"/>
                  </a:cxn>
                  <a:cxn ang="0">
                    <a:pos x="16384" y="16384"/>
                  </a:cxn>
                  <a:cxn ang="0">
                    <a:pos x="0" y="8440"/>
                  </a:cxn>
                </a:cxnLst>
                <a:rect l="0" t="0" r="r" b="b"/>
                <a:pathLst>
                  <a:path w="16384" h="16384">
                    <a:moveTo>
                      <a:pt x="0" y="8440"/>
                    </a:moveTo>
                    <a:lnTo>
                      <a:pt x="16384" y="0"/>
                    </a:lnTo>
                    <a:lnTo>
                      <a:pt x="15953" y="496"/>
                    </a:lnTo>
                    <a:lnTo>
                      <a:pt x="15953" y="1489"/>
                    </a:lnTo>
                    <a:lnTo>
                      <a:pt x="15953" y="1986"/>
                    </a:lnTo>
                    <a:lnTo>
                      <a:pt x="15522" y="2482"/>
                    </a:lnTo>
                    <a:lnTo>
                      <a:pt x="15522" y="2979"/>
                    </a:lnTo>
                    <a:lnTo>
                      <a:pt x="15091" y="3972"/>
                    </a:lnTo>
                    <a:lnTo>
                      <a:pt x="15091" y="4468"/>
                    </a:lnTo>
                    <a:lnTo>
                      <a:pt x="15091" y="4965"/>
                    </a:lnTo>
                    <a:lnTo>
                      <a:pt x="15091" y="5958"/>
                    </a:lnTo>
                    <a:lnTo>
                      <a:pt x="15091" y="6454"/>
                    </a:lnTo>
                    <a:lnTo>
                      <a:pt x="15091" y="6951"/>
                    </a:lnTo>
                    <a:lnTo>
                      <a:pt x="14228" y="6951"/>
                    </a:lnTo>
                    <a:lnTo>
                      <a:pt x="14228" y="7447"/>
                    </a:lnTo>
                    <a:lnTo>
                      <a:pt x="14228" y="8440"/>
                    </a:lnTo>
                    <a:lnTo>
                      <a:pt x="14228" y="8937"/>
                    </a:lnTo>
                    <a:lnTo>
                      <a:pt x="14228" y="9433"/>
                    </a:lnTo>
                    <a:lnTo>
                      <a:pt x="15091" y="9433"/>
                    </a:lnTo>
                    <a:lnTo>
                      <a:pt x="15091" y="10426"/>
                    </a:lnTo>
                    <a:lnTo>
                      <a:pt x="15091" y="10923"/>
                    </a:lnTo>
                    <a:lnTo>
                      <a:pt x="15091" y="11419"/>
                    </a:lnTo>
                    <a:lnTo>
                      <a:pt x="15091" y="11916"/>
                    </a:lnTo>
                    <a:lnTo>
                      <a:pt x="15091" y="12909"/>
                    </a:lnTo>
                    <a:lnTo>
                      <a:pt x="15522" y="13405"/>
                    </a:lnTo>
                    <a:lnTo>
                      <a:pt x="15522" y="13902"/>
                    </a:lnTo>
                    <a:lnTo>
                      <a:pt x="15953" y="14398"/>
                    </a:lnTo>
                    <a:lnTo>
                      <a:pt x="15953" y="15391"/>
                    </a:lnTo>
                    <a:lnTo>
                      <a:pt x="15953" y="15888"/>
                    </a:lnTo>
                    <a:lnTo>
                      <a:pt x="16384" y="16384"/>
                    </a:lnTo>
                    <a:lnTo>
                      <a:pt x="0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82" name="Объект 1675">
                <a:extLst>
                  <a:ext uri="{FF2B5EF4-FFF2-40B4-BE49-F238E27FC236}">
                    <a16:creationId xmlns:a16="http://schemas.microsoft.com/office/drawing/2014/main" id="{00000000-0008-0000-0500-0000721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20000" y="1160000"/>
                <a:ext cx="100000" cy="80000"/>
              </a:xfrm>
              <a:custGeom>
                <a:avLst/>
                <a:gdLst/>
                <a:ahLst/>
                <a:cxnLst>
                  <a:cxn ang="0">
                    <a:pos x="16384" y="8440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1489"/>
                  </a:cxn>
                  <a:cxn ang="0">
                    <a:pos x="886" y="1986"/>
                  </a:cxn>
                  <a:cxn ang="0">
                    <a:pos x="886" y="2482"/>
                  </a:cxn>
                  <a:cxn ang="0">
                    <a:pos x="886" y="2979"/>
                  </a:cxn>
                  <a:cxn ang="0">
                    <a:pos x="1328" y="3972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958"/>
                  </a:cxn>
                  <a:cxn ang="0">
                    <a:pos x="1328" y="6454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8440"/>
                  </a:cxn>
                  <a:cxn ang="0">
                    <a:pos x="1771" y="8937"/>
                  </a:cxn>
                  <a:cxn ang="0">
                    <a:pos x="1771" y="9433"/>
                  </a:cxn>
                  <a:cxn ang="0">
                    <a:pos x="1328" y="10426"/>
                  </a:cxn>
                  <a:cxn ang="0">
                    <a:pos x="1328" y="10923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909"/>
                  </a:cxn>
                  <a:cxn ang="0">
                    <a:pos x="886" y="13405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5391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8440"/>
                  </a:cxn>
                </a:cxnLst>
                <a:rect l="0" t="0" r="r" b="b"/>
                <a:pathLst>
                  <a:path w="16384" h="16384">
                    <a:moveTo>
                      <a:pt x="16384" y="8440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1489"/>
                    </a:lnTo>
                    <a:lnTo>
                      <a:pt x="886" y="1986"/>
                    </a:lnTo>
                    <a:lnTo>
                      <a:pt x="886" y="2482"/>
                    </a:lnTo>
                    <a:lnTo>
                      <a:pt x="886" y="2979"/>
                    </a:lnTo>
                    <a:lnTo>
                      <a:pt x="1328" y="3972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958"/>
                    </a:lnTo>
                    <a:lnTo>
                      <a:pt x="1328" y="6454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8440"/>
                    </a:lnTo>
                    <a:lnTo>
                      <a:pt x="1771" y="8937"/>
                    </a:lnTo>
                    <a:lnTo>
                      <a:pt x="1771" y="9433"/>
                    </a:lnTo>
                    <a:lnTo>
                      <a:pt x="1328" y="10426"/>
                    </a:lnTo>
                    <a:lnTo>
                      <a:pt x="1328" y="10923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909"/>
                    </a:lnTo>
                    <a:lnTo>
                      <a:pt x="886" y="13405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5391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7283" name="Line 115">
                <a:extLst>
                  <a:ext uri="{FF2B5EF4-FFF2-40B4-BE49-F238E27FC236}">
                    <a16:creationId xmlns:a16="http://schemas.microsoft.com/office/drawing/2014/main" id="{00000000-0008-0000-0500-0000731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80000" y="2100000"/>
                <a:ext cx="174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7284" name="Line 116">
                <a:extLst>
                  <a:ext uri="{FF2B5EF4-FFF2-40B4-BE49-F238E27FC236}">
                    <a16:creationId xmlns:a16="http://schemas.microsoft.com/office/drawing/2014/main" id="{00000000-0008-0000-0500-0000741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580000" y="320000"/>
                <a:ext cx="0" cy="338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7285" name="Line 117">
                <a:extLst>
                  <a:ext uri="{FF2B5EF4-FFF2-40B4-BE49-F238E27FC236}">
                    <a16:creationId xmlns:a16="http://schemas.microsoft.com/office/drawing/2014/main" id="{00000000-0008-0000-0500-0000751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00000" y="1560000"/>
                <a:ext cx="3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286" name="Line 118">
                <a:extLst>
                  <a:ext uri="{FF2B5EF4-FFF2-40B4-BE49-F238E27FC236}">
                    <a16:creationId xmlns:a16="http://schemas.microsoft.com/office/drawing/2014/main" id="{00000000-0008-0000-0500-0000761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0000" y="1560000"/>
                <a:ext cx="12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287" name="Текст 119">
                <a:extLst>
                  <a:ext uri="{FF2B5EF4-FFF2-40B4-BE49-F238E27FC236}">
                    <a16:creationId xmlns:a16="http://schemas.microsoft.com/office/drawing/2014/main" id="{00000000-0008-0000-0500-000077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400000" y="286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7288" name="Line 120">
                <a:extLst>
                  <a:ext uri="{FF2B5EF4-FFF2-40B4-BE49-F238E27FC236}">
                    <a16:creationId xmlns:a16="http://schemas.microsoft.com/office/drawing/2014/main" id="{00000000-0008-0000-0500-0000781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60000" y="3380000"/>
                <a:ext cx="7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292" name="Текст 124">
                <a:extLst>
                  <a:ext uri="{FF2B5EF4-FFF2-40B4-BE49-F238E27FC236}">
                    <a16:creationId xmlns:a16="http://schemas.microsoft.com/office/drawing/2014/main" id="{00000000-0008-0000-0500-00007C1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460000" y="18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800000"/>
                    </a:solidFill>
                    <a:latin typeface="Arial Cyr"/>
                    <a:cs typeface="Arial Cyr"/>
                  </a:rPr>
                  <a:t>3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66675</xdr:rowOff>
        </xdr:from>
        <xdr:to>
          <xdr:col>22</xdr:col>
          <xdr:colOff>28575</xdr:colOff>
          <xdr:row>2</xdr:row>
          <xdr:rowOff>95250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38100</xdr:rowOff>
        </xdr:from>
        <xdr:to>
          <xdr:col>15</xdr:col>
          <xdr:colOff>238125</xdr:colOff>
          <xdr:row>4</xdr:row>
          <xdr:rowOff>66675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28575</xdr:rowOff>
        </xdr:from>
        <xdr:to>
          <xdr:col>18</xdr:col>
          <xdr:colOff>247650</xdr:colOff>
          <xdr:row>0</xdr:row>
          <xdr:rowOff>161925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5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66675</xdr:rowOff>
    </xdr:from>
    <xdr:to>
      <xdr:col>2</xdr:col>
      <xdr:colOff>333375</xdr:colOff>
      <xdr:row>10</xdr:row>
      <xdr:rowOff>95250</xdr:rowOff>
    </xdr:to>
    <xdr:grpSp>
      <xdr:nvGrpSpPr>
        <xdr:cNvPr id="8249" name="Group 57">
          <a:extLst>
            <a:ext uri="{FF2B5EF4-FFF2-40B4-BE49-F238E27FC236}">
              <a16:creationId xmlns:a16="http://schemas.microsoft.com/office/drawing/2014/main" id="{00000000-0008-0000-0700-000039200000}"/>
            </a:ext>
          </a:extLst>
        </xdr:cNvPr>
        <xdr:cNvGrpSpPr>
          <a:grpSpLocks/>
        </xdr:cNvGrpSpPr>
      </xdr:nvGrpSpPr>
      <xdr:grpSpPr bwMode="auto">
        <a:xfrm>
          <a:off x="180975" y="66675"/>
          <a:ext cx="1133475" cy="1971675"/>
          <a:chOff x="-6961" y="-2143"/>
          <a:chExt cx="26775" cy="21114"/>
        </a:xfrm>
      </xdr:grpSpPr>
      <xdr:grpSp>
        <xdr:nvGrpSpPr>
          <xdr:cNvPr id="8199" name="Group 7">
            <a:extLst>
              <a:ext uri="{FF2B5EF4-FFF2-40B4-BE49-F238E27FC236}">
                <a16:creationId xmlns:a16="http://schemas.microsoft.com/office/drawing/2014/main" id="{00000000-0008-0000-0700-000007200000}"/>
              </a:ext>
            </a:extLst>
          </xdr:cNvPr>
          <xdr:cNvGrpSpPr>
            <a:grpSpLocks/>
          </xdr:cNvGrpSpPr>
        </xdr:nvGrpSpPr>
        <xdr:grpSpPr bwMode="auto">
          <a:xfrm>
            <a:off x="-6961" y="-2143"/>
            <a:ext cx="26775" cy="21114"/>
            <a:chOff x="400000" y="140000"/>
            <a:chExt cx="2380000" cy="4140000"/>
          </a:xfrm>
        </xdr:grpSpPr>
        <xdr:sp macro="" textlink="">
          <xdr:nvSpPr>
            <xdr:cNvPr id="8200" name="Rectangle 8">
              <a:extLs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0000" y="200000"/>
              <a:ext cx="2320000" cy="4000000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201" name="Group 9">
              <a:extLs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60000" y="140000"/>
              <a:ext cx="2320000" cy="4140000"/>
              <a:chOff x="460000" y="140000"/>
              <a:chExt cx="2320000" cy="4140000"/>
            </a:xfrm>
          </xdr:grpSpPr>
          <xdr:sp macro="" textlink="">
            <xdr:nvSpPr>
              <xdr:cNvPr id="8202" name="Текст 1669">
                <a:extLst>
                  <a:ext uri="{FF2B5EF4-FFF2-40B4-BE49-F238E27FC236}">
                    <a16:creationId xmlns:a16="http://schemas.microsoft.com/office/drawing/2014/main" id="{00000000-0008-0000-0700-00000A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40000" y="140000"/>
                <a:ext cx="34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8203" name="Объект 1354">
                <a:extLst>
                  <a:ext uri="{FF2B5EF4-FFF2-40B4-BE49-F238E27FC236}">
                    <a16:creationId xmlns:a16="http://schemas.microsoft.com/office/drawing/2014/main" id="{00000000-0008-0000-0700-00000B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00000" y="600000"/>
                <a:ext cx="20000" cy="32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757"/>
                  </a:cxn>
                  <a:cxn ang="0">
                    <a:pos x="0" y="9978"/>
                  </a:cxn>
                  <a:cxn ang="0">
                    <a:pos x="0" y="12925"/>
                  </a:cxn>
                  <a:cxn ang="0">
                    <a:pos x="0" y="14780"/>
                  </a:cxn>
                  <a:cxn ang="0">
                    <a:pos x="0" y="15838"/>
                  </a:cxn>
                  <a:cxn ang="0">
                    <a:pos x="0" y="16282"/>
                  </a:cxn>
                  <a:cxn ang="0">
                    <a:pos x="0" y="16384"/>
                  </a:cxn>
                  <a:cxn ang="0">
                    <a:pos x="0" y="16373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757"/>
                    </a:lnTo>
                    <a:lnTo>
                      <a:pt x="0" y="9978"/>
                    </a:lnTo>
                    <a:lnTo>
                      <a:pt x="0" y="12925"/>
                    </a:lnTo>
                    <a:lnTo>
                      <a:pt x="0" y="14780"/>
                    </a:lnTo>
                    <a:lnTo>
                      <a:pt x="0" y="15838"/>
                    </a:lnTo>
                    <a:lnTo>
                      <a:pt x="0" y="16282"/>
                    </a:lnTo>
                    <a:lnTo>
                      <a:pt x="0" y="16384"/>
                    </a:lnTo>
                    <a:lnTo>
                      <a:pt x="0" y="16373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04" name="Объект 1355">
                <a:extLst>
                  <a:ext uri="{FF2B5EF4-FFF2-40B4-BE49-F238E27FC236}">
                    <a16:creationId xmlns:a16="http://schemas.microsoft.com/office/drawing/2014/main" id="{00000000-0008-0000-0700-00000C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00000" y="540000"/>
                <a:ext cx="0" cy="3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05" name="Объект 1356">
                <a:extLst>
                  <a:ext uri="{FF2B5EF4-FFF2-40B4-BE49-F238E27FC236}">
                    <a16:creationId xmlns:a16="http://schemas.microsoft.com/office/drawing/2014/main" id="{00000000-0008-0000-0700-00000D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60000" y="760000"/>
                <a:ext cx="80000" cy="80000"/>
              </a:xfrm>
              <a:custGeom>
                <a:avLst/>
                <a:gdLst/>
                <a:ahLst/>
                <a:cxnLst>
                  <a:cxn ang="0">
                    <a:pos x="8192" y="16384"/>
                  </a:cxn>
                  <a:cxn ang="0">
                    <a:pos x="0" y="0"/>
                  </a:cxn>
                  <a:cxn ang="0">
                    <a:pos x="512" y="431"/>
                  </a:cxn>
                  <a:cxn ang="0">
                    <a:pos x="1024" y="431"/>
                  </a:cxn>
                  <a:cxn ang="0">
                    <a:pos x="2048" y="862"/>
                  </a:cxn>
                  <a:cxn ang="0">
                    <a:pos x="2560" y="862"/>
                  </a:cxn>
                  <a:cxn ang="0">
                    <a:pos x="3072" y="862"/>
                  </a:cxn>
                  <a:cxn ang="0">
                    <a:pos x="3584" y="1725"/>
                  </a:cxn>
                  <a:cxn ang="0">
                    <a:pos x="4608" y="1725"/>
                  </a:cxn>
                  <a:cxn ang="0">
                    <a:pos x="5120" y="1725"/>
                  </a:cxn>
                  <a:cxn ang="0">
                    <a:pos x="5632" y="1725"/>
                  </a:cxn>
                  <a:cxn ang="0">
                    <a:pos x="6656" y="1725"/>
                  </a:cxn>
                  <a:cxn ang="0">
                    <a:pos x="7168" y="1725"/>
                  </a:cxn>
                  <a:cxn ang="0">
                    <a:pos x="7680" y="1725"/>
                  </a:cxn>
                  <a:cxn ang="0">
                    <a:pos x="8192" y="1725"/>
                  </a:cxn>
                  <a:cxn ang="0">
                    <a:pos x="9216" y="1725"/>
                  </a:cxn>
                  <a:cxn ang="0">
                    <a:pos x="9728" y="1725"/>
                  </a:cxn>
                  <a:cxn ang="0">
                    <a:pos x="10240" y="1725"/>
                  </a:cxn>
                  <a:cxn ang="0">
                    <a:pos x="10752" y="1725"/>
                  </a:cxn>
                  <a:cxn ang="0">
                    <a:pos x="11776" y="1725"/>
                  </a:cxn>
                  <a:cxn ang="0">
                    <a:pos x="12288" y="1725"/>
                  </a:cxn>
                  <a:cxn ang="0">
                    <a:pos x="12800" y="862"/>
                  </a:cxn>
                  <a:cxn ang="0">
                    <a:pos x="13824" y="862"/>
                  </a:cxn>
                  <a:cxn ang="0">
                    <a:pos x="14336" y="862"/>
                  </a:cxn>
                  <a:cxn ang="0">
                    <a:pos x="14848" y="431"/>
                  </a:cxn>
                  <a:cxn ang="0">
                    <a:pos x="15360" y="431"/>
                  </a:cxn>
                  <a:cxn ang="0">
                    <a:pos x="16384" y="0"/>
                  </a:cxn>
                  <a:cxn ang="0">
                    <a:pos x="8192" y="16384"/>
                  </a:cxn>
                </a:cxnLst>
                <a:rect l="0" t="0" r="r" b="b"/>
                <a:pathLst>
                  <a:path w="16384" h="16384">
                    <a:moveTo>
                      <a:pt x="8192" y="16384"/>
                    </a:moveTo>
                    <a:lnTo>
                      <a:pt x="0" y="0"/>
                    </a:lnTo>
                    <a:lnTo>
                      <a:pt x="512" y="431"/>
                    </a:lnTo>
                    <a:lnTo>
                      <a:pt x="1024" y="431"/>
                    </a:lnTo>
                    <a:lnTo>
                      <a:pt x="2048" y="862"/>
                    </a:lnTo>
                    <a:lnTo>
                      <a:pt x="2560" y="862"/>
                    </a:lnTo>
                    <a:lnTo>
                      <a:pt x="3072" y="862"/>
                    </a:lnTo>
                    <a:lnTo>
                      <a:pt x="3584" y="1725"/>
                    </a:lnTo>
                    <a:lnTo>
                      <a:pt x="4608" y="1725"/>
                    </a:lnTo>
                    <a:lnTo>
                      <a:pt x="5120" y="1725"/>
                    </a:lnTo>
                    <a:lnTo>
                      <a:pt x="5632" y="1725"/>
                    </a:lnTo>
                    <a:lnTo>
                      <a:pt x="6656" y="1725"/>
                    </a:lnTo>
                    <a:lnTo>
                      <a:pt x="7168" y="1725"/>
                    </a:lnTo>
                    <a:lnTo>
                      <a:pt x="7680" y="1725"/>
                    </a:lnTo>
                    <a:lnTo>
                      <a:pt x="8192" y="1725"/>
                    </a:lnTo>
                    <a:lnTo>
                      <a:pt x="9216" y="1725"/>
                    </a:lnTo>
                    <a:lnTo>
                      <a:pt x="9728" y="1725"/>
                    </a:lnTo>
                    <a:lnTo>
                      <a:pt x="10240" y="1725"/>
                    </a:lnTo>
                    <a:lnTo>
                      <a:pt x="10752" y="1725"/>
                    </a:lnTo>
                    <a:lnTo>
                      <a:pt x="11776" y="1725"/>
                    </a:lnTo>
                    <a:lnTo>
                      <a:pt x="12288" y="1725"/>
                    </a:lnTo>
                    <a:lnTo>
                      <a:pt x="12800" y="862"/>
                    </a:lnTo>
                    <a:lnTo>
                      <a:pt x="13824" y="862"/>
                    </a:lnTo>
                    <a:lnTo>
                      <a:pt x="14336" y="862"/>
                    </a:lnTo>
                    <a:lnTo>
                      <a:pt x="14848" y="431"/>
                    </a:lnTo>
                    <a:lnTo>
                      <a:pt x="15360" y="431"/>
                    </a:lnTo>
                    <a:lnTo>
                      <a:pt x="16384" y="0"/>
                    </a:lnTo>
                    <a:lnTo>
                      <a:pt x="8192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06" name="Объект 1357">
                <a:extLst>
                  <a:ext uri="{FF2B5EF4-FFF2-40B4-BE49-F238E27FC236}">
                    <a16:creationId xmlns:a16="http://schemas.microsoft.com/office/drawing/2014/main" id="{00000000-0008-0000-0700-00000E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00000" y="1040000"/>
                <a:ext cx="0" cy="3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07" name="Объект 1358">
                <a:extLst>
                  <a:ext uri="{FF2B5EF4-FFF2-40B4-BE49-F238E27FC236}">
                    <a16:creationId xmlns:a16="http://schemas.microsoft.com/office/drawing/2014/main" id="{00000000-0008-0000-0700-00000F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60000" y="980000"/>
                <a:ext cx="80000" cy="100000"/>
              </a:xfrm>
              <a:custGeom>
                <a:avLst/>
                <a:gdLst/>
                <a:ahLst/>
                <a:cxnLst>
                  <a:cxn ang="0">
                    <a:pos x="8192" y="0"/>
                  </a:cxn>
                  <a:cxn ang="0">
                    <a:pos x="0" y="16384"/>
                  </a:cxn>
                  <a:cxn ang="0">
                    <a:pos x="512" y="16384"/>
                  </a:cxn>
                  <a:cxn ang="0">
                    <a:pos x="512" y="15941"/>
                  </a:cxn>
                  <a:cxn ang="0">
                    <a:pos x="1024" y="15941"/>
                  </a:cxn>
                  <a:cxn ang="0">
                    <a:pos x="2048" y="15941"/>
                  </a:cxn>
                  <a:cxn ang="0">
                    <a:pos x="2560" y="15056"/>
                  </a:cxn>
                  <a:cxn ang="0">
                    <a:pos x="3072" y="15056"/>
                  </a:cxn>
                  <a:cxn ang="0">
                    <a:pos x="3584" y="15056"/>
                  </a:cxn>
                  <a:cxn ang="0">
                    <a:pos x="4608" y="15056"/>
                  </a:cxn>
                  <a:cxn ang="0">
                    <a:pos x="5120" y="14613"/>
                  </a:cxn>
                  <a:cxn ang="0">
                    <a:pos x="5632" y="14613"/>
                  </a:cxn>
                  <a:cxn ang="0">
                    <a:pos x="6656" y="14613"/>
                  </a:cxn>
                  <a:cxn ang="0">
                    <a:pos x="7168" y="14613"/>
                  </a:cxn>
                  <a:cxn ang="0">
                    <a:pos x="7680" y="14613"/>
                  </a:cxn>
                  <a:cxn ang="0">
                    <a:pos x="8192" y="14613"/>
                  </a:cxn>
                  <a:cxn ang="0">
                    <a:pos x="9216" y="14613"/>
                  </a:cxn>
                  <a:cxn ang="0">
                    <a:pos x="9728" y="14613"/>
                  </a:cxn>
                  <a:cxn ang="0">
                    <a:pos x="10240" y="14613"/>
                  </a:cxn>
                  <a:cxn ang="0">
                    <a:pos x="10752" y="14613"/>
                  </a:cxn>
                  <a:cxn ang="0">
                    <a:pos x="11776" y="15056"/>
                  </a:cxn>
                  <a:cxn ang="0">
                    <a:pos x="12288" y="15056"/>
                  </a:cxn>
                  <a:cxn ang="0">
                    <a:pos x="12800" y="15056"/>
                  </a:cxn>
                  <a:cxn ang="0">
                    <a:pos x="13824" y="15056"/>
                  </a:cxn>
                  <a:cxn ang="0">
                    <a:pos x="14336" y="15941"/>
                  </a:cxn>
                  <a:cxn ang="0">
                    <a:pos x="14848" y="15941"/>
                  </a:cxn>
                  <a:cxn ang="0">
                    <a:pos x="15360" y="15941"/>
                  </a:cxn>
                  <a:cxn ang="0">
                    <a:pos x="15360" y="16384"/>
                  </a:cxn>
                  <a:cxn ang="0">
                    <a:pos x="16384" y="16384"/>
                  </a:cxn>
                  <a:cxn ang="0">
                    <a:pos x="8192" y="0"/>
                  </a:cxn>
                </a:cxnLst>
                <a:rect l="0" t="0" r="r" b="b"/>
                <a:pathLst>
                  <a:path w="16384" h="16384">
                    <a:moveTo>
                      <a:pt x="8192" y="0"/>
                    </a:moveTo>
                    <a:lnTo>
                      <a:pt x="0" y="16384"/>
                    </a:lnTo>
                    <a:lnTo>
                      <a:pt x="512" y="16384"/>
                    </a:lnTo>
                    <a:lnTo>
                      <a:pt x="512" y="15941"/>
                    </a:lnTo>
                    <a:lnTo>
                      <a:pt x="1024" y="15941"/>
                    </a:lnTo>
                    <a:lnTo>
                      <a:pt x="2048" y="15941"/>
                    </a:lnTo>
                    <a:lnTo>
                      <a:pt x="2560" y="15056"/>
                    </a:lnTo>
                    <a:lnTo>
                      <a:pt x="3072" y="15056"/>
                    </a:lnTo>
                    <a:lnTo>
                      <a:pt x="3584" y="15056"/>
                    </a:lnTo>
                    <a:lnTo>
                      <a:pt x="4608" y="15056"/>
                    </a:lnTo>
                    <a:lnTo>
                      <a:pt x="5120" y="14613"/>
                    </a:lnTo>
                    <a:lnTo>
                      <a:pt x="5632" y="14613"/>
                    </a:lnTo>
                    <a:lnTo>
                      <a:pt x="6656" y="14613"/>
                    </a:lnTo>
                    <a:lnTo>
                      <a:pt x="7168" y="14613"/>
                    </a:lnTo>
                    <a:lnTo>
                      <a:pt x="7680" y="14613"/>
                    </a:lnTo>
                    <a:lnTo>
                      <a:pt x="8192" y="14613"/>
                    </a:lnTo>
                    <a:lnTo>
                      <a:pt x="9216" y="14613"/>
                    </a:lnTo>
                    <a:lnTo>
                      <a:pt x="9728" y="14613"/>
                    </a:lnTo>
                    <a:lnTo>
                      <a:pt x="10240" y="14613"/>
                    </a:lnTo>
                    <a:lnTo>
                      <a:pt x="10752" y="14613"/>
                    </a:lnTo>
                    <a:lnTo>
                      <a:pt x="11776" y="15056"/>
                    </a:lnTo>
                    <a:lnTo>
                      <a:pt x="12288" y="15056"/>
                    </a:lnTo>
                    <a:lnTo>
                      <a:pt x="12800" y="15056"/>
                    </a:lnTo>
                    <a:lnTo>
                      <a:pt x="13824" y="15056"/>
                    </a:lnTo>
                    <a:lnTo>
                      <a:pt x="14336" y="15941"/>
                    </a:lnTo>
                    <a:lnTo>
                      <a:pt x="14848" y="15941"/>
                    </a:lnTo>
                    <a:lnTo>
                      <a:pt x="15360" y="15941"/>
                    </a:lnTo>
                    <a:lnTo>
                      <a:pt x="15360" y="16384"/>
                    </a:lnTo>
                    <a:lnTo>
                      <a:pt x="16384" y="16384"/>
                    </a:lnTo>
                    <a:lnTo>
                      <a:pt x="8192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08" name="Текст 1360">
                <a:extLst>
                  <a:ext uri="{FF2B5EF4-FFF2-40B4-BE49-F238E27FC236}">
                    <a16:creationId xmlns:a16="http://schemas.microsoft.com/office/drawing/2014/main" id="{00000000-0008-0000-0700-000010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040000" y="46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8209" name="Объект 1361">
                <a:extLst>
                  <a:ext uri="{FF2B5EF4-FFF2-40B4-BE49-F238E27FC236}">
                    <a16:creationId xmlns:a16="http://schemas.microsoft.com/office/drawing/2014/main" id="{00000000-0008-0000-0700-000011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0000" y="720000"/>
                <a:ext cx="20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10" name="Объект 1362">
                <a:extLst>
                  <a:ext uri="{FF2B5EF4-FFF2-40B4-BE49-F238E27FC236}">
                    <a16:creationId xmlns:a16="http://schemas.microsoft.com/office/drawing/2014/main" id="{00000000-0008-0000-0700-000012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0000" y="680000"/>
                <a:ext cx="100000" cy="8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16384"/>
                  </a:cxn>
                  <a:cxn ang="0">
                    <a:pos x="0" y="15872"/>
                  </a:cxn>
                  <a:cxn ang="0">
                    <a:pos x="0" y="14848"/>
                  </a:cxn>
                  <a:cxn ang="0">
                    <a:pos x="443" y="14848"/>
                  </a:cxn>
                  <a:cxn ang="0">
                    <a:pos x="443" y="14336"/>
                  </a:cxn>
                  <a:cxn ang="0">
                    <a:pos x="443" y="13824"/>
                  </a:cxn>
                  <a:cxn ang="0">
                    <a:pos x="886" y="13312"/>
                  </a:cxn>
                  <a:cxn ang="0">
                    <a:pos x="886" y="12288"/>
                  </a:cxn>
                  <a:cxn ang="0">
                    <a:pos x="886" y="11776"/>
                  </a:cxn>
                  <a:cxn ang="0">
                    <a:pos x="886" y="11264"/>
                  </a:cxn>
                  <a:cxn ang="0">
                    <a:pos x="1328" y="10240"/>
                  </a:cxn>
                  <a:cxn ang="0">
                    <a:pos x="1328" y="9728"/>
                  </a:cxn>
                  <a:cxn ang="0">
                    <a:pos x="1328" y="9216"/>
                  </a:cxn>
                  <a:cxn ang="0">
                    <a:pos x="1328" y="8704"/>
                  </a:cxn>
                  <a:cxn ang="0">
                    <a:pos x="1328" y="7680"/>
                  </a:cxn>
                  <a:cxn ang="0">
                    <a:pos x="1328" y="7168"/>
                  </a:cxn>
                  <a:cxn ang="0">
                    <a:pos x="1328" y="6656"/>
                  </a:cxn>
                  <a:cxn ang="0">
                    <a:pos x="1328" y="5632"/>
                  </a:cxn>
                  <a:cxn ang="0">
                    <a:pos x="886" y="5120"/>
                  </a:cxn>
                  <a:cxn ang="0">
                    <a:pos x="886" y="4608"/>
                  </a:cxn>
                  <a:cxn ang="0">
                    <a:pos x="886" y="4096"/>
                  </a:cxn>
                  <a:cxn ang="0">
                    <a:pos x="886" y="3072"/>
                  </a:cxn>
                  <a:cxn ang="0">
                    <a:pos x="443" y="2560"/>
                  </a:cxn>
                  <a:cxn ang="0">
                    <a:pos x="443" y="2048"/>
                  </a:cxn>
                  <a:cxn ang="0">
                    <a:pos x="443" y="1024"/>
                  </a:cxn>
                  <a:cxn ang="0">
                    <a:pos x="0" y="512"/>
                  </a:cxn>
                  <a:cxn ang="0">
                    <a:pos x="0" y="0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16384"/>
                    </a:lnTo>
                    <a:lnTo>
                      <a:pt x="0" y="15872"/>
                    </a:lnTo>
                    <a:lnTo>
                      <a:pt x="0" y="14848"/>
                    </a:lnTo>
                    <a:lnTo>
                      <a:pt x="443" y="14848"/>
                    </a:lnTo>
                    <a:lnTo>
                      <a:pt x="443" y="14336"/>
                    </a:lnTo>
                    <a:lnTo>
                      <a:pt x="443" y="13824"/>
                    </a:lnTo>
                    <a:lnTo>
                      <a:pt x="886" y="13312"/>
                    </a:lnTo>
                    <a:lnTo>
                      <a:pt x="886" y="12288"/>
                    </a:lnTo>
                    <a:lnTo>
                      <a:pt x="886" y="11776"/>
                    </a:lnTo>
                    <a:lnTo>
                      <a:pt x="886" y="11264"/>
                    </a:lnTo>
                    <a:lnTo>
                      <a:pt x="1328" y="10240"/>
                    </a:lnTo>
                    <a:lnTo>
                      <a:pt x="1328" y="9728"/>
                    </a:lnTo>
                    <a:lnTo>
                      <a:pt x="1328" y="9216"/>
                    </a:lnTo>
                    <a:lnTo>
                      <a:pt x="1328" y="8704"/>
                    </a:lnTo>
                    <a:lnTo>
                      <a:pt x="1328" y="7680"/>
                    </a:lnTo>
                    <a:lnTo>
                      <a:pt x="1328" y="7168"/>
                    </a:lnTo>
                    <a:lnTo>
                      <a:pt x="1328" y="6656"/>
                    </a:lnTo>
                    <a:lnTo>
                      <a:pt x="1328" y="5632"/>
                    </a:lnTo>
                    <a:lnTo>
                      <a:pt x="886" y="5120"/>
                    </a:lnTo>
                    <a:lnTo>
                      <a:pt x="886" y="4608"/>
                    </a:lnTo>
                    <a:lnTo>
                      <a:pt x="886" y="4096"/>
                    </a:lnTo>
                    <a:lnTo>
                      <a:pt x="886" y="3072"/>
                    </a:lnTo>
                    <a:lnTo>
                      <a:pt x="443" y="2560"/>
                    </a:lnTo>
                    <a:lnTo>
                      <a:pt x="443" y="2048"/>
                    </a:lnTo>
                    <a:lnTo>
                      <a:pt x="443" y="1024"/>
                    </a:lnTo>
                    <a:lnTo>
                      <a:pt x="0" y="512"/>
                    </a:lnTo>
                    <a:lnTo>
                      <a:pt x="0" y="0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11" name="Объект 1363">
                <a:extLst>
                  <a:ext uri="{FF2B5EF4-FFF2-40B4-BE49-F238E27FC236}">
                    <a16:creationId xmlns:a16="http://schemas.microsoft.com/office/drawing/2014/main" id="{00000000-0008-0000-0700-000013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0000" y="720000"/>
                <a:ext cx="18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12" name="Объект 1364">
                <a:extLst>
                  <a:ext uri="{FF2B5EF4-FFF2-40B4-BE49-F238E27FC236}">
                    <a16:creationId xmlns:a16="http://schemas.microsoft.com/office/drawing/2014/main" id="{00000000-0008-0000-0700-000014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0000" y="680000"/>
                <a:ext cx="100000" cy="8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16384"/>
                  </a:cxn>
                  <a:cxn ang="0">
                    <a:pos x="16384" y="15872"/>
                  </a:cxn>
                  <a:cxn ang="0">
                    <a:pos x="15941" y="14848"/>
                  </a:cxn>
                  <a:cxn ang="0">
                    <a:pos x="15941" y="14336"/>
                  </a:cxn>
                  <a:cxn ang="0">
                    <a:pos x="15056" y="13824"/>
                  </a:cxn>
                  <a:cxn ang="0">
                    <a:pos x="15056" y="13312"/>
                  </a:cxn>
                  <a:cxn ang="0">
                    <a:pos x="15056" y="12288"/>
                  </a:cxn>
                  <a:cxn ang="0">
                    <a:pos x="14613" y="11776"/>
                  </a:cxn>
                  <a:cxn ang="0">
                    <a:pos x="14613" y="11264"/>
                  </a:cxn>
                  <a:cxn ang="0">
                    <a:pos x="14613" y="10240"/>
                  </a:cxn>
                  <a:cxn ang="0">
                    <a:pos x="14613" y="9728"/>
                  </a:cxn>
                  <a:cxn ang="0">
                    <a:pos x="14613" y="9216"/>
                  </a:cxn>
                  <a:cxn ang="0">
                    <a:pos x="14613" y="8704"/>
                  </a:cxn>
                  <a:cxn ang="0">
                    <a:pos x="14613" y="7680"/>
                  </a:cxn>
                  <a:cxn ang="0">
                    <a:pos x="14613" y="7168"/>
                  </a:cxn>
                  <a:cxn ang="0">
                    <a:pos x="14613" y="6656"/>
                  </a:cxn>
                  <a:cxn ang="0">
                    <a:pos x="14613" y="5632"/>
                  </a:cxn>
                  <a:cxn ang="0">
                    <a:pos x="14613" y="5120"/>
                  </a:cxn>
                  <a:cxn ang="0">
                    <a:pos x="14613" y="4608"/>
                  </a:cxn>
                  <a:cxn ang="0">
                    <a:pos x="15056" y="4096"/>
                  </a:cxn>
                  <a:cxn ang="0">
                    <a:pos x="15056" y="3072"/>
                  </a:cxn>
                  <a:cxn ang="0">
                    <a:pos x="15056" y="2560"/>
                  </a:cxn>
                  <a:cxn ang="0">
                    <a:pos x="15941" y="2048"/>
                  </a:cxn>
                  <a:cxn ang="0">
                    <a:pos x="15941" y="1024"/>
                  </a:cxn>
                  <a:cxn ang="0">
                    <a:pos x="15941" y="512"/>
                  </a:cxn>
                  <a:cxn ang="0">
                    <a:pos x="16384" y="512"/>
                  </a:cxn>
                  <a:cxn ang="0">
                    <a:pos x="16384" y="0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16384"/>
                    </a:lnTo>
                    <a:lnTo>
                      <a:pt x="16384" y="15872"/>
                    </a:lnTo>
                    <a:lnTo>
                      <a:pt x="15941" y="14848"/>
                    </a:lnTo>
                    <a:lnTo>
                      <a:pt x="15941" y="14336"/>
                    </a:lnTo>
                    <a:lnTo>
                      <a:pt x="15056" y="13824"/>
                    </a:lnTo>
                    <a:lnTo>
                      <a:pt x="15056" y="13312"/>
                    </a:lnTo>
                    <a:lnTo>
                      <a:pt x="15056" y="12288"/>
                    </a:lnTo>
                    <a:lnTo>
                      <a:pt x="14613" y="11776"/>
                    </a:lnTo>
                    <a:lnTo>
                      <a:pt x="14613" y="11264"/>
                    </a:lnTo>
                    <a:lnTo>
                      <a:pt x="14613" y="10240"/>
                    </a:lnTo>
                    <a:lnTo>
                      <a:pt x="14613" y="9728"/>
                    </a:lnTo>
                    <a:lnTo>
                      <a:pt x="14613" y="9216"/>
                    </a:lnTo>
                    <a:lnTo>
                      <a:pt x="14613" y="8704"/>
                    </a:lnTo>
                    <a:lnTo>
                      <a:pt x="14613" y="7680"/>
                    </a:lnTo>
                    <a:lnTo>
                      <a:pt x="14613" y="7168"/>
                    </a:lnTo>
                    <a:lnTo>
                      <a:pt x="14613" y="6656"/>
                    </a:lnTo>
                    <a:lnTo>
                      <a:pt x="14613" y="5632"/>
                    </a:lnTo>
                    <a:lnTo>
                      <a:pt x="14613" y="5120"/>
                    </a:lnTo>
                    <a:lnTo>
                      <a:pt x="14613" y="4608"/>
                    </a:lnTo>
                    <a:lnTo>
                      <a:pt x="15056" y="4096"/>
                    </a:lnTo>
                    <a:lnTo>
                      <a:pt x="15056" y="3072"/>
                    </a:lnTo>
                    <a:lnTo>
                      <a:pt x="15056" y="2560"/>
                    </a:lnTo>
                    <a:lnTo>
                      <a:pt x="15941" y="2048"/>
                    </a:lnTo>
                    <a:lnTo>
                      <a:pt x="15941" y="1024"/>
                    </a:lnTo>
                    <a:lnTo>
                      <a:pt x="15941" y="512"/>
                    </a:lnTo>
                    <a:lnTo>
                      <a:pt x="16384" y="512"/>
                    </a:lnTo>
                    <a:lnTo>
                      <a:pt x="16384" y="0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13" name="Объект 1365">
                <a:extLst>
                  <a:ext uri="{FF2B5EF4-FFF2-40B4-BE49-F238E27FC236}">
                    <a16:creationId xmlns:a16="http://schemas.microsoft.com/office/drawing/2014/main" id="{00000000-0008-0000-0700-000015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00000" y="720000"/>
                <a:ext cx="38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14" name="Текст 1366">
                <a:extLst>
                  <a:ext uri="{FF2B5EF4-FFF2-40B4-BE49-F238E27FC236}">
                    <a16:creationId xmlns:a16="http://schemas.microsoft.com/office/drawing/2014/main" id="{00000000-0008-0000-0700-000016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00000" y="320000"/>
                <a:ext cx="2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Times New Roman CE"/>
                    <a:cs typeface="Times New Roman CE"/>
                  </a:rPr>
                  <a:t>z</a:t>
                </a:r>
              </a:p>
            </xdr:txBody>
          </xdr:sp>
          <xdr:sp macro="" textlink="">
            <xdr:nvSpPr>
              <xdr:cNvPr id="8215" name="Текст 1367">
                <a:extLst>
                  <a:ext uri="{FF2B5EF4-FFF2-40B4-BE49-F238E27FC236}">
                    <a16:creationId xmlns:a16="http://schemas.microsoft.com/office/drawing/2014/main" id="{00000000-0008-0000-0700-000017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500000" y="520000"/>
                <a:ext cx="200000" cy="3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9144" tIns="18288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600" b="0" i="0" u="none" strike="noStrike" baseline="0">
                    <a:solidFill>
                      <a:srgbClr val="0000FF"/>
                    </a:solidFill>
                    <a:latin typeface="Times New Roman CE"/>
                    <a:cs typeface="Times New Roman CE"/>
                  </a:rPr>
                  <a:t>0</a:t>
                </a:r>
              </a:p>
            </xdr:txBody>
          </xdr:sp>
          <xdr:sp macro="" textlink="">
            <xdr:nvSpPr>
              <xdr:cNvPr id="8216" name="Объект 1368">
                <a:extLst>
                  <a:ext uri="{FF2B5EF4-FFF2-40B4-BE49-F238E27FC236}">
                    <a16:creationId xmlns:a16="http://schemas.microsoft.com/office/drawing/2014/main" id="{00000000-0008-0000-0700-000018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00000" y="840000"/>
                <a:ext cx="1200000" cy="2520000"/>
              </a:xfrm>
              <a:custGeom>
                <a:avLst/>
                <a:gdLst/>
                <a:ahLst/>
                <a:cxnLst>
                  <a:cxn ang="0">
                    <a:pos x="2346" y="8177"/>
                  </a:cxn>
                  <a:cxn ang="0">
                    <a:pos x="2346" y="14285"/>
                  </a:cxn>
                  <a:cxn ang="0">
                    <a:pos x="2383" y="14431"/>
                  </a:cxn>
                  <a:cxn ang="0">
                    <a:pos x="2458" y="14591"/>
                  </a:cxn>
                  <a:cxn ang="0">
                    <a:pos x="2532" y="14737"/>
                  </a:cxn>
                  <a:cxn ang="0">
                    <a:pos x="2681" y="14868"/>
                  </a:cxn>
                  <a:cxn ang="0">
                    <a:pos x="2867" y="14985"/>
                  </a:cxn>
                  <a:cxn ang="0">
                    <a:pos x="3091" y="15072"/>
                  </a:cxn>
                  <a:cxn ang="0">
                    <a:pos x="3351" y="15160"/>
                  </a:cxn>
                  <a:cxn ang="0">
                    <a:pos x="3575" y="15262"/>
                  </a:cxn>
                  <a:cxn ang="0">
                    <a:pos x="3910" y="15320"/>
                  </a:cxn>
                  <a:cxn ang="0">
                    <a:pos x="4208" y="15393"/>
                  </a:cxn>
                  <a:cxn ang="0">
                    <a:pos x="4543" y="15451"/>
                  </a:cxn>
                  <a:cxn ang="0">
                    <a:pos x="4915" y="15480"/>
                  </a:cxn>
                  <a:cxn ang="0">
                    <a:pos x="5697" y="15539"/>
                  </a:cxn>
                  <a:cxn ang="0">
                    <a:pos x="6442" y="15553"/>
                  </a:cxn>
                  <a:cxn ang="0">
                    <a:pos x="14820" y="15553"/>
                  </a:cxn>
                  <a:cxn ang="0">
                    <a:pos x="15267" y="15582"/>
                  </a:cxn>
                  <a:cxn ang="0">
                    <a:pos x="15639" y="15611"/>
                  </a:cxn>
                  <a:cxn ang="0">
                    <a:pos x="15863" y="15684"/>
                  </a:cxn>
                  <a:cxn ang="0">
                    <a:pos x="16086" y="15801"/>
                  </a:cxn>
                  <a:cxn ang="0">
                    <a:pos x="16198" y="15918"/>
                  </a:cxn>
                  <a:cxn ang="0">
                    <a:pos x="16310" y="16049"/>
                  </a:cxn>
                  <a:cxn ang="0">
                    <a:pos x="16384" y="16209"/>
                  </a:cxn>
                  <a:cxn ang="0">
                    <a:pos x="16384" y="16384"/>
                  </a:cxn>
                  <a:cxn ang="0">
                    <a:pos x="0" y="16384"/>
                  </a:cxn>
                  <a:cxn ang="0">
                    <a:pos x="0" y="8177"/>
                  </a:cxn>
                  <a:cxn ang="0">
                    <a:pos x="0" y="0"/>
                  </a:cxn>
                  <a:cxn ang="0">
                    <a:pos x="16384" y="0"/>
                  </a:cxn>
                  <a:cxn ang="0">
                    <a:pos x="16384" y="175"/>
                  </a:cxn>
                  <a:cxn ang="0">
                    <a:pos x="16310" y="321"/>
                  </a:cxn>
                  <a:cxn ang="0">
                    <a:pos x="16198" y="452"/>
                  </a:cxn>
                  <a:cxn ang="0">
                    <a:pos x="16086" y="583"/>
                  </a:cxn>
                  <a:cxn ang="0">
                    <a:pos x="15863" y="685"/>
                  </a:cxn>
                  <a:cxn ang="0">
                    <a:pos x="15639" y="729"/>
                  </a:cxn>
                  <a:cxn ang="0">
                    <a:pos x="15267" y="787"/>
                  </a:cxn>
                  <a:cxn ang="0">
                    <a:pos x="14820" y="787"/>
                  </a:cxn>
                  <a:cxn ang="0">
                    <a:pos x="6442" y="787"/>
                  </a:cxn>
                  <a:cxn ang="0">
                    <a:pos x="5958" y="816"/>
                  </a:cxn>
                  <a:cxn ang="0">
                    <a:pos x="5548" y="831"/>
                  </a:cxn>
                  <a:cxn ang="0">
                    <a:pos x="5101" y="845"/>
                  </a:cxn>
                  <a:cxn ang="0">
                    <a:pos x="4729" y="889"/>
                  </a:cxn>
                  <a:cxn ang="0">
                    <a:pos x="4394" y="947"/>
                  </a:cxn>
                  <a:cxn ang="0">
                    <a:pos x="4059" y="991"/>
                  </a:cxn>
                  <a:cxn ang="0">
                    <a:pos x="3724" y="1064"/>
                  </a:cxn>
                  <a:cxn ang="0">
                    <a:pos x="3426" y="1166"/>
                  </a:cxn>
                  <a:cxn ang="0">
                    <a:pos x="3202" y="1254"/>
                  </a:cxn>
                  <a:cxn ang="0">
                    <a:pos x="2979" y="1370"/>
                  </a:cxn>
                  <a:cxn ang="0">
                    <a:pos x="2755" y="1501"/>
                  </a:cxn>
                  <a:cxn ang="0">
                    <a:pos x="2644" y="1647"/>
                  </a:cxn>
                  <a:cxn ang="0">
                    <a:pos x="2532" y="1793"/>
                  </a:cxn>
                  <a:cxn ang="0">
                    <a:pos x="2458" y="1982"/>
                  </a:cxn>
                  <a:cxn ang="0">
                    <a:pos x="2383" y="2172"/>
                  </a:cxn>
                  <a:cxn ang="0">
                    <a:pos x="2346" y="2391"/>
                  </a:cxn>
                  <a:cxn ang="0">
                    <a:pos x="2346" y="8177"/>
                  </a:cxn>
                </a:cxnLst>
                <a:rect l="0" t="0" r="r" b="b"/>
                <a:pathLst>
                  <a:path w="16384" h="16384">
                    <a:moveTo>
                      <a:pt x="2346" y="8177"/>
                    </a:moveTo>
                    <a:lnTo>
                      <a:pt x="2346" y="14285"/>
                    </a:lnTo>
                    <a:lnTo>
                      <a:pt x="2383" y="14431"/>
                    </a:lnTo>
                    <a:lnTo>
                      <a:pt x="2458" y="14591"/>
                    </a:lnTo>
                    <a:lnTo>
                      <a:pt x="2532" y="14737"/>
                    </a:lnTo>
                    <a:lnTo>
                      <a:pt x="2681" y="14868"/>
                    </a:lnTo>
                    <a:lnTo>
                      <a:pt x="2867" y="14985"/>
                    </a:lnTo>
                    <a:lnTo>
                      <a:pt x="3091" y="15072"/>
                    </a:lnTo>
                    <a:lnTo>
                      <a:pt x="3351" y="15160"/>
                    </a:lnTo>
                    <a:lnTo>
                      <a:pt x="3575" y="15262"/>
                    </a:lnTo>
                    <a:lnTo>
                      <a:pt x="3910" y="15320"/>
                    </a:lnTo>
                    <a:lnTo>
                      <a:pt x="4208" y="15393"/>
                    </a:lnTo>
                    <a:lnTo>
                      <a:pt x="4543" y="15451"/>
                    </a:lnTo>
                    <a:lnTo>
                      <a:pt x="4915" y="15480"/>
                    </a:lnTo>
                    <a:lnTo>
                      <a:pt x="5697" y="15539"/>
                    </a:lnTo>
                    <a:lnTo>
                      <a:pt x="6442" y="15553"/>
                    </a:lnTo>
                    <a:lnTo>
                      <a:pt x="14820" y="15553"/>
                    </a:lnTo>
                    <a:lnTo>
                      <a:pt x="15267" y="15582"/>
                    </a:lnTo>
                    <a:lnTo>
                      <a:pt x="15639" y="15611"/>
                    </a:lnTo>
                    <a:lnTo>
                      <a:pt x="15863" y="15684"/>
                    </a:lnTo>
                    <a:lnTo>
                      <a:pt x="16086" y="15801"/>
                    </a:lnTo>
                    <a:lnTo>
                      <a:pt x="16198" y="15918"/>
                    </a:lnTo>
                    <a:lnTo>
                      <a:pt x="16310" y="16049"/>
                    </a:lnTo>
                    <a:lnTo>
                      <a:pt x="16384" y="16209"/>
                    </a:lnTo>
                    <a:lnTo>
                      <a:pt x="16384" y="16384"/>
                    </a:lnTo>
                    <a:lnTo>
                      <a:pt x="0" y="16384"/>
                    </a:lnTo>
                    <a:lnTo>
                      <a:pt x="0" y="8177"/>
                    </a:lnTo>
                    <a:lnTo>
                      <a:pt x="0" y="0"/>
                    </a:lnTo>
                    <a:lnTo>
                      <a:pt x="16384" y="0"/>
                    </a:lnTo>
                    <a:lnTo>
                      <a:pt x="16384" y="175"/>
                    </a:lnTo>
                    <a:lnTo>
                      <a:pt x="16310" y="321"/>
                    </a:lnTo>
                    <a:lnTo>
                      <a:pt x="16198" y="452"/>
                    </a:lnTo>
                    <a:lnTo>
                      <a:pt x="16086" y="583"/>
                    </a:lnTo>
                    <a:lnTo>
                      <a:pt x="15863" y="685"/>
                    </a:lnTo>
                    <a:lnTo>
                      <a:pt x="15639" y="729"/>
                    </a:lnTo>
                    <a:lnTo>
                      <a:pt x="15267" y="787"/>
                    </a:lnTo>
                    <a:lnTo>
                      <a:pt x="14820" y="787"/>
                    </a:lnTo>
                    <a:lnTo>
                      <a:pt x="6442" y="787"/>
                    </a:lnTo>
                    <a:lnTo>
                      <a:pt x="5958" y="816"/>
                    </a:lnTo>
                    <a:lnTo>
                      <a:pt x="5548" y="831"/>
                    </a:lnTo>
                    <a:lnTo>
                      <a:pt x="5101" y="845"/>
                    </a:lnTo>
                    <a:lnTo>
                      <a:pt x="4729" y="889"/>
                    </a:lnTo>
                    <a:lnTo>
                      <a:pt x="4394" y="947"/>
                    </a:lnTo>
                    <a:lnTo>
                      <a:pt x="4059" y="991"/>
                    </a:lnTo>
                    <a:lnTo>
                      <a:pt x="3724" y="1064"/>
                    </a:lnTo>
                    <a:lnTo>
                      <a:pt x="3426" y="1166"/>
                    </a:lnTo>
                    <a:lnTo>
                      <a:pt x="3202" y="1254"/>
                    </a:lnTo>
                    <a:lnTo>
                      <a:pt x="2979" y="1370"/>
                    </a:lnTo>
                    <a:lnTo>
                      <a:pt x="2755" y="1501"/>
                    </a:lnTo>
                    <a:lnTo>
                      <a:pt x="2644" y="1647"/>
                    </a:lnTo>
                    <a:lnTo>
                      <a:pt x="2532" y="1793"/>
                    </a:lnTo>
                    <a:lnTo>
                      <a:pt x="2458" y="1982"/>
                    </a:lnTo>
                    <a:lnTo>
                      <a:pt x="2383" y="2172"/>
                    </a:lnTo>
                    <a:lnTo>
                      <a:pt x="2346" y="2391"/>
                    </a:lnTo>
                    <a:lnTo>
                      <a:pt x="2346" y="8177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17" name="Объект 1369">
                <a:extLst>
                  <a:ext uri="{FF2B5EF4-FFF2-40B4-BE49-F238E27FC236}">
                    <a16:creationId xmlns:a16="http://schemas.microsoft.com/office/drawing/2014/main" id="{00000000-0008-0000-0700-000019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00000" y="840000"/>
                <a:ext cx="1200000" cy="2520000"/>
              </a:xfrm>
              <a:custGeom>
                <a:avLst/>
                <a:gdLst/>
                <a:ahLst/>
                <a:cxnLst>
                  <a:cxn ang="0">
                    <a:pos x="2346" y="8177"/>
                  </a:cxn>
                  <a:cxn ang="0">
                    <a:pos x="2346" y="14285"/>
                  </a:cxn>
                  <a:cxn ang="0">
                    <a:pos x="2383" y="14431"/>
                  </a:cxn>
                  <a:cxn ang="0">
                    <a:pos x="2458" y="14591"/>
                  </a:cxn>
                  <a:cxn ang="0">
                    <a:pos x="2532" y="14737"/>
                  </a:cxn>
                  <a:cxn ang="0">
                    <a:pos x="2681" y="14868"/>
                  </a:cxn>
                  <a:cxn ang="0">
                    <a:pos x="2867" y="14985"/>
                  </a:cxn>
                  <a:cxn ang="0">
                    <a:pos x="3091" y="15072"/>
                  </a:cxn>
                  <a:cxn ang="0">
                    <a:pos x="3351" y="15160"/>
                  </a:cxn>
                  <a:cxn ang="0">
                    <a:pos x="3575" y="15262"/>
                  </a:cxn>
                  <a:cxn ang="0">
                    <a:pos x="3910" y="15320"/>
                  </a:cxn>
                  <a:cxn ang="0">
                    <a:pos x="4208" y="15393"/>
                  </a:cxn>
                  <a:cxn ang="0">
                    <a:pos x="4543" y="15451"/>
                  </a:cxn>
                  <a:cxn ang="0">
                    <a:pos x="4915" y="15480"/>
                  </a:cxn>
                  <a:cxn ang="0">
                    <a:pos x="5697" y="15539"/>
                  </a:cxn>
                  <a:cxn ang="0">
                    <a:pos x="6442" y="15553"/>
                  </a:cxn>
                  <a:cxn ang="0">
                    <a:pos x="14820" y="15553"/>
                  </a:cxn>
                  <a:cxn ang="0">
                    <a:pos x="15267" y="15582"/>
                  </a:cxn>
                  <a:cxn ang="0">
                    <a:pos x="15639" y="15611"/>
                  </a:cxn>
                  <a:cxn ang="0">
                    <a:pos x="15863" y="15684"/>
                  </a:cxn>
                  <a:cxn ang="0">
                    <a:pos x="16086" y="15801"/>
                  </a:cxn>
                  <a:cxn ang="0">
                    <a:pos x="16198" y="15918"/>
                  </a:cxn>
                  <a:cxn ang="0">
                    <a:pos x="16310" y="16049"/>
                  </a:cxn>
                  <a:cxn ang="0">
                    <a:pos x="16384" y="16209"/>
                  </a:cxn>
                  <a:cxn ang="0">
                    <a:pos x="16384" y="16384"/>
                  </a:cxn>
                  <a:cxn ang="0">
                    <a:pos x="0" y="16384"/>
                  </a:cxn>
                  <a:cxn ang="0">
                    <a:pos x="0" y="8177"/>
                  </a:cxn>
                  <a:cxn ang="0">
                    <a:pos x="0" y="0"/>
                  </a:cxn>
                  <a:cxn ang="0">
                    <a:pos x="16384" y="0"/>
                  </a:cxn>
                  <a:cxn ang="0">
                    <a:pos x="16384" y="175"/>
                  </a:cxn>
                  <a:cxn ang="0">
                    <a:pos x="16310" y="321"/>
                  </a:cxn>
                  <a:cxn ang="0">
                    <a:pos x="16198" y="452"/>
                  </a:cxn>
                  <a:cxn ang="0">
                    <a:pos x="16086" y="583"/>
                  </a:cxn>
                  <a:cxn ang="0">
                    <a:pos x="15863" y="685"/>
                  </a:cxn>
                  <a:cxn ang="0">
                    <a:pos x="15639" y="729"/>
                  </a:cxn>
                  <a:cxn ang="0">
                    <a:pos x="15267" y="787"/>
                  </a:cxn>
                  <a:cxn ang="0">
                    <a:pos x="14820" y="787"/>
                  </a:cxn>
                  <a:cxn ang="0">
                    <a:pos x="6442" y="787"/>
                  </a:cxn>
                  <a:cxn ang="0">
                    <a:pos x="5958" y="816"/>
                  </a:cxn>
                  <a:cxn ang="0">
                    <a:pos x="5548" y="831"/>
                  </a:cxn>
                  <a:cxn ang="0">
                    <a:pos x="5101" y="845"/>
                  </a:cxn>
                  <a:cxn ang="0">
                    <a:pos x="4729" y="889"/>
                  </a:cxn>
                  <a:cxn ang="0">
                    <a:pos x="4394" y="947"/>
                  </a:cxn>
                  <a:cxn ang="0">
                    <a:pos x="4059" y="991"/>
                  </a:cxn>
                  <a:cxn ang="0">
                    <a:pos x="3724" y="1064"/>
                  </a:cxn>
                  <a:cxn ang="0">
                    <a:pos x="3426" y="1166"/>
                  </a:cxn>
                  <a:cxn ang="0">
                    <a:pos x="3202" y="1254"/>
                  </a:cxn>
                  <a:cxn ang="0">
                    <a:pos x="2979" y="1370"/>
                  </a:cxn>
                  <a:cxn ang="0">
                    <a:pos x="2755" y="1501"/>
                  </a:cxn>
                  <a:cxn ang="0">
                    <a:pos x="2644" y="1647"/>
                  </a:cxn>
                  <a:cxn ang="0">
                    <a:pos x="2532" y="1793"/>
                  </a:cxn>
                  <a:cxn ang="0">
                    <a:pos x="2458" y="1982"/>
                  </a:cxn>
                  <a:cxn ang="0">
                    <a:pos x="2383" y="2172"/>
                  </a:cxn>
                  <a:cxn ang="0">
                    <a:pos x="2346" y="2391"/>
                  </a:cxn>
                  <a:cxn ang="0">
                    <a:pos x="2346" y="8177"/>
                  </a:cxn>
                </a:cxnLst>
                <a:rect l="0" t="0" r="r" b="b"/>
                <a:pathLst>
                  <a:path w="16384" h="16384">
                    <a:moveTo>
                      <a:pt x="2346" y="8177"/>
                    </a:moveTo>
                    <a:lnTo>
                      <a:pt x="2346" y="14285"/>
                    </a:lnTo>
                    <a:lnTo>
                      <a:pt x="2383" y="14431"/>
                    </a:lnTo>
                    <a:lnTo>
                      <a:pt x="2458" y="14591"/>
                    </a:lnTo>
                    <a:lnTo>
                      <a:pt x="2532" y="14737"/>
                    </a:lnTo>
                    <a:lnTo>
                      <a:pt x="2681" y="14868"/>
                    </a:lnTo>
                    <a:lnTo>
                      <a:pt x="2867" y="14985"/>
                    </a:lnTo>
                    <a:lnTo>
                      <a:pt x="3091" y="15072"/>
                    </a:lnTo>
                    <a:lnTo>
                      <a:pt x="3351" y="15160"/>
                    </a:lnTo>
                    <a:lnTo>
                      <a:pt x="3575" y="15262"/>
                    </a:lnTo>
                    <a:lnTo>
                      <a:pt x="3910" y="15320"/>
                    </a:lnTo>
                    <a:lnTo>
                      <a:pt x="4208" y="15393"/>
                    </a:lnTo>
                    <a:lnTo>
                      <a:pt x="4543" y="15451"/>
                    </a:lnTo>
                    <a:lnTo>
                      <a:pt x="4915" y="15480"/>
                    </a:lnTo>
                    <a:lnTo>
                      <a:pt x="5697" y="15539"/>
                    </a:lnTo>
                    <a:lnTo>
                      <a:pt x="6442" y="15553"/>
                    </a:lnTo>
                    <a:lnTo>
                      <a:pt x="14820" y="15553"/>
                    </a:lnTo>
                    <a:lnTo>
                      <a:pt x="15267" y="15582"/>
                    </a:lnTo>
                    <a:lnTo>
                      <a:pt x="15639" y="15611"/>
                    </a:lnTo>
                    <a:lnTo>
                      <a:pt x="15863" y="15684"/>
                    </a:lnTo>
                    <a:lnTo>
                      <a:pt x="16086" y="15801"/>
                    </a:lnTo>
                    <a:lnTo>
                      <a:pt x="16198" y="15918"/>
                    </a:lnTo>
                    <a:lnTo>
                      <a:pt x="16310" y="16049"/>
                    </a:lnTo>
                    <a:lnTo>
                      <a:pt x="16384" y="16209"/>
                    </a:lnTo>
                    <a:lnTo>
                      <a:pt x="16384" y="16384"/>
                    </a:lnTo>
                    <a:lnTo>
                      <a:pt x="0" y="16384"/>
                    </a:lnTo>
                    <a:lnTo>
                      <a:pt x="0" y="8177"/>
                    </a:lnTo>
                    <a:lnTo>
                      <a:pt x="0" y="0"/>
                    </a:lnTo>
                    <a:lnTo>
                      <a:pt x="16384" y="0"/>
                    </a:lnTo>
                    <a:lnTo>
                      <a:pt x="16384" y="175"/>
                    </a:lnTo>
                    <a:lnTo>
                      <a:pt x="16310" y="321"/>
                    </a:lnTo>
                    <a:lnTo>
                      <a:pt x="16198" y="452"/>
                    </a:lnTo>
                    <a:lnTo>
                      <a:pt x="16086" y="583"/>
                    </a:lnTo>
                    <a:lnTo>
                      <a:pt x="15863" y="685"/>
                    </a:lnTo>
                    <a:lnTo>
                      <a:pt x="15639" y="729"/>
                    </a:lnTo>
                    <a:lnTo>
                      <a:pt x="15267" y="787"/>
                    </a:lnTo>
                    <a:lnTo>
                      <a:pt x="14820" y="787"/>
                    </a:lnTo>
                    <a:lnTo>
                      <a:pt x="6442" y="787"/>
                    </a:lnTo>
                    <a:lnTo>
                      <a:pt x="5958" y="816"/>
                    </a:lnTo>
                    <a:lnTo>
                      <a:pt x="5548" y="831"/>
                    </a:lnTo>
                    <a:lnTo>
                      <a:pt x="5101" y="845"/>
                    </a:lnTo>
                    <a:lnTo>
                      <a:pt x="4729" y="889"/>
                    </a:lnTo>
                    <a:lnTo>
                      <a:pt x="4394" y="947"/>
                    </a:lnTo>
                    <a:lnTo>
                      <a:pt x="4059" y="991"/>
                    </a:lnTo>
                    <a:lnTo>
                      <a:pt x="3724" y="1064"/>
                    </a:lnTo>
                    <a:lnTo>
                      <a:pt x="3426" y="1166"/>
                    </a:lnTo>
                    <a:lnTo>
                      <a:pt x="3202" y="1254"/>
                    </a:lnTo>
                    <a:lnTo>
                      <a:pt x="2979" y="1370"/>
                    </a:lnTo>
                    <a:lnTo>
                      <a:pt x="2755" y="1501"/>
                    </a:lnTo>
                    <a:lnTo>
                      <a:pt x="2644" y="1647"/>
                    </a:lnTo>
                    <a:lnTo>
                      <a:pt x="2532" y="1793"/>
                    </a:lnTo>
                    <a:lnTo>
                      <a:pt x="2458" y="1982"/>
                    </a:lnTo>
                    <a:lnTo>
                      <a:pt x="2383" y="2172"/>
                    </a:lnTo>
                    <a:lnTo>
                      <a:pt x="2346" y="2391"/>
                    </a:lnTo>
                    <a:lnTo>
                      <a:pt x="2346" y="8177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18" name="Объект 1370">
                <a:extLst>
                  <a:ext uri="{FF2B5EF4-FFF2-40B4-BE49-F238E27FC236}">
                    <a16:creationId xmlns:a16="http://schemas.microsoft.com/office/drawing/2014/main" id="{00000000-0008-0000-0700-00001A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0000" y="3360000"/>
                <a:ext cx="62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19" name="Объект 1371">
                <a:extLst>
                  <a:ext uri="{FF2B5EF4-FFF2-40B4-BE49-F238E27FC236}">
                    <a16:creationId xmlns:a16="http://schemas.microsoft.com/office/drawing/2014/main" id="{00000000-0008-0000-0700-00001B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0000" y="880000"/>
                <a:ext cx="20000" cy="24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11"/>
                  </a:cxn>
                  <a:cxn ang="0">
                    <a:pos x="0" y="9470"/>
                  </a:cxn>
                  <a:cxn ang="0">
                    <a:pos x="0" y="12371"/>
                  </a:cxn>
                  <a:cxn ang="0">
                    <a:pos x="0" y="14340"/>
                  </a:cxn>
                  <a:cxn ang="0">
                    <a:pos x="0" y="15512"/>
                  </a:cxn>
                  <a:cxn ang="0">
                    <a:pos x="0" y="16128"/>
                  </a:cxn>
                  <a:cxn ang="0">
                    <a:pos x="0" y="1635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11"/>
                    </a:lnTo>
                    <a:lnTo>
                      <a:pt x="0" y="9470"/>
                    </a:lnTo>
                    <a:lnTo>
                      <a:pt x="0" y="12371"/>
                    </a:lnTo>
                    <a:lnTo>
                      <a:pt x="0" y="14340"/>
                    </a:lnTo>
                    <a:lnTo>
                      <a:pt x="0" y="15512"/>
                    </a:lnTo>
                    <a:lnTo>
                      <a:pt x="0" y="16128"/>
                    </a:lnTo>
                    <a:lnTo>
                      <a:pt x="0" y="1635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20" name="Объект 1372">
                <a:extLst>
                  <a:ext uri="{FF2B5EF4-FFF2-40B4-BE49-F238E27FC236}">
                    <a16:creationId xmlns:a16="http://schemas.microsoft.com/office/drawing/2014/main" id="{00000000-0008-0000-0700-00001C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80000" y="840000"/>
                <a:ext cx="80000" cy="100000"/>
              </a:xfrm>
              <a:custGeom>
                <a:avLst/>
                <a:gdLst/>
                <a:ahLst/>
                <a:cxnLst>
                  <a:cxn ang="0">
                    <a:pos x="8192" y="0"/>
                  </a:cxn>
                  <a:cxn ang="0">
                    <a:pos x="16384" y="16384"/>
                  </a:cxn>
                  <a:cxn ang="0">
                    <a:pos x="15360" y="15941"/>
                  </a:cxn>
                  <a:cxn ang="0">
                    <a:pos x="14848" y="15941"/>
                  </a:cxn>
                  <a:cxn ang="0">
                    <a:pos x="14336" y="15941"/>
                  </a:cxn>
                  <a:cxn ang="0">
                    <a:pos x="13824" y="15498"/>
                  </a:cxn>
                  <a:cxn ang="0">
                    <a:pos x="12800" y="15498"/>
                  </a:cxn>
                  <a:cxn ang="0">
                    <a:pos x="12288" y="15498"/>
                  </a:cxn>
                  <a:cxn ang="0">
                    <a:pos x="11776" y="14613"/>
                  </a:cxn>
                  <a:cxn ang="0">
                    <a:pos x="10752" y="14613"/>
                  </a:cxn>
                  <a:cxn ang="0">
                    <a:pos x="10240" y="14613"/>
                  </a:cxn>
                  <a:cxn ang="0">
                    <a:pos x="9728" y="14613"/>
                  </a:cxn>
                  <a:cxn ang="0">
                    <a:pos x="9216" y="14613"/>
                  </a:cxn>
                  <a:cxn ang="0">
                    <a:pos x="8192" y="14613"/>
                  </a:cxn>
                  <a:cxn ang="0">
                    <a:pos x="7680" y="14613"/>
                  </a:cxn>
                  <a:cxn ang="0">
                    <a:pos x="7168" y="14613"/>
                  </a:cxn>
                  <a:cxn ang="0">
                    <a:pos x="6144" y="14613"/>
                  </a:cxn>
                  <a:cxn ang="0">
                    <a:pos x="5632" y="14613"/>
                  </a:cxn>
                  <a:cxn ang="0">
                    <a:pos x="5120" y="14613"/>
                  </a:cxn>
                  <a:cxn ang="0">
                    <a:pos x="4608" y="14613"/>
                  </a:cxn>
                  <a:cxn ang="0">
                    <a:pos x="3584" y="15498"/>
                  </a:cxn>
                  <a:cxn ang="0">
                    <a:pos x="3072" y="15498"/>
                  </a:cxn>
                  <a:cxn ang="0">
                    <a:pos x="2560" y="15498"/>
                  </a:cxn>
                  <a:cxn ang="0">
                    <a:pos x="2048" y="15941"/>
                  </a:cxn>
                  <a:cxn ang="0">
                    <a:pos x="1024" y="15941"/>
                  </a:cxn>
                  <a:cxn ang="0">
                    <a:pos x="512" y="16384"/>
                  </a:cxn>
                  <a:cxn ang="0">
                    <a:pos x="0" y="16384"/>
                  </a:cxn>
                  <a:cxn ang="0">
                    <a:pos x="8192" y="0"/>
                  </a:cxn>
                </a:cxnLst>
                <a:rect l="0" t="0" r="r" b="b"/>
                <a:pathLst>
                  <a:path w="16384" h="16384">
                    <a:moveTo>
                      <a:pt x="8192" y="0"/>
                    </a:moveTo>
                    <a:lnTo>
                      <a:pt x="16384" y="16384"/>
                    </a:lnTo>
                    <a:lnTo>
                      <a:pt x="15360" y="15941"/>
                    </a:lnTo>
                    <a:lnTo>
                      <a:pt x="14848" y="15941"/>
                    </a:lnTo>
                    <a:lnTo>
                      <a:pt x="14336" y="15941"/>
                    </a:lnTo>
                    <a:lnTo>
                      <a:pt x="13824" y="15498"/>
                    </a:lnTo>
                    <a:lnTo>
                      <a:pt x="12800" y="15498"/>
                    </a:lnTo>
                    <a:lnTo>
                      <a:pt x="12288" y="15498"/>
                    </a:lnTo>
                    <a:lnTo>
                      <a:pt x="11776" y="14613"/>
                    </a:lnTo>
                    <a:lnTo>
                      <a:pt x="10752" y="14613"/>
                    </a:lnTo>
                    <a:lnTo>
                      <a:pt x="10240" y="14613"/>
                    </a:lnTo>
                    <a:lnTo>
                      <a:pt x="9728" y="14613"/>
                    </a:lnTo>
                    <a:lnTo>
                      <a:pt x="9216" y="14613"/>
                    </a:lnTo>
                    <a:lnTo>
                      <a:pt x="8192" y="14613"/>
                    </a:lnTo>
                    <a:lnTo>
                      <a:pt x="7680" y="14613"/>
                    </a:lnTo>
                    <a:lnTo>
                      <a:pt x="7168" y="14613"/>
                    </a:lnTo>
                    <a:lnTo>
                      <a:pt x="6144" y="14613"/>
                    </a:lnTo>
                    <a:lnTo>
                      <a:pt x="5632" y="14613"/>
                    </a:lnTo>
                    <a:lnTo>
                      <a:pt x="5120" y="14613"/>
                    </a:lnTo>
                    <a:lnTo>
                      <a:pt x="4608" y="14613"/>
                    </a:lnTo>
                    <a:lnTo>
                      <a:pt x="3584" y="15498"/>
                    </a:lnTo>
                    <a:lnTo>
                      <a:pt x="3072" y="15498"/>
                    </a:lnTo>
                    <a:lnTo>
                      <a:pt x="2560" y="15498"/>
                    </a:lnTo>
                    <a:lnTo>
                      <a:pt x="2048" y="15941"/>
                    </a:lnTo>
                    <a:lnTo>
                      <a:pt x="1024" y="15941"/>
                    </a:lnTo>
                    <a:lnTo>
                      <a:pt x="512" y="16384"/>
                    </a:lnTo>
                    <a:lnTo>
                      <a:pt x="0" y="16384"/>
                    </a:lnTo>
                    <a:lnTo>
                      <a:pt x="8192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21" name="Объект 1373">
                <a:extLst>
                  <a:ext uri="{FF2B5EF4-FFF2-40B4-BE49-F238E27FC236}">
                    <a16:creationId xmlns:a16="http://schemas.microsoft.com/office/drawing/2014/main" id="{00000000-0008-0000-0700-00001D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80000" y="3260000"/>
                <a:ext cx="80000" cy="100000"/>
              </a:xfrm>
              <a:custGeom>
                <a:avLst/>
                <a:gdLst/>
                <a:ahLst/>
                <a:cxnLst>
                  <a:cxn ang="0">
                    <a:pos x="8192" y="16384"/>
                  </a:cxn>
                  <a:cxn ang="0">
                    <a:pos x="16384" y="0"/>
                  </a:cxn>
                  <a:cxn ang="0">
                    <a:pos x="15360" y="0"/>
                  </a:cxn>
                  <a:cxn ang="0">
                    <a:pos x="14848" y="443"/>
                  </a:cxn>
                  <a:cxn ang="0">
                    <a:pos x="14336" y="443"/>
                  </a:cxn>
                  <a:cxn ang="0">
                    <a:pos x="13824" y="443"/>
                  </a:cxn>
                  <a:cxn ang="0">
                    <a:pos x="13824" y="886"/>
                  </a:cxn>
                  <a:cxn ang="0">
                    <a:pos x="12800" y="886"/>
                  </a:cxn>
                  <a:cxn ang="0">
                    <a:pos x="12288" y="886"/>
                  </a:cxn>
                  <a:cxn ang="0">
                    <a:pos x="11776" y="886"/>
                  </a:cxn>
                  <a:cxn ang="0">
                    <a:pos x="10752" y="886"/>
                  </a:cxn>
                  <a:cxn ang="0">
                    <a:pos x="10240" y="1771"/>
                  </a:cxn>
                  <a:cxn ang="0">
                    <a:pos x="9728" y="1771"/>
                  </a:cxn>
                  <a:cxn ang="0">
                    <a:pos x="9216" y="1771"/>
                  </a:cxn>
                  <a:cxn ang="0">
                    <a:pos x="8192" y="1771"/>
                  </a:cxn>
                  <a:cxn ang="0">
                    <a:pos x="7680" y="1771"/>
                  </a:cxn>
                  <a:cxn ang="0">
                    <a:pos x="7168" y="1771"/>
                  </a:cxn>
                  <a:cxn ang="0">
                    <a:pos x="6144" y="1771"/>
                  </a:cxn>
                  <a:cxn ang="0">
                    <a:pos x="5632" y="886"/>
                  </a:cxn>
                  <a:cxn ang="0">
                    <a:pos x="5120" y="886"/>
                  </a:cxn>
                  <a:cxn ang="0">
                    <a:pos x="4608" y="886"/>
                  </a:cxn>
                  <a:cxn ang="0">
                    <a:pos x="3584" y="886"/>
                  </a:cxn>
                  <a:cxn ang="0">
                    <a:pos x="3072" y="886"/>
                  </a:cxn>
                  <a:cxn ang="0">
                    <a:pos x="2560" y="443"/>
                  </a:cxn>
                  <a:cxn ang="0">
                    <a:pos x="2048" y="443"/>
                  </a:cxn>
                  <a:cxn ang="0">
                    <a:pos x="1024" y="443"/>
                  </a:cxn>
                  <a:cxn ang="0">
                    <a:pos x="1024" y="0"/>
                  </a:cxn>
                  <a:cxn ang="0">
                    <a:pos x="512" y="0"/>
                  </a:cxn>
                  <a:cxn ang="0">
                    <a:pos x="0" y="0"/>
                  </a:cxn>
                  <a:cxn ang="0">
                    <a:pos x="8192" y="16384"/>
                  </a:cxn>
                </a:cxnLst>
                <a:rect l="0" t="0" r="r" b="b"/>
                <a:pathLst>
                  <a:path w="16384" h="16384">
                    <a:moveTo>
                      <a:pt x="8192" y="16384"/>
                    </a:moveTo>
                    <a:lnTo>
                      <a:pt x="16384" y="0"/>
                    </a:lnTo>
                    <a:lnTo>
                      <a:pt x="15360" y="0"/>
                    </a:lnTo>
                    <a:lnTo>
                      <a:pt x="14848" y="443"/>
                    </a:lnTo>
                    <a:lnTo>
                      <a:pt x="14336" y="443"/>
                    </a:lnTo>
                    <a:lnTo>
                      <a:pt x="13824" y="443"/>
                    </a:lnTo>
                    <a:lnTo>
                      <a:pt x="13824" y="886"/>
                    </a:lnTo>
                    <a:lnTo>
                      <a:pt x="12800" y="886"/>
                    </a:lnTo>
                    <a:lnTo>
                      <a:pt x="12288" y="886"/>
                    </a:lnTo>
                    <a:lnTo>
                      <a:pt x="11776" y="886"/>
                    </a:lnTo>
                    <a:lnTo>
                      <a:pt x="10752" y="886"/>
                    </a:lnTo>
                    <a:lnTo>
                      <a:pt x="10240" y="1771"/>
                    </a:lnTo>
                    <a:lnTo>
                      <a:pt x="9728" y="1771"/>
                    </a:lnTo>
                    <a:lnTo>
                      <a:pt x="9216" y="1771"/>
                    </a:lnTo>
                    <a:lnTo>
                      <a:pt x="8192" y="1771"/>
                    </a:lnTo>
                    <a:lnTo>
                      <a:pt x="7680" y="1771"/>
                    </a:lnTo>
                    <a:lnTo>
                      <a:pt x="7168" y="1771"/>
                    </a:lnTo>
                    <a:lnTo>
                      <a:pt x="6144" y="1771"/>
                    </a:lnTo>
                    <a:lnTo>
                      <a:pt x="5632" y="886"/>
                    </a:lnTo>
                    <a:lnTo>
                      <a:pt x="5120" y="886"/>
                    </a:lnTo>
                    <a:lnTo>
                      <a:pt x="4608" y="886"/>
                    </a:lnTo>
                    <a:lnTo>
                      <a:pt x="3584" y="886"/>
                    </a:lnTo>
                    <a:lnTo>
                      <a:pt x="3072" y="886"/>
                    </a:lnTo>
                    <a:lnTo>
                      <a:pt x="2560" y="443"/>
                    </a:lnTo>
                    <a:lnTo>
                      <a:pt x="2048" y="443"/>
                    </a:lnTo>
                    <a:lnTo>
                      <a:pt x="1024" y="443"/>
                    </a:lnTo>
                    <a:lnTo>
                      <a:pt x="1024" y="0"/>
                    </a:lnTo>
                    <a:lnTo>
                      <a:pt x="512" y="0"/>
                    </a:lnTo>
                    <a:lnTo>
                      <a:pt x="0" y="0"/>
                    </a:lnTo>
                    <a:lnTo>
                      <a:pt x="8192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22" name="Текст 1375">
                <a:extLst>
                  <a:ext uri="{FF2B5EF4-FFF2-40B4-BE49-F238E27FC236}">
                    <a16:creationId xmlns:a16="http://schemas.microsoft.com/office/drawing/2014/main" id="{00000000-0008-0000-0700-00001E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460000" y="180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8223" name="Объект 1376">
                <a:extLst>
                  <a:ext uri="{FF2B5EF4-FFF2-40B4-BE49-F238E27FC236}">
                    <a16:creationId xmlns:a16="http://schemas.microsoft.com/office/drawing/2014/main" id="{00000000-0008-0000-0700-00001F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00000" y="3360000"/>
                <a:ext cx="20000" cy="4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16"/>
                  </a:cxn>
                  <a:cxn ang="0">
                    <a:pos x="0" y="9412"/>
                  </a:cxn>
                  <a:cxn ang="0">
                    <a:pos x="0" y="12375"/>
                  </a:cxn>
                  <a:cxn ang="0">
                    <a:pos x="0" y="14380"/>
                  </a:cxn>
                  <a:cxn ang="0">
                    <a:pos x="0" y="15600"/>
                  </a:cxn>
                  <a:cxn ang="0">
                    <a:pos x="0" y="16123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16"/>
                    </a:lnTo>
                    <a:lnTo>
                      <a:pt x="0" y="9412"/>
                    </a:lnTo>
                    <a:lnTo>
                      <a:pt x="0" y="12375"/>
                    </a:lnTo>
                    <a:lnTo>
                      <a:pt x="0" y="14380"/>
                    </a:lnTo>
                    <a:lnTo>
                      <a:pt x="0" y="15600"/>
                    </a:lnTo>
                    <a:lnTo>
                      <a:pt x="0" y="16123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24" name="Объект 1377">
                <a:extLst>
                  <a:ext uri="{FF2B5EF4-FFF2-40B4-BE49-F238E27FC236}">
                    <a16:creationId xmlns:a16="http://schemas.microsoft.com/office/drawing/2014/main" id="{00000000-0008-0000-0700-000020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60000" y="3680000"/>
                <a:ext cx="110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07" y="0"/>
                  </a:cxn>
                  <a:cxn ang="0">
                    <a:pos x="9462" y="0"/>
                  </a:cxn>
                  <a:cxn ang="0">
                    <a:pos x="12411" y="0"/>
                  </a:cxn>
                  <a:cxn ang="0">
                    <a:pos x="14336" y="0"/>
                  </a:cxn>
                  <a:cxn ang="0">
                    <a:pos x="15565" y="0"/>
                  </a:cxn>
                  <a:cxn ang="0">
                    <a:pos x="16138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07" y="0"/>
                    </a:lnTo>
                    <a:lnTo>
                      <a:pt x="9462" y="0"/>
                    </a:lnTo>
                    <a:lnTo>
                      <a:pt x="12411" y="0"/>
                    </a:lnTo>
                    <a:lnTo>
                      <a:pt x="14336" y="0"/>
                    </a:lnTo>
                    <a:lnTo>
                      <a:pt x="15565" y="0"/>
                    </a:lnTo>
                    <a:lnTo>
                      <a:pt x="16138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25" name="Объект 1378">
                <a:extLst>
                  <a:ext uri="{FF2B5EF4-FFF2-40B4-BE49-F238E27FC236}">
                    <a16:creationId xmlns:a16="http://schemas.microsoft.com/office/drawing/2014/main" id="{00000000-0008-0000-0700-000021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00000" y="364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7944"/>
                  </a:cxn>
                  <a:cxn ang="0">
                    <a:pos x="16384" y="0"/>
                  </a:cxn>
                  <a:cxn ang="0">
                    <a:pos x="15953" y="496"/>
                  </a:cxn>
                  <a:cxn ang="0">
                    <a:pos x="15953" y="993"/>
                  </a:cxn>
                  <a:cxn ang="0">
                    <a:pos x="15953" y="1986"/>
                  </a:cxn>
                  <a:cxn ang="0">
                    <a:pos x="15091" y="2482"/>
                  </a:cxn>
                  <a:cxn ang="0">
                    <a:pos x="15091" y="2979"/>
                  </a:cxn>
                  <a:cxn ang="0">
                    <a:pos x="15091" y="3475"/>
                  </a:cxn>
                  <a:cxn ang="0">
                    <a:pos x="14659" y="4468"/>
                  </a:cxn>
                  <a:cxn ang="0">
                    <a:pos x="14659" y="4965"/>
                  </a:cxn>
                  <a:cxn ang="0">
                    <a:pos x="14659" y="5461"/>
                  </a:cxn>
                  <a:cxn ang="0">
                    <a:pos x="14659" y="6454"/>
                  </a:cxn>
                  <a:cxn ang="0">
                    <a:pos x="14659" y="6951"/>
                  </a:cxn>
                  <a:cxn ang="0">
                    <a:pos x="14659" y="7447"/>
                  </a:cxn>
                  <a:cxn ang="0">
                    <a:pos x="14659" y="7944"/>
                  </a:cxn>
                  <a:cxn ang="0">
                    <a:pos x="14659" y="8937"/>
                  </a:cxn>
                  <a:cxn ang="0">
                    <a:pos x="14659" y="9433"/>
                  </a:cxn>
                  <a:cxn ang="0">
                    <a:pos x="14659" y="9930"/>
                  </a:cxn>
                  <a:cxn ang="0">
                    <a:pos x="14659" y="10923"/>
                  </a:cxn>
                  <a:cxn ang="0">
                    <a:pos x="14659" y="11419"/>
                  </a:cxn>
                  <a:cxn ang="0">
                    <a:pos x="14659" y="11916"/>
                  </a:cxn>
                  <a:cxn ang="0">
                    <a:pos x="15091" y="12412"/>
                  </a:cxn>
                  <a:cxn ang="0">
                    <a:pos x="15091" y="13405"/>
                  </a:cxn>
                  <a:cxn ang="0">
                    <a:pos x="15091" y="13902"/>
                  </a:cxn>
                  <a:cxn ang="0">
                    <a:pos x="15953" y="14398"/>
                  </a:cxn>
                  <a:cxn ang="0">
                    <a:pos x="15953" y="14895"/>
                  </a:cxn>
                  <a:cxn ang="0">
                    <a:pos x="15953" y="15888"/>
                  </a:cxn>
                  <a:cxn ang="0">
                    <a:pos x="16384" y="16384"/>
                  </a:cxn>
                  <a:cxn ang="0">
                    <a:pos x="0" y="7944"/>
                  </a:cxn>
                </a:cxnLst>
                <a:rect l="0" t="0" r="r" b="b"/>
                <a:pathLst>
                  <a:path w="16384" h="16384">
                    <a:moveTo>
                      <a:pt x="0" y="7944"/>
                    </a:moveTo>
                    <a:lnTo>
                      <a:pt x="16384" y="0"/>
                    </a:lnTo>
                    <a:lnTo>
                      <a:pt x="15953" y="496"/>
                    </a:lnTo>
                    <a:lnTo>
                      <a:pt x="15953" y="993"/>
                    </a:lnTo>
                    <a:lnTo>
                      <a:pt x="15953" y="1986"/>
                    </a:lnTo>
                    <a:lnTo>
                      <a:pt x="15091" y="2482"/>
                    </a:lnTo>
                    <a:lnTo>
                      <a:pt x="15091" y="2979"/>
                    </a:lnTo>
                    <a:lnTo>
                      <a:pt x="15091" y="3475"/>
                    </a:lnTo>
                    <a:lnTo>
                      <a:pt x="14659" y="4468"/>
                    </a:lnTo>
                    <a:lnTo>
                      <a:pt x="14659" y="4965"/>
                    </a:lnTo>
                    <a:lnTo>
                      <a:pt x="14659" y="5461"/>
                    </a:lnTo>
                    <a:lnTo>
                      <a:pt x="14659" y="6454"/>
                    </a:lnTo>
                    <a:lnTo>
                      <a:pt x="14659" y="6951"/>
                    </a:lnTo>
                    <a:lnTo>
                      <a:pt x="14659" y="7447"/>
                    </a:lnTo>
                    <a:lnTo>
                      <a:pt x="14659" y="7944"/>
                    </a:lnTo>
                    <a:lnTo>
                      <a:pt x="14659" y="8937"/>
                    </a:lnTo>
                    <a:lnTo>
                      <a:pt x="14659" y="9433"/>
                    </a:lnTo>
                    <a:lnTo>
                      <a:pt x="14659" y="9930"/>
                    </a:lnTo>
                    <a:lnTo>
                      <a:pt x="14659" y="10923"/>
                    </a:lnTo>
                    <a:lnTo>
                      <a:pt x="14659" y="11419"/>
                    </a:lnTo>
                    <a:lnTo>
                      <a:pt x="14659" y="11916"/>
                    </a:lnTo>
                    <a:lnTo>
                      <a:pt x="15091" y="12412"/>
                    </a:lnTo>
                    <a:lnTo>
                      <a:pt x="15091" y="13405"/>
                    </a:lnTo>
                    <a:lnTo>
                      <a:pt x="15091" y="13902"/>
                    </a:lnTo>
                    <a:lnTo>
                      <a:pt x="15953" y="14398"/>
                    </a:lnTo>
                    <a:lnTo>
                      <a:pt x="15953" y="14895"/>
                    </a:lnTo>
                    <a:lnTo>
                      <a:pt x="15953" y="15888"/>
                    </a:lnTo>
                    <a:lnTo>
                      <a:pt x="16384" y="16384"/>
                    </a:lnTo>
                    <a:lnTo>
                      <a:pt x="0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26" name="Объект 1379">
                <a:extLst>
                  <a:ext uri="{FF2B5EF4-FFF2-40B4-BE49-F238E27FC236}">
                    <a16:creationId xmlns:a16="http://schemas.microsoft.com/office/drawing/2014/main" id="{00000000-0008-0000-0700-000022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20000" y="3640000"/>
                <a:ext cx="80000" cy="80000"/>
              </a:xfrm>
              <a:custGeom>
                <a:avLst/>
                <a:gdLst/>
                <a:ahLst/>
                <a:cxnLst>
                  <a:cxn ang="0">
                    <a:pos x="16384" y="7944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993"/>
                  </a:cxn>
                  <a:cxn ang="0">
                    <a:pos x="886" y="1986"/>
                  </a:cxn>
                  <a:cxn ang="0">
                    <a:pos x="886" y="2482"/>
                  </a:cxn>
                  <a:cxn ang="0">
                    <a:pos x="1328" y="2979"/>
                  </a:cxn>
                  <a:cxn ang="0">
                    <a:pos x="1328" y="3475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461"/>
                  </a:cxn>
                  <a:cxn ang="0">
                    <a:pos x="1771" y="6454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7944"/>
                  </a:cxn>
                  <a:cxn ang="0">
                    <a:pos x="1771" y="8937"/>
                  </a:cxn>
                  <a:cxn ang="0">
                    <a:pos x="1771" y="9433"/>
                  </a:cxn>
                  <a:cxn ang="0">
                    <a:pos x="1771" y="9930"/>
                  </a:cxn>
                  <a:cxn ang="0">
                    <a:pos x="1328" y="10923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412"/>
                  </a:cxn>
                  <a:cxn ang="0">
                    <a:pos x="1328" y="13405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4895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7944"/>
                  </a:cxn>
                </a:cxnLst>
                <a:rect l="0" t="0" r="r" b="b"/>
                <a:pathLst>
                  <a:path w="16384" h="16384">
                    <a:moveTo>
                      <a:pt x="16384" y="7944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993"/>
                    </a:lnTo>
                    <a:lnTo>
                      <a:pt x="886" y="1986"/>
                    </a:lnTo>
                    <a:lnTo>
                      <a:pt x="886" y="2482"/>
                    </a:lnTo>
                    <a:lnTo>
                      <a:pt x="1328" y="2979"/>
                    </a:lnTo>
                    <a:lnTo>
                      <a:pt x="1328" y="3475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461"/>
                    </a:lnTo>
                    <a:lnTo>
                      <a:pt x="1771" y="6454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7944"/>
                    </a:lnTo>
                    <a:lnTo>
                      <a:pt x="1771" y="8937"/>
                    </a:lnTo>
                    <a:lnTo>
                      <a:pt x="1771" y="9433"/>
                    </a:lnTo>
                    <a:lnTo>
                      <a:pt x="1771" y="9930"/>
                    </a:lnTo>
                    <a:lnTo>
                      <a:pt x="1328" y="10923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412"/>
                    </a:lnTo>
                    <a:lnTo>
                      <a:pt x="1328" y="13405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4895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27" name="Текст 1380">
                <a:extLst>
                  <a:ext uri="{FF2B5EF4-FFF2-40B4-BE49-F238E27FC236}">
                    <a16:creationId xmlns:a16="http://schemas.microsoft.com/office/drawing/2014/main" id="{00000000-0008-0000-0700-000023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60000" y="366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8228" name="Текст 1450">
                <a:extLst>
                  <a:ext uri="{FF2B5EF4-FFF2-40B4-BE49-F238E27FC236}">
                    <a16:creationId xmlns:a16="http://schemas.microsoft.com/office/drawing/2014/main" id="{00000000-0008-0000-0700-000024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180000" y="170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8229" name="Текст 1451">
                <a:extLst>
                  <a:ext uri="{FF2B5EF4-FFF2-40B4-BE49-F238E27FC236}">
                    <a16:creationId xmlns:a16="http://schemas.microsoft.com/office/drawing/2014/main" id="{00000000-0008-0000-0700-000025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00000" y="170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8230" name="Объект 1452">
                <a:extLst>
                  <a:ext uri="{FF2B5EF4-FFF2-40B4-BE49-F238E27FC236}">
                    <a16:creationId xmlns:a16="http://schemas.microsoft.com/office/drawing/2014/main" id="{00000000-0008-0000-0700-000026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40000" y="3020000"/>
                <a:ext cx="640000" cy="14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9251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9251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31" name="Объект 1453">
                <a:extLst>
                  <a:ext uri="{FF2B5EF4-FFF2-40B4-BE49-F238E27FC236}">
                    <a16:creationId xmlns:a16="http://schemas.microsoft.com/office/drawing/2014/main" id="{00000000-0008-0000-0700-000027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40000" y="3080000"/>
                <a:ext cx="100000" cy="8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10789" y="0"/>
                  </a:cxn>
                  <a:cxn ang="0">
                    <a:pos x="10789" y="1057"/>
                  </a:cxn>
                  <a:cxn ang="0">
                    <a:pos x="10789" y="1586"/>
                  </a:cxn>
                  <a:cxn ang="0">
                    <a:pos x="10789" y="2114"/>
                  </a:cxn>
                  <a:cxn ang="0">
                    <a:pos x="10789" y="3171"/>
                  </a:cxn>
                  <a:cxn ang="0">
                    <a:pos x="10789" y="3700"/>
                  </a:cxn>
                  <a:cxn ang="0">
                    <a:pos x="10789" y="4228"/>
                  </a:cxn>
                  <a:cxn ang="0">
                    <a:pos x="11589" y="4757"/>
                  </a:cxn>
                  <a:cxn ang="0">
                    <a:pos x="11589" y="5814"/>
                  </a:cxn>
                  <a:cxn ang="0">
                    <a:pos x="11589" y="6342"/>
                  </a:cxn>
                  <a:cxn ang="0">
                    <a:pos x="11589" y="6871"/>
                  </a:cxn>
                  <a:cxn ang="0">
                    <a:pos x="11988" y="7928"/>
                  </a:cxn>
                  <a:cxn ang="0">
                    <a:pos x="11988" y="8456"/>
                  </a:cxn>
                  <a:cxn ang="0">
                    <a:pos x="12388" y="8985"/>
                  </a:cxn>
                  <a:cxn ang="0">
                    <a:pos x="12388" y="9513"/>
                  </a:cxn>
                  <a:cxn ang="0">
                    <a:pos x="12788" y="10570"/>
                  </a:cxn>
                  <a:cxn ang="0">
                    <a:pos x="12788" y="11099"/>
                  </a:cxn>
                  <a:cxn ang="0">
                    <a:pos x="13587" y="11099"/>
                  </a:cxn>
                  <a:cxn ang="0">
                    <a:pos x="13587" y="11627"/>
                  </a:cxn>
                  <a:cxn ang="0">
                    <a:pos x="13587" y="12684"/>
                  </a:cxn>
                  <a:cxn ang="0">
                    <a:pos x="13986" y="12684"/>
                  </a:cxn>
                  <a:cxn ang="0">
                    <a:pos x="13986" y="13213"/>
                  </a:cxn>
                  <a:cxn ang="0">
                    <a:pos x="14386" y="13213"/>
                  </a:cxn>
                  <a:cxn ang="0">
                    <a:pos x="15185" y="13741"/>
                  </a:cxn>
                  <a:cxn ang="0">
                    <a:pos x="15185" y="14270"/>
                  </a:cxn>
                  <a:cxn ang="0">
                    <a:pos x="15585" y="14270"/>
                  </a:cxn>
                  <a:cxn ang="0">
                    <a:pos x="15585" y="15327"/>
                  </a:cxn>
                  <a:cxn ang="0">
                    <a:pos x="15984" y="15327"/>
                  </a:cxn>
                  <a:cxn ang="0">
                    <a:pos x="16384" y="15855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10789" y="0"/>
                    </a:lnTo>
                    <a:lnTo>
                      <a:pt x="10789" y="1057"/>
                    </a:lnTo>
                    <a:lnTo>
                      <a:pt x="10789" y="1586"/>
                    </a:lnTo>
                    <a:lnTo>
                      <a:pt x="10789" y="2114"/>
                    </a:lnTo>
                    <a:lnTo>
                      <a:pt x="10789" y="3171"/>
                    </a:lnTo>
                    <a:lnTo>
                      <a:pt x="10789" y="3700"/>
                    </a:lnTo>
                    <a:lnTo>
                      <a:pt x="10789" y="4228"/>
                    </a:lnTo>
                    <a:lnTo>
                      <a:pt x="11589" y="4757"/>
                    </a:lnTo>
                    <a:lnTo>
                      <a:pt x="11589" y="5814"/>
                    </a:lnTo>
                    <a:lnTo>
                      <a:pt x="11589" y="6342"/>
                    </a:lnTo>
                    <a:lnTo>
                      <a:pt x="11589" y="6871"/>
                    </a:lnTo>
                    <a:lnTo>
                      <a:pt x="11988" y="7928"/>
                    </a:lnTo>
                    <a:lnTo>
                      <a:pt x="11988" y="8456"/>
                    </a:lnTo>
                    <a:lnTo>
                      <a:pt x="12388" y="8985"/>
                    </a:lnTo>
                    <a:lnTo>
                      <a:pt x="12388" y="9513"/>
                    </a:lnTo>
                    <a:lnTo>
                      <a:pt x="12788" y="10570"/>
                    </a:lnTo>
                    <a:lnTo>
                      <a:pt x="12788" y="11099"/>
                    </a:lnTo>
                    <a:lnTo>
                      <a:pt x="13587" y="11099"/>
                    </a:lnTo>
                    <a:lnTo>
                      <a:pt x="13587" y="11627"/>
                    </a:lnTo>
                    <a:lnTo>
                      <a:pt x="13587" y="12684"/>
                    </a:lnTo>
                    <a:lnTo>
                      <a:pt x="13986" y="12684"/>
                    </a:lnTo>
                    <a:lnTo>
                      <a:pt x="13986" y="13213"/>
                    </a:lnTo>
                    <a:lnTo>
                      <a:pt x="14386" y="13213"/>
                    </a:lnTo>
                    <a:lnTo>
                      <a:pt x="15185" y="13741"/>
                    </a:lnTo>
                    <a:lnTo>
                      <a:pt x="15185" y="14270"/>
                    </a:lnTo>
                    <a:lnTo>
                      <a:pt x="15585" y="14270"/>
                    </a:lnTo>
                    <a:lnTo>
                      <a:pt x="15585" y="15327"/>
                    </a:lnTo>
                    <a:lnTo>
                      <a:pt x="15984" y="15327"/>
                    </a:lnTo>
                    <a:lnTo>
                      <a:pt x="16384" y="15855"/>
                    </a:lnTo>
                    <a:lnTo>
                      <a:pt x="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32" name="Текст 1454">
                <a:extLst>
                  <a:ext uri="{FF2B5EF4-FFF2-40B4-BE49-F238E27FC236}">
                    <a16:creationId xmlns:a16="http://schemas.microsoft.com/office/drawing/2014/main" id="{00000000-0008-0000-0700-000028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60000" y="2660000"/>
                <a:ext cx="42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8233" name="Объект 1455">
                <a:extLst>
                  <a:ext uri="{FF2B5EF4-FFF2-40B4-BE49-F238E27FC236}">
                    <a16:creationId xmlns:a16="http://schemas.microsoft.com/office/drawing/2014/main" id="{00000000-0008-0000-0700-000029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40000" y="3120000"/>
                <a:ext cx="160000" cy="140000"/>
              </a:xfrm>
              <a:custGeom>
                <a:avLst/>
                <a:gdLst/>
                <a:ahLst/>
                <a:cxnLst>
                  <a:cxn ang="0">
                    <a:pos x="5869" y="16384"/>
                  </a:cxn>
                  <a:cxn ang="0">
                    <a:pos x="1638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5869" y="16384"/>
                    </a:moveTo>
                    <a:lnTo>
                      <a:pt x="16384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34" name="Объект 1456">
                <a:extLst>
                  <a:ext uri="{FF2B5EF4-FFF2-40B4-BE49-F238E27FC236}">
                    <a16:creationId xmlns:a16="http://schemas.microsoft.com/office/drawing/2014/main" id="{00000000-0008-0000-0700-00002A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00000" y="3180000"/>
                <a:ext cx="80000" cy="8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3277" y="0"/>
                  </a:cxn>
                  <a:cxn ang="0">
                    <a:pos x="3745" y="0"/>
                  </a:cxn>
                  <a:cxn ang="0">
                    <a:pos x="3745" y="819"/>
                  </a:cxn>
                  <a:cxn ang="0">
                    <a:pos x="4213" y="1229"/>
                  </a:cxn>
                  <a:cxn ang="0">
                    <a:pos x="4213" y="1638"/>
                  </a:cxn>
                  <a:cxn ang="0">
                    <a:pos x="5149" y="1638"/>
                  </a:cxn>
                  <a:cxn ang="0">
                    <a:pos x="5149" y="2048"/>
                  </a:cxn>
                  <a:cxn ang="0">
                    <a:pos x="5617" y="2867"/>
                  </a:cxn>
                  <a:cxn ang="0">
                    <a:pos x="6085" y="3277"/>
                  </a:cxn>
                  <a:cxn ang="0">
                    <a:pos x="6554" y="3277"/>
                  </a:cxn>
                  <a:cxn ang="0">
                    <a:pos x="6554" y="3686"/>
                  </a:cxn>
                  <a:cxn ang="0">
                    <a:pos x="7490" y="3686"/>
                  </a:cxn>
                  <a:cxn ang="0">
                    <a:pos x="7490" y="4506"/>
                  </a:cxn>
                  <a:cxn ang="0">
                    <a:pos x="7958" y="4506"/>
                  </a:cxn>
                  <a:cxn ang="0">
                    <a:pos x="8426" y="4915"/>
                  </a:cxn>
                  <a:cxn ang="0">
                    <a:pos x="9362" y="5325"/>
                  </a:cxn>
                  <a:cxn ang="0">
                    <a:pos x="9830" y="5325"/>
                  </a:cxn>
                  <a:cxn ang="0">
                    <a:pos x="10299" y="5734"/>
                  </a:cxn>
                  <a:cxn ang="0">
                    <a:pos x="10767" y="5734"/>
                  </a:cxn>
                  <a:cxn ang="0">
                    <a:pos x="11703" y="6554"/>
                  </a:cxn>
                  <a:cxn ang="0">
                    <a:pos x="12171" y="6554"/>
                  </a:cxn>
                  <a:cxn ang="0">
                    <a:pos x="12639" y="6554"/>
                  </a:cxn>
                  <a:cxn ang="0">
                    <a:pos x="13575" y="6963"/>
                  </a:cxn>
                  <a:cxn ang="0">
                    <a:pos x="14043" y="6963"/>
                  </a:cxn>
                  <a:cxn ang="0">
                    <a:pos x="14512" y="6963"/>
                  </a:cxn>
                  <a:cxn ang="0">
                    <a:pos x="14980" y="6963"/>
                  </a:cxn>
                  <a:cxn ang="0">
                    <a:pos x="15916" y="6963"/>
                  </a:cxn>
                  <a:cxn ang="0">
                    <a:pos x="16384" y="7373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3277" y="0"/>
                    </a:lnTo>
                    <a:lnTo>
                      <a:pt x="3745" y="0"/>
                    </a:lnTo>
                    <a:lnTo>
                      <a:pt x="3745" y="819"/>
                    </a:lnTo>
                    <a:lnTo>
                      <a:pt x="4213" y="1229"/>
                    </a:lnTo>
                    <a:lnTo>
                      <a:pt x="4213" y="1638"/>
                    </a:lnTo>
                    <a:lnTo>
                      <a:pt x="5149" y="1638"/>
                    </a:lnTo>
                    <a:lnTo>
                      <a:pt x="5149" y="2048"/>
                    </a:lnTo>
                    <a:lnTo>
                      <a:pt x="5617" y="2867"/>
                    </a:lnTo>
                    <a:lnTo>
                      <a:pt x="6085" y="3277"/>
                    </a:lnTo>
                    <a:lnTo>
                      <a:pt x="6554" y="3277"/>
                    </a:lnTo>
                    <a:lnTo>
                      <a:pt x="6554" y="3686"/>
                    </a:lnTo>
                    <a:lnTo>
                      <a:pt x="7490" y="3686"/>
                    </a:lnTo>
                    <a:lnTo>
                      <a:pt x="7490" y="4506"/>
                    </a:lnTo>
                    <a:lnTo>
                      <a:pt x="7958" y="4506"/>
                    </a:lnTo>
                    <a:lnTo>
                      <a:pt x="8426" y="4915"/>
                    </a:lnTo>
                    <a:lnTo>
                      <a:pt x="9362" y="5325"/>
                    </a:lnTo>
                    <a:lnTo>
                      <a:pt x="9830" y="5325"/>
                    </a:lnTo>
                    <a:lnTo>
                      <a:pt x="10299" y="5734"/>
                    </a:lnTo>
                    <a:lnTo>
                      <a:pt x="10767" y="5734"/>
                    </a:lnTo>
                    <a:lnTo>
                      <a:pt x="11703" y="6554"/>
                    </a:lnTo>
                    <a:lnTo>
                      <a:pt x="12171" y="6554"/>
                    </a:lnTo>
                    <a:lnTo>
                      <a:pt x="12639" y="6554"/>
                    </a:lnTo>
                    <a:lnTo>
                      <a:pt x="13575" y="6963"/>
                    </a:lnTo>
                    <a:lnTo>
                      <a:pt x="14043" y="6963"/>
                    </a:lnTo>
                    <a:lnTo>
                      <a:pt x="14512" y="6963"/>
                    </a:lnTo>
                    <a:lnTo>
                      <a:pt x="14980" y="6963"/>
                    </a:lnTo>
                    <a:lnTo>
                      <a:pt x="15916" y="6963"/>
                    </a:lnTo>
                    <a:lnTo>
                      <a:pt x="16384" y="7373"/>
                    </a:lnTo>
                    <a:lnTo>
                      <a:pt x="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35" name="Текст 1457">
                <a:extLst>
                  <a:ext uri="{FF2B5EF4-FFF2-40B4-BE49-F238E27FC236}">
                    <a16:creationId xmlns:a16="http://schemas.microsoft.com/office/drawing/2014/main" id="{00000000-0008-0000-0700-00002B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400000" y="280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8236" name="Объект 1459">
                <a:extLst>
                  <a:ext uri="{FF2B5EF4-FFF2-40B4-BE49-F238E27FC236}">
                    <a16:creationId xmlns:a16="http://schemas.microsoft.com/office/drawing/2014/main" id="{00000000-0008-0000-0700-00002C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0000" y="1560000"/>
                <a:ext cx="100000" cy="60000"/>
              </a:xfrm>
              <a:custGeom>
                <a:avLst/>
                <a:gdLst/>
                <a:ahLst/>
                <a:cxnLst>
                  <a:cxn ang="0">
                    <a:pos x="16384" y="8192"/>
                  </a:cxn>
                  <a:cxn ang="0">
                    <a:pos x="0" y="16384"/>
                  </a:cxn>
                  <a:cxn ang="0">
                    <a:pos x="0" y="15872"/>
                  </a:cxn>
                  <a:cxn ang="0">
                    <a:pos x="443" y="15360"/>
                  </a:cxn>
                  <a:cxn ang="0">
                    <a:pos x="443" y="14848"/>
                  </a:cxn>
                  <a:cxn ang="0">
                    <a:pos x="886" y="13824"/>
                  </a:cxn>
                  <a:cxn ang="0">
                    <a:pos x="886" y="13312"/>
                  </a:cxn>
                  <a:cxn ang="0">
                    <a:pos x="886" y="12800"/>
                  </a:cxn>
                  <a:cxn ang="0">
                    <a:pos x="886" y="11776"/>
                  </a:cxn>
                  <a:cxn ang="0">
                    <a:pos x="1328" y="11264"/>
                  </a:cxn>
                  <a:cxn ang="0">
                    <a:pos x="1328" y="10752"/>
                  </a:cxn>
                  <a:cxn ang="0">
                    <a:pos x="1328" y="10240"/>
                  </a:cxn>
                  <a:cxn ang="0">
                    <a:pos x="1328" y="9216"/>
                  </a:cxn>
                  <a:cxn ang="0">
                    <a:pos x="1328" y="8704"/>
                  </a:cxn>
                  <a:cxn ang="0">
                    <a:pos x="1328" y="8192"/>
                  </a:cxn>
                  <a:cxn ang="0">
                    <a:pos x="1328" y="7168"/>
                  </a:cxn>
                  <a:cxn ang="0">
                    <a:pos x="1328" y="6656"/>
                  </a:cxn>
                  <a:cxn ang="0">
                    <a:pos x="1328" y="6144"/>
                  </a:cxn>
                  <a:cxn ang="0">
                    <a:pos x="1328" y="5632"/>
                  </a:cxn>
                  <a:cxn ang="0">
                    <a:pos x="1328" y="4608"/>
                  </a:cxn>
                  <a:cxn ang="0">
                    <a:pos x="886" y="4608"/>
                  </a:cxn>
                  <a:cxn ang="0">
                    <a:pos x="886" y="4096"/>
                  </a:cxn>
                  <a:cxn ang="0">
                    <a:pos x="886" y="3584"/>
                  </a:cxn>
                  <a:cxn ang="0">
                    <a:pos x="886" y="3072"/>
                  </a:cxn>
                  <a:cxn ang="0">
                    <a:pos x="886" y="2048"/>
                  </a:cxn>
                  <a:cxn ang="0">
                    <a:pos x="443" y="2048"/>
                  </a:cxn>
                  <a:cxn ang="0">
                    <a:pos x="443" y="1536"/>
                  </a:cxn>
                  <a:cxn ang="0">
                    <a:pos x="443" y="1024"/>
                  </a:cxn>
                  <a:cxn ang="0">
                    <a:pos x="0" y="0"/>
                  </a:cxn>
                  <a:cxn ang="0">
                    <a:pos x="16384" y="8192"/>
                  </a:cxn>
                </a:cxnLst>
                <a:rect l="0" t="0" r="r" b="b"/>
                <a:pathLst>
                  <a:path w="16384" h="16384">
                    <a:moveTo>
                      <a:pt x="16384" y="8192"/>
                    </a:moveTo>
                    <a:lnTo>
                      <a:pt x="0" y="16384"/>
                    </a:lnTo>
                    <a:lnTo>
                      <a:pt x="0" y="15872"/>
                    </a:lnTo>
                    <a:lnTo>
                      <a:pt x="443" y="15360"/>
                    </a:lnTo>
                    <a:lnTo>
                      <a:pt x="443" y="14848"/>
                    </a:lnTo>
                    <a:lnTo>
                      <a:pt x="886" y="13824"/>
                    </a:lnTo>
                    <a:lnTo>
                      <a:pt x="886" y="13312"/>
                    </a:lnTo>
                    <a:lnTo>
                      <a:pt x="886" y="12800"/>
                    </a:lnTo>
                    <a:lnTo>
                      <a:pt x="886" y="11776"/>
                    </a:lnTo>
                    <a:lnTo>
                      <a:pt x="1328" y="11264"/>
                    </a:lnTo>
                    <a:lnTo>
                      <a:pt x="1328" y="10752"/>
                    </a:lnTo>
                    <a:lnTo>
                      <a:pt x="1328" y="10240"/>
                    </a:lnTo>
                    <a:lnTo>
                      <a:pt x="1328" y="9216"/>
                    </a:lnTo>
                    <a:lnTo>
                      <a:pt x="1328" y="8704"/>
                    </a:lnTo>
                    <a:lnTo>
                      <a:pt x="1328" y="8192"/>
                    </a:lnTo>
                    <a:lnTo>
                      <a:pt x="1328" y="7168"/>
                    </a:lnTo>
                    <a:lnTo>
                      <a:pt x="1328" y="6656"/>
                    </a:lnTo>
                    <a:lnTo>
                      <a:pt x="1328" y="6144"/>
                    </a:lnTo>
                    <a:lnTo>
                      <a:pt x="1328" y="5632"/>
                    </a:lnTo>
                    <a:lnTo>
                      <a:pt x="1328" y="4608"/>
                    </a:lnTo>
                    <a:lnTo>
                      <a:pt x="886" y="4608"/>
                    </a:lnTo>
                    <a:lnTo>
                      <a:pt x="886" y="4096"/>
                    </a:lnTo>
                    <a:lnTo>
                      <a:pt x="886" y="3584"/>
                    </a:lnTo>
                    <a:lnTo>
                      <a:pt x="886" y="3072"/>
                    </a:lnTo>
                    <a:lnTo>
                      <a:pt x="886" y="2048"/>
                    </a:lnTo>
                    <a:lnTo>
                      <a:pt x="443" y="2048"/>
                    </a:lnTo>
                    <a:lnTo>
                      <a:pt x="443" y="1536"/>
                    </a:lnTo>
                    <a:lnTo>
                      <a:pt x="443" y="1024"/>
                    </a:lnTo>
                    <a:lnTo>
                      <a:pt x="0" y="0"/>
                    </a:lnTo>
                    <a:lnTo>
                      <a:pt x="16384" y="8192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37" name="Объект 1461">
                <a:extLst>
                  <a:ext uri="{FF2B5EF4-FFF2-40B4-BE49-F238E27FC236}">
                    <a16:creationId xmlns:a16="http://schemas.microsoft.com/office/drawing/2014/main" id="{00000000-0008-0000-0700-00002D2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80000" y="1560000"/>
                <a:ext cx="100000" cy="60000"/>
              </a:xfrm>
              <a:custGeom>
                <a:avLst/>
                <a:gdLst/>
                <a:ahLst/>
                <a:cxnLst>
                  <a:cxn ang="0">
                    <a:pos x="0" y="8192"/>
                  </a:cxn>
                  <a:cxn ang="0">
                    <a:pos x="16384" y="16384"/>
                  </a:cxn>
                  <a:cxn ang="0">
                    <a:pos x="15953" y="15872"/>
                  </a:cxn>
                  <a:cxn ang="0">
                    <a:pos x="15953" y="15360"/>
                  </a:cxn>
                  <a:cxn ang="0">
                    <a:pos x="15953" y="14848"/>
                  </a:cxn>
                  <a:cxn ang="0">
                    <a:pos x="15522" y="14848"/>
                  </a:cxn>
                  <a:cxn ang="0">
                    <a:pos x="15522" y="13824"/>
                  </a:cxn>
                  <a:cxn ang="0">
                    <a:pos x="15522" y="13312"/>
                  </a:cxn>
                  <a:cxn ang="0">
                    <a:pos x="15091" y="12800"/>
                  </a:cxn>
                  <a:cxn ang="0">
                    <a:pos x="15091" y="11776"/>
                  </a:cxn>
                  <a:cxn ang="0">
                    <a:pos x="15091" y="11264"/>
                  </a:cxn>
                  <a:cxn ang="0">
                    <a:pos x="15091" y="10752"/>
                  </a:cxn>
                  <a:cxn ang="0">
                    <a:pos x="15091" y="10240"/>
                  </a:cxn>
                  <a:cxn ang="0">
                    <a:pos x="15091" y="9216"/>
                  </a:cxn>
                  <a:cxn ang="0">
                    <a:pos x="14228" y="8704"/>
                  </a:cxn>
                  <a:cxn ang="0">
                    <a:pos x="14228" y="8192"/>
                  </a:cxn>
                  <a:cxn ang="0">
                    <a:pos x="14228" y="7168"/>
                  </a:cxn>
                  <a:cxn ang="0">
                    <a:pos x="15091" y="7168"/>
                  </a:cxn>
                  <a:cxn ang="0">
                    <a:pos x="15091" y="6656"/>
                  </a:cxn>
                  <a:cxn ang="0">
                    <a:pos x="15091" y="6144"/>
                  </a:cxn>
                  <a:cxn ang="0">
                    <a:pos x="15091" y="5632"/>
                  </a:cxn>
                  <a:cxn ang="0">
                    <a:pos x="15091" y="4608"/>
                  </a:cxn>
                  <a:cxn ang="0">
                    <a:pos x="15091" y="4096"/>
                  </a:cxn>
                  <a:cxn ang="0">
                    <a:pos x="15091" y="3584"/>
                  </a:cxn>
                  <a:cxn ang="0">
                    <a:pos x="15522" y="3072"/>
                  </a:cxn>
                  <a:cxn ang="0">
                    <a:pos x="15522" y="2048"/>
                  </a:cxn>
                  <a:cxn ang="0">
                    <a:pos x="15953" y="1536"/>
                  </a:cxn>
                  <a:cxn ang="0">
                    <a:pos x="15953" y="1024"/>
                  </a:cxn>
                  <a:cxn ang="0">
                    <a:pos x="15953" y="0"/>
                  </a:cxn>
                  <a:cxn ang="0">
                    <a:pos x="16384" y="0"/>
                  </a:cxn>
                  <a:cxn ang="0">
                    <a:pos x="0" y="8192"/>
                  </a:cxn>
                </a:cxnLst>
                <a:rect l="0" t="0" r="r" b="b"/>
                <a:pathLst>
                  <a:path w="16384" h="16384">
                    <a:moveTo>
                      <a:pt x="0" y="8192"/>
                    </a:moveTo>
                    <a:lnTo>
                      <a:pt x="16384" y="16384"/>
                    </a:lnTo>
                    <a:lnTo>
                      <a:pt x="15953" y="15872"/>
                    </a:lnTo>
                    <a:lnTo>
                      <a:pt x="15953" y="15360"/>
                    </a:lnTo>
                    <a:lnTo>
                      <a:pt x="15953" y="14848"/>
                    </a:lnTo>
                    <a:lnTo>
                      <a:pt x="15522" y="14848"/>
                    </a:lnTo>
                    <a:lnTo>
                      <a:pt x="15522" y="13824"/>
                    </a:lnTo>
                    <a:lnTo>
                      <a:pt x="15522" y="13312"/>
                    </a:lnTo>
                    <a:lnTo>
                      <a:pt x="15091" y="12800"/>
                    </a:lnTo>
                    <a:lnTo>
                      <a:pt x="15091" y="11776"/>
                    </a:lnTo>
                    <a:lnTo>
                      <a:pt x="15091" y="11264"/>
                    </a:lnTo>
                    <a:lnTo>
                      <a:pt x="15091" y="10752"/>
                    </a:lnTo>
                    <a:lnTo>
                      <a:pt x="15091" y="10240"/>
                    </a:lnTo>
                    <a:lnTo>
                      <a:pt x="15091" y="9216"/>
                    </a:lnTo>
                    <a:lnTo>
                      <a:pt x="14228" y="8704"/>
                    </a:lnTo>
                    <a:lnTo>
                      <a:pt x="14228" y="8192"/>
                    </a:lnTo>
                    <a:lnTo>
                      <a:pt x="14228" y="7168"/>
                    </a:lnTo>
                    <a:lnTo>
                      <a:pt x="15091" y="7168"/>
                    </a:lnTo>
                    <a:lnTo>
                      <a:pt x="15091" y="6656"/>
                    </a:lnTo>
                    <a:lnTo>
                      <a:pt x="15091" y="6144"/>
                    </a:lnTo>
                    <a:lnTo>
                      <a:pt x="15091" y="5632"/>
                    </a:lnTo>
                    <a:lnTo>
                      <a:pt x="15091" y="4608"/>
                    </a:lnTo>
                    <a:lnTo>
                      <a:pt x="15091" y="4096"/>
                    </a:lnTo>
                    <a:lnTo>
                      <a:pt x="15091" y="3584"/>
                    </a:lnTo>
                    <a:lnTo>
                      <a:pt x="15522" y="3072"/>
                    </a:lnTo>
                    <a:lnTo>
                      <a:pt x="15522" y="2048"/>
                    </a:lnTo>
                    <a:lnTo>
                      <a:pt x="15953" y="1536"/>
                    </a:lnTo>
                    <a:lnTo>
                      <a:pt x="15953" y="1024"/>
                    </a:lnTo>
                    <a:lnTo>
                      <a:pt x="15953" y="0"/>
                    </a:lnTo>
                    <a:lnTo>
                      <a:pt x="16384" y="0"/>
                    </a:lnTo>
                    <a:lnTo>
                      <a:pt x="0" y="8192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8238" name="Текст 1463">
                <a:extLst>
                  <a:ext uri="{FF2B5EF4-FFF2-40B4-BE49-F238E27FC236}">
                    <a16:creationId xmlns:a16="http://schemas.microsoft.com/office/drawing/2014/main" id="{00000000-0008-0000-0700-00002E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00000" y="118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8239" name="Текст 1670">
                <a:extLst>
                  <a:ext uri="{FF2B5EF4-FFF2-40B4-BE49-F238E27FC236}">
                    <a16:creationId xmlns:a16="http://schemas.microsoft.com/office/drawing/2014/main" id="{00000000-0008-0000-0700-00002F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60000" y="3260000"/>
                <a:ext cx="34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8240" name="Line 48">
                <a:extLst>
                  <a:ext uri="{FF2B5EF4-FFF2-40B4-BE49-F238E27FC236}">
                    <a16:creationId xmlns:a16="http://schemas.microsoft.com/office/drawing/2014/main" id="{00000000-0008-0000-0700-0000302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00000" y="420000"/>
                <a:ext cx="0" cy="318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8241" name="Line 49">
                <a:extLst>
                  <a:ext uri="{FF2B5EF4-FFF2-40B4-BE49-F238E27FC236}">
                    <a16:creationId xmlns:a16="http://schemas.microsoft.com/office/drawing/2014/main" id="{00000000-0008-0000-0700-0000312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00000" y="2080000"/>
                <a:ext cx="142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8242" name="Line 50">
                <a:extLst>
                  <a:ext uri="{FF2B5EF4-FFF2-40B4-BE49-F238E27FC236}">
                    <a16:creationId xmlns:a16="http://schemas.microsoft.com/office/drawing/2014/main" id="{00000000-0008-0000-0700-0000322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60000" y="1580000"/>
                <a:ext cx="2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243" name="Line 51">
                <a:extLst>
                  <a:ext uri="{FF2B5EF4-FFF2-40B4-BE49-F238E27FC236}">
                    <a16:creationId xmlns:a16="http://schemas.microsoft.com/office/drawing/2014/main" id="{00000000-0008-0000-0700-0000332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540000" y="1580000"/>
                <a:ext cx="12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244" name="Line 52">
                <a:extLst>
                  <a:ext uri="{FF2B5EF4-FFF2-40B4-BE49-F238E27FC236}">
                    <a16:creationId xmlns:a16="http://schemas.microsoft.com/office/drawing/2014/main" id="{00000000-0008-0000-0700-0000342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640000" y="840000"/>
                <a:ext cx="6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248" name="Текст 56">
                <a:extLst>
                  <a:ext uri="{FF2B5EF4-FFF2-40B4-BE49-F238E27FC236}">
                    <a16:creationId xmlns:a16="http://schemas.microsoft.com/office/drawing/2014/main" id="{00000000-0008-0000-0700-0000382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400000" y="20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800000"/>
                    </a:solidFill>
                    <a:latin typeface="Arial Cyr"/>
                    <a:cs typeface="Arial Cyr"/>
                  </a:rPr>
                  <a:t>4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1</xdr:row>
          <xdr:rowOff>47625</xdr:rowOff>
        </xdr:from>
        <xdr:to>
          <xdr:col>22</xdr:col>
          <xdr:colOff>95250</xdr:colOff>
          <xdr:row>2</xdr:row>
          <xdr:rowOff>66675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</xdr:row>
          <xdr:rowOff>0</xdr:rowOff>
        </xdr:from>
        <xdr:to>
          <xdr:col>16</xdr:col>
          <xdr:colOff>266700</xdr:colOff>
          <xdr:row>4</xdr:row>
          <xdr:rowOff>19050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38100</xdr:rowOff>
        </xdr:from>
        <xdr:to>
          <xdr:col>17</xdr:col>
          <xdr:colOff>257175</xdr:colOff>
          <xdr:row>0</xdr:row>
          <xdr:rowOff>190500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76200</xdr:rowOff>
    </xdr:from>
    <xdr:to>
      <xdr:col>3</xdr:col>
      <xdr:colOff>200025</xdr:colOff>
      <xdr:row>10</xdr:row>
      <xdr:rowOff>76200</xdr:rowOff>
    </xdr:to>
    <xdr:grpSp>
      <xdr:nvGrpSpPr>
        <xdr:cNvPr id="9285" name="Group 69">
          <a:extLst>
            <a:ext uri="{FF2B5EF4-FFF2-40B4-BE49-F238E27FC236}">
              <a16:creationId xmlns:a16="http://schemas.microsoft.com/office/drawing/2014/main" id="{00000000-0008-0000-0900-000045240000}"/>
            </a:ext>
          </a:extLst>
        </xdr:cNvPr>
        <xdr:cNvGrpSpPr>
          <a:grpSpLocks/>
        </xdr:cNvGrpSpPr>
      </xdr:nvGrpSpPr>
      <xdr:grpSpPr bwMode="auto">
        <a:xfrm>
          <a:off x="57150" y="76200"/>
          <a:ext cx="1352550" cy="1990725"/>
          <a:chOff x="-3867" y="-2100"/>
          <a:chExt cx="23004" cy="20900"/>
        </a:xfrm>
      </xdr:grpSpPr>
      <xdr:grpSp>
        <xdr:nvGrpSpPr>
          <xdr:cNvPr id="9280" name="Group 64">
            <a:extLst>
              <a:ext uri="{FF2B5EF4-FFF2-40B4-BE49-F238E27FC236}">
                <a16:creationId xmlns:a16="http://schemas.microsoft.com/office/drawing/2014/main" id="{00000000-0008-0000-0900-000040240000}"/>
              </a:ext>
            </a:extLst>
          </xdr:cNvPr>
          <xdr:cNvGrpSpPr>
            <a:grpSpLocks/>
          </xdr:cNvGrpSpPr>
        </xdr:nvGrpSpPr>
        <xdr:grpSpPr bwMode="auto">
          <a:xfrm>
            <a:off x="-3867" y="-2100"/>
            <a:ext cx="23004" cy="20900"/>
            <a:chOff x="120000" y="160000"/>
            <a:chExt cx="2840000" cy="4180000"/>
          </a:xfrm>
        </xdr:grpSpPr>
        <xdr:sp macro="" textlink="">
          <xdr:nvSpPr>
            <xdr:cNvPr id="9224" name="Rectangle 8">
              <a:extLs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0000" y="180000"/>
              <a:ext cx="2800000" cy="4100000"/>
            </a:xfrm>
            <a:prstGeom prst="rect">
              <a:avLst/>
            </a:prstGeom>
            <a:solidFill>
              <a:srgbClr val="FFFF99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225" name="Group 9">
              <a:extLst>
                <a:ext uri="{FF2B5EF4-FFF2-40B4-BE49-F238E27FC236}">
                  <a16:creationId xmlns:a16="http://schemas.microsoft.com/office/drawing/2014/main" id="{00000000-0008-0000-0900-0000092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60000" y="160000"/>
              <a:ext cx="2700000" cy="4180000"/>
              <a:chOff x="260000" y="160000"/>
              <a:chExt cx="2700000" cy="4180000"/>
            </a:xfrm>
          </xdr:grpSpPr>
          <xdr:sp macro="" textlink="">
            <xdr:nvSpPr>
              <xdr:cNvPr id="9226" name="Текст 1042">
                <a:extLst>
                  <a:ext uri="{FF2B5EF4-FFF2-40B4-BE49-F238E27FC236}">
                    <a16:creationId xmlns:a16="http://schemas.microsoft.com/office/drawing/2014/main" id="{00000000-0008-0000-0900-00000A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60000" y="372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9227" name="Текст 1274">
                <a:extLst>
                  <a:ext uri="{FF2B5EF4-FFF2-40B4-BE49-F238E27FC236}">
                    <a16:creationId xmlns:a16="http://schemas.microsoft.com/office/drawing/2014/main" id="{00000000-0008-0000-0900-00000B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60000" y="16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9228" name="Объект 1033">
                <a:extLst>
                  <a:ext uri="{FF2B5EF4-FFF2-40B4-BE49-F238E27FC236}">
                    <a16:creationId xmlns:a16="http://schemas.microsoft.com/office/drawing/2014/main" id="{00000000-0008-0000-0900-00000C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0000" y="1560000"/>
                <a:ext cx="100000" cy="80000"/>
              </a:xfrm>
              <a:custGeom>
                <a:avLst/>
                <a:gdLst/>
                <a:ahLst/>
                <a:cxnLst>
                  <a:cxn ang="0">
                    <a:pos x="16384" y="8704"/>
                  </a:cxn>
                  <a:cxn ang="0">
                    <a:pos x="0" y="16384"/>
                  </a:cxn>
                  <a:cxn ang="0">
                    <a:pos x="0" y="15872"/>
                  </a:cxn>
                  <a:cxn ang="0">
                    <a:pos x="443" y="15360"/>
                  </a:cxn>
                  <a:cxn ang="0">
                    <a:pos x="443" y="14336"/>
                  </a:cxn>
                  <a:cxn ang="0">
                    <a:pos x="443" y="13824"/>
                  </a:cxn>
                  <a:cxn ang="0">
                    <a:pos x="1328" y="13312"/>
                  </a:cxn>
                  <a:cxn ang="0">
                    <a:pos x="1328" y="12800"/>
                  </a:cxn>
                  <a:cxn ang="0">
                    <a:pos x="1328" y="11776"/>
                  </a:cxn>
                  <a:cxn ang="0">
                    <a:pos x="1328" y="11264"/>
                  </a:cxn>
                  <a:cxn ang="0">
                    <a:pos x="1328" y="10752"/>
                  </a:cxn>
                  <a:cxn ang="0">
                    <a:pos x="1771" y="9728"/>
                  </a:cxn>
                  <a:cxn ang="0">
                    <a:pos x="1771" y="9216"/>
                  </a:cxn>
                  <a:cxn ang="0">
                    <a:pos x="1771" y="8704"/>
                  </a:cxn>
                  <a:cxn ang="0">
                    <a:pos x="1771" y="8192"/>
                  </a:cxn>
                  <a:cxn ang="0">
                    <a:pos x="1771" y="7168"/>
                  </a:cxn>
                  <a:cxn ang="0">
                    <a:pos x="1771" y="6656"/>
                  </a:cxn>
                  <a:cxn ang="0">
                    <a:pos x="1328" y="6656"/>
                  </a:cxn>
                  <a:cxn ang="0">
                    <a:pos x="1328" y="6144"/>
                  </a:cxn>
                  <a:cxn ang="0">
                    <a:pos x="1328" y="5632"/>
                  </a:cxn>
                  <a:cxn ang="0">
                    <a:pos x="1328" y="4608"/>
                  </a:cxn>
                  <a:cxn ang="0">
                    <a:pos x="1328" y="4096"/>
                  </a:cxn>
                  <a:cxn ang="0">
                    <a:pos x="443" y="3584"/>
                  </a:cxn>
                  <a:cxn ang="0">
                    <a:pos x="443" y="2560"/>
                  </a:cxn>
                  <a:cxn ang="0">
                    <a:pos x="443" y="2048"/>
                  </a:cxn>
                  <a:cxn ang="0">
                    <a:pos x="443" y="1536"/>
                  </a:cxn>
                  <a:cxn ang="0">
                    <a:pos x="0" y="1536"/>
                  </a:cxn>
                  <a:cxn ang="0">
                    <a:pos x="0" y="1024"/>
                  </a:cxn>
                  <a:cxn ang="0">
                    <a:pos x="0" y="0"/>
                  </a:cxn>
                  <a:cxn ang="0">
                    <a:pos x="16384" y="8704"/>
                  </a:cxn>
                </a:cxnLst>
                <a:rect l="0" t="0" r="r" b="b"/>
                <a:pathLst>
                  <a:path w="16384" h="16384">
                    <a:moveTo>
                      <a:pt x="16384" y="8704"/>
                    </a:moveTo>
                    <a:lnTo>
                      <a:pt x="0" y="16384"/>
                    </a:lnTo>
                    <a:lnTo>
                      <a:pt x="0" y="15872"/>
                    </a:lnTo>
                    <a:lnTo>
                      <a:pt x="443" y="15360"/>
                    </a:lnTo>
                    <a:lnTo>
                      <a:pt x="443" y="14336"/>
                    </a:lnTo>
                    <a:lnTo>
                      <a:pt x="443" y="13824"/>
                    </a:lnTo>
                    <a:lnTo>
                      <a:pt x="1328" y="13312"/>
                    </a:lnTo>
                    <a:lnTo>
                      <a:pt x="1328" y="12800"/>
                    </a:lnTo>
                    <a:lnTo>
                      <a:pt x="1328" y="11776"/>
                    </a:lnTo>
                    <a:lnTo>
                      <a:pt x="1328" y="11264"/>
                    </a:lnTo>
                    <a:lnTo>
                      <a:pt x="1328" y="10752"/>
                    </a:lnTo>
                    <a:lnTo>
                      <a:pt x="1771" y="9728"/>
                    </a:lnTo>
                    <a:lnTo>
                      <a:pt x="1771" y="9216"/>
                    </a:lnTo>
                    <a:lnTo>
                      <a:pt x="1771" y="8704"/>
                    </a:lnTo>
                    <a:lnTo>
                      <a:pt x="1771" y="8192"/>
                    </a:lnTo>
                    <a:lnTo>
                      <a:pt x="1771" y="7168"/>
                    </a:lnTo>
                    <a:lnTo>
                      <a:pt x="1771" y="6656"/>
                    </a:lnTo>
                    <a:lnTo>
                      <a:pt x="1328" y="6656"/>
                    </a:lnTo>
                    <a:lnTo>
                      <a:pt x="1328" y="6144"/>
                    </a:lnTo>
                    <a:lnTo>
                      <a:pt x="1328" y="5632"/>
                    </a:lnTo>
                    <a:lnTo>
                      <a:pt x="1328" y="4608"/>
                    </a:lnTo>
                    <a:lnTo>
                      <a:pt x="1328" y="4096"/>
                    </a:lnTo>
                    <a:lnTo>
                      <a:pt x="443" y="3584"/>
                    </a:lnTo>
                    <a:lnTo>
                      <a:pt x="443" y="2560"/>
                    </a:lnTo>
                    <a:lnTo>
                      <a:pt x="443" y="2048"/>
                    </a:lnTo>
                    <a:lnTo>
                      <a:pt x="443" y="1536"/>
                    </a:lnTo>
                    <a:lnTo>
                      <a:pt x="0" y="1536"/>
                    </a:lnTo>
                    <a:lnTo>
                      <a:pt x="0" y="1024"/>
                    </a:lnTo>
                    <a:lnTo>
                      <a:pt x="0" y="0"/>
                    </a:lnTo>
                    <a:lnTo>
                      <a:pt x="16384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29" name="Объект 1035">
                <a:extLst>
                  <a:ext uri="{FF2B5EF4-FFF2-40B4-BE49-F238E27FC236}">
                    <a16:creationId xmlns:a16="http://schemas.microsoft.com/office/drawing/2014/main" id="{00000000-0008-0000-0900-00000D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380000" y="156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8704"/>
                  </a:cxn>
                  <a:cxn ang="0">
                    <a:pos x="16384" y="16384"/>
                  </a:cxn>
                  <a:cxn ang="0">
                    <a:pos x="15941" y="15872"/>
                  </a:cxn>
                  <a:cxn ang="0">
                    <a:pos x="15941" y="15360"/>
                  </a:cxn>
                  <a:cxn ang="0">
                    <a:pos x="15941" y="14336"/>
                  </a:cxn>
                  <a:cxn ang="0">
                    <a:pos x="15941" y="13824"/>
                  </a:cxn>
                  <a:cxn ang="0">
                    <a:pos x="15056" y="13824"/>
                  </a:cxn>
                  <a:cxn ang="0">
                    <a:pos x="15056" y="13312"/>
                  </a:cxn>
                  <a:cxn ang="0">
                    <a:pos x="15056" y="12800"/>
                  </a:cxn>
                  <a:cxn ang="0">
                    <a:pos x="15056" y="11776"/>
                  </a:cxn>
                  <a:cxn ang="0">
                    <a:pos x="15056" y="11264"/>
                  </a:cxn>
                  <a:cxn ang="0">
                    <a:pos x="14613" y="11264"/>
                  </a:cxn>
                  <a:cxn ang="0">
                    <a:pos x="14613" y="10752"/>
                  </a:cxn>
                  <a:cxn ang="0">
                    <a:pos x="14613" y="9728"/>
                  </a:cxn>
                  <a:cxn ang="0">
                    <a:pos x="14613" y="9216"/>
                  </a:cxn>
                  <a:cxn ang="0">
                    <a:pos x="14613" y="8704"/>
                  </a:cxn>
                  <a:cxn ang="0">
                    <a:pos x="14613" y="8192"/>
                  </a:cxn>
                  <a:cxn ang="0">
                    <a:pos x="14613" y="7168"/>
                  </a:cxn>
                  <a:cxn ang="0">
                    <a:pos x="14613" y="6656"/>
                  </a:cxn>
                  <a:cxn ang="0">
                    <a:pos x="14613" y="6144"/>
                  </a:cxn>
                  <a:cxn ang="0">
                    <a:pos x="15056" y="5632"/>
                  </a:cxn>
                  <a:cxn ang="0">
                    <a:pos x="15056" y="4608"/>
                  </a:cxn>
                  <a:cxn ang="0">
                    <a:pos x="15056" y="4096"/>
                  </a:cxn>
                  <a:cxn ang="0">
                    <a:pos x="15056" y="3584"/>
                  </a:cxn>
                  <a:cxn ang="0">
                    <a:pos x="15941" y="2560"/>
                  </a:cxn>
                  <a:cxn ang="0">
                    <a:pos x="15941" y="2048"/>
                  </a:cxn>
                  <a:cxn ang="0">
                    <a:pos x="15941" y="1536"/>
                  </a:cxn>
                  <a:cxn ang="0">
                    <a:pos x="16384" y="1024"/>
                  </a:cxn>
                  <a:cxn ang="0">
                    <a:pos x="16384" y="0"/>
                  </a:cxn>
                  <a:cxn ang="0">
                    <a:pos x="0" y="8704"/>
                  </a:cxn>
                </a:cxnLst>
                <a:rect l="0" t="0" r="r" b="b"/>
                <a:pathLst>
                  <a:path w="16384" h="16384">
                    <a:moveTo>
                      <a:pt x="0" y="8704"/>
                    </a:moveTo>
                    <a:lnTo>
                      <a:pt x="16384" y="16384"/>
                    </a:lnTo>
                    <a:lnTo>
                      <a:pt x="15941" y="15872"/>
                    </a:lnTo>
                    <a:lnTo>
                      <a:pt x="15941" y="15360"/>
                    </a:lnTo>
                    <a:lnTo>
                      <a:pt x="15941" y="14336"/>
                    </a:lnTo>
                    <a:lnTo>
                      <a:pt x="15941" y="13824"/>
                    </a:lnTo>
                    <a:lnTo>
                      <a:pt x="15056" y="13824"/>
                    </a:lnTo>
                    <a:lnTo>
                      <a:pt x="15056" y="13312"/>
                    </a:lnTo>
                    <a:lnTo>
                      <a:pt x="15056" y="12800"/>
                    </a:lnTo>
                    <a:lnTo>
                      <a:pt x="15056" y="11776"/>
                    </a:lnTo>
                    <a:lnTo>
                      <a:pt x="15056" y="11264"/>
                    </a:lnTo>
                    <a:lnTo>
                      <a:pt x="14613" y="11264"/>
                    </a:lnTo>
                    <a:lnTo>
                      <a:pt x="14613" y="10752"/>
                    </a:lnTo>
                    <a:lnTo>
                      <a:pt x="14613" y="9728"/>
                    </a:lnTo>
                    <a:lnTo>
                      <a:pt x="14613" y="9216"/>
                    </a:lnTo>
                    <a:lnTo>
                      <a:pt x="14613" y="8704"/>
                    </a:lnTo>
                    <a:lnTo>
                      <a:pt x="14613" y="8192"/>
                    </a:lnTo>
                    <a:lnTo>
                      <a:pt x="14613" y="7168"/>
                    </a:lnTo>
                    <a:lnTo>
                      <a:pt x="14613" y="6656"/>
                    </a:lnTo>
                    <a:lnTo>
                      <a:pt x="14613" y="6144"/>
                    </a:lnTo>
                    <a:lnTo>
                      <a:pt x="15056" y="5632"/>
                    </a:lnTo>
                    <a:lnTo>
                      <a:pt x="15056" y="4608"/>
                    </a:lnTo>
                    <a:lnTo>
                      <a:pt x="15056" y="4096"/>
                    </a:lnTo>
                    <a:lnTo>
                      <a:pt x="15056" y="3584"/>
                    </a:lnTo>
                    <a:lnTo>
                      <a:pt x="15941" y="2560"/>
                    </a:lnTo>
                    <a:lnTo>
                      <a:pt x="15941" y="2048"/>
                    </a:lnTo>
                    <a:lnTo>
                      <a:pt x="15941" y="1536"/>
                    </a:lnTo>
                    <a:lnTo>
                      <a:pt x="16384" y="1024"/>
                    </a:lnTo>
                    <a:lnTo>
                      <a:pt x="16384" y="0"/>
                    </a:lnTo>
                    <a:lnTo>
                      <a:pt x="0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30" name="Объект 1036">
                <a:extLst>
                  <a:ext uri="{FF2B5EF4-FFF2-40B4-BE49-F238E27FC236}">
                    <a16:creationId xmlns:a16="http://schemas.microsoft.com/office/drawing/2014/main" id="{00000000-0008-0000-0900-00000E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60000" y="1600000"/>
                <a:ext cx="2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1" name="Текст 1037">
                <a:extLst>
                  <a:ext uri="{FF2B5EF4-FFF2-40B4-BE49-F238E27FC236}">
                    <a16:creationId xmlns:a16="http://schemas.microsoft.com/office/drawing/2014/main" id="{00000000-0008-0000-0900-00000F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80000" y="122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9232" name="Объект 1038">
                <a:extLst>
                  <a:ext uri="{FF2B5EF4-FFF2-40B4-BE49-F238E27FC236}">
                    <a16:creationId xmlns:a16="http://schemas.microsoft.com/office/drawing/2014/main" id="{00000000-0008-0000-0900-000010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60000" y="3440000"/>
                <a:ext cx="20000" cy="4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33"/>
                  </a:cxn>
                  <a:cxn ang="0">
                    <a:pos x="0" y="9485"/>
                  </a:cxn>
                  <a:cxn ang="0">
                    <a:pos x="0" y="12417"/>
                  </a:cxn>
                  <a:cxn ang="0">
                    <a:pos x="0" y="14314"/>
                  </a:cxn>
                  <a:cxn ang="0">
                    <a:pos x="0" y="15522"/>
                  </a:cxn>
                  <a:cxn ang="0">
                    <a:pos x="0" y="16125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33"/>
                    </a:lnTo>
                    <a:lnTo>
                      <a:pt x="0" y="9485"/>
                    </a:lnTo>
                    <a:lnTo>
                      <a:pt x="0" y="12417"/>
                    </a:lnTo>
                    <a:lnTo>
                      <a:pt x="0" y="14314"/>
                    </a:lnTo>
                    <a:lnTo>
                      <a:pt x="0" y="15522"/>
                    </a:lnTo>
                    <a:lnTo>
                      <a:pt x="0" y="16125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3" name="Объект 1039">
                <a:extLst>
                  <a:ext uri="{FF2B5EF4-FFF2-40B4-BE49-F238E27FC236}">
                    <a16:creationId xmlns:a16="http://schemas.microsoft.com/office/drawing/2014/main" id="{00000000-0008-0000-0900-000011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20000" y="3780000"/>
                <a:ext cx="130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393" y="0"/>
                  </a:cxn>
                  <a:cxn ang="0">
                    <a:pos x="9479" y="0"/>
                  </a:cxn>
                  <a:cxn ang="0">
                    <a:pos x="12421" y="0"/>
                  </a:cxn>
                  <a:cxn ang="0">
                    <a:pos x="14341" y="0"/>
                  </a:cxn>
                  <a:cxn ang="0">
                    <a:pos x="15526" y="0"/>
                  </a:cxn>
                  <a:cxn ang="0">
                    <a:pos x="16139" y="0"/>
                  </a:cxn>
                  <a:cxn ang="0">
                    <a:pos x="16343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393" y="0"/>
                    </a:lnTo>
                    <a:lnTo>
                      <a:pt x="9479" y="0"/>
                    </a:lnTo>
                    <a:lnTo>
                      <a:pt x="12421" y="0"/>
                    </a:lnTo>
                    <a:lnTo>
                      <a:pt x="14341" y="0"/>
                    </a:lnTo>
                    <a:lnTo>
                      <a:pt x="15526" y="0"/>
                    </a:lnTo>
                    <a:lnTo>
                      <a:pt x="16139" y="0"/>
                    </a:lnTo>
                    <a:lnTo>
                      <a:pt x="16343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4" name="Объект 1040">
                <a:extLst>
                  <a:ext uri="{FF2B5EF4-FFF2-40B4-BE49-F238E27FC236}">
                    <a16:creationId xmlns:a16="http://schemas.microsoft.com/office/drawing/2014/main" id="{00000000-0008-0000-0900-000012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60000" y="374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0"/>
                  </a:cxn>
                  <a:cxn ang="0">
                    <a:pos x="16384" y="512"/>
                  </a:cxn>
                  <a:cxn ang="0">
                    <a:pos x="15941" y="1024"/>
                  </a:cxn>
                  <a:cxn ang="0">
                    <a:pos x="15941" y="2048"/>
                  </a:cxn>
                  <a:cxn ang="0">
                    <a:pos x="15941" y="2560"/>
                  </a:cxn>
                  <a:cxn ang="0">
                    <a:pos x="15941" y="3072"/>
                  </a:cxn>
                  <a:cxn ang="0">
                    <a:pos x="15498" y="3072"/>
                  </a:cxn>
                  <a:cxn ang="0">
                    <a:pos x="15498" y="4096"/>
                  </a:cxn>
                  <a:cxn ang="0">
                    <a:pos x="15498" y="4608"/>
                  </a:cxn>
                  <a:cxn ang="0">
                    <a:pos x="15498" y="5120"/>
                  </a:cxn>
                  <a:cxn ang="0">
                    <a:pos x="15498" y="5632"/>
                  </a:cxn>
                  <a:cxn ang="0">
                    <a:pos x="14613" y="6656"/>
                  </a:cxn>
                  <a:cxn ang="0">
                    <a:pos x="14613" y="7168"/>
                  </a:cxn>
                  <a:cxn ang="0">
                    <a:pos x="14613" y="7680"/>
                  </a:cxn>
                  <a:cxn ang="0">
                    <a:pos x="14613" y="8192"/>
                  </a:cxn>
                  <a:cxn ang="0">
                    <a:pos x="14613" y="9216"/>
                  </a:cxn>
                  <a:cxn ang="0">
                    <a:pos x="14613" y="9728"/>
                  </a:cxn>
                  <a:cxn ang="0">
                    <a:pos x="15498" y="10240"/>
                  </a:cxn>
                  <a:cxn ang="0">
                    <a:pos x="15498" y="11264"/>
                  </a:cxn>
                  <a:cxn ang="0">
                    <a:pos x="15498" y="11776"/>
                  </a:cxn>
                  <a:cxn ang="0">
                    <a:pos x="15498" y="12288"/>
                  </a:cxn>
                  <a:cxn ang="0">
                    <a:pos x="15498" y="12800"/>
                  </a:cxn>
                  <a:cxn ang="0">
                    <a:pos x="15941" y="12800"/>
                  </a:cxn>
                  <a:cxn ang="0">
                    <a:pos x="15941" y="13824"/>
                  </a:cxn>
                  <a:cxn ang="0">
                    <a:pos x="15941" y="14336"/>
                  </a:cxn>
                  <a:cxn ang="0">
                    <a:pos x="15941" y="14848"/>
                  </a:cxn>
                  <a:cxn ang="0">
                    <a:pos x="16384" y="14848"/>
                  </a:cxn>
                  <a:cxn ang="0">
                    <a:pos x="16384" y="15872"/>
                  </a:cxn>
                  <a:cxn ang="0">
                    <a:pos x="16384" y="16384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0"/>
                    </a:lnTo>
                    <a:lnTo>
                      <a:pt x="16384" y="512"/>
                    </a:lnTo>
                    <a:lnTo>
                      <a:pt x="15941" y="1024"/>
                    </a:lnTo>
                    <a:lnTo>
                      <a:pt x="15941" y="2048"/>
                    </a:lnTo>
                    <a:lnTo>
                      <a:pt x="15941" y="2560"/>
                    </a:lnTo>
                    <a:lnTo>
                      <a:pt x="15941" y="3072"/>
                    </a:lnTo>
                    <a:lnTo>
                      <a:pt x="15498" y="3072"/>
                    </a:lnTo>
                    <a:lnTo>
                      <a:pt x="15498" y="4096"/>
                    </a:lnTo>
                    <a:lnTo>
                      <a:pt x="15498" y="4608"/>
                    </a:lnTo>
                    <a:lnTo>
                      <a:pt x="15498" y="5120"/>
                    </a:lnTo>
                    <a:lnTo>
                      <a:pt x="15498" y="5632"/>
                    </a:lnTo>
                    <a:lnTo>
                      <a:pt x="14613" y="6656"/>
                    </a:lnTo>
                    <a:lnTo>
                      <a:pt x="14613" y="7168"/>
                    </a:lnTo>
                    <a:lnTo>
                      <a:pt x="14613" y="7680"/>
                    </a:lnTo>
                    <a:lnTo>
                      <a:pt x="14613" y="8192"/>
                    </a:lnTo>
                    <a:lnTo>
                      <a:pt x="14613" y="9216"/>
                    </a:lnTo>
                    <a:lnTo>
                      <a:pt x="14613" y="9728"/>
                    </a:lnTo>
                    <a:lnTo>
                      <a:pt x="15498" y="10240"/>
                    </a:lnTo>
                    <a:lnTo>
                      <a:pt x="15498" y="11264"/>
                    </a:lnTo>
                    <a:lnTo>
                      <a:pt x="15498" y="11776"/>
                    </a:lnTo>
                    <a:lnTo>
                      <a:pt x="15498" y="12288"/>
                    </a:lnTo>
                    <a:lnTo>
                      <a:pt x="15498" y="12800"/>
                    </a:lnTo>
                    <a:lnTo>
                      <a:pt x="15941" y="12800"/>
                    </a:lnTo>
                    <a:lnTo>
                      <a:pt x="15941" y="13824"/>
                    </a:lnTo>
                    <a:lnTo>
                      <a:pt x="15941" y="14336"/>
                    </a:lnTo>
                    <a:lnTo>
                      <a:pt x="15941" y="14848"/>
                    </a:lnTo>
                    <a:lnTo>
                      <a:pt x="16384" y="14848"/>
                    </a:lnTo>
                    <a:lnTo>
                      <a:pt x="16384" y="15872"/>
                    </a:lnTo>
                    <a:lnTo>
                      <a:pt x="16384" y="16384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35" name="Объект 1041">
                <a:extLst>
                  <a:ext uri="{FF2B5EF4-FFF2-40B4-BE49-F238E27FC236}">
                    <a16:creationId xmlns:a16="http://schemas.microsoft.com/office/drawing/2014/main" id="{00000000-0008-0000-0900-000013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40000" y="3740000"/>
                <a:ext cx="120000" cy="8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0"/>
                  </a:cxn>
                  <a:cxn ang="0">
                    <a:pos x="431" y="512"/>
                  </a:cxn>
                  <a:cxn ang="0">
                    <a:pos x="431" y="1024"/>
                  </a:cxn>
                  <a:cxn ang="0">
                    <a:pos x="862" y="2048"/>
                  </a:cxn>
                  <a:cxn ang="0">
                    <a:pos x="862" y="2560"/>
                  </a:cxn>
                  <a:cxn ang="0">
                    <a:pos x="862" y="3072"/>
                  </a:cxn>
                  <a:cxn ang="0">
                    <a:pos x="1725" y="3072"/>
                  </a:cxn>
                  <a:cxn ang="0">
                    <a:pos x="1725" y="4096"/>
                  </a:cxn>
                  <a:cxn ang="0">
                    <a:pos x="1725" y="4608"/>
                  </a:cxn>
                  <a:cxn ang="0">
                    <a:pos x="1725" y="5120"/>
                  </a:cxn>
                  <a:cxn ang="0">
                    <a:pos x="1725" y="5632"/>
                  </a:cxn>
                  <a:cxn ang="0">
                    <a:pos x="1725" y="6656"/>
                  </a:cxn>
                  <a:cxn ang="0">
                    <a:pos x="2156" y="7168"/>
                  </a:cxn>
                  <a:cxn ang="0">
                    <a:pos x="2156" y="7680"/>
                  </a:cxn>
                  <a:cxn ang="0">
                    <a:pos x="2156" y="8192"/>
                  </a:cxn>
                  <a:cxn ang="0">
                    <a:pos x="2156" y="9216"/>
                  </a:cxn>
                  <a:cxn ang="0">
                    <a:pos x="1725" y="9728"/>
                  </a:cxn>
                  <a:cxn ang="0">
                    <a:pos x="1725" y="10240"/>
                  </a:cxn>
                  <a:cxn ang="0">
                    <a:pos x="1725" y="11264"/>
                  </a:cxn>
                  <a:cxn ang="0">
                    <a:pos x="1725" y="11776"/>
                  </a:cxn>
                  <a:cxn ang="0">
                    <a:pos x="1725" y="12288"/>
                  </a:cxn>
                  <a:cxn ang="0">
                    <a:pos x="1725" y="12800"/>
                  </a:cxn>
                  <a:cxn ang="0">
                    <a:pos x="862" y="12800"/>
                  </a:cxn>
                  <a:cxn ang="0">
                    <a:pos x="862" y="13824"/>
                  </a:cxn>
                  <a:cxn ang="0">
                    <a:pos x="862" y="14336"/>
                  </a:cxn>
                  <a:cxn ang="0">
                    <a:pos x="431" y="14848"/>
                  </a:cxn>
                  <a:cxn ang="0">
                    <a:pos x="431" y="15872"/>
                  </a:cxn>
                  <a:cxn ang="0">
                    <a:pos x="0" y="16384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0"/>
                    </a:lnTo>
                    <a:lnTo>
                      <a:pt x="431" y="512"/>
                    </a:lnTo>
                    <a:lnTo>
                      <a:pt x="431" y="1024"/>
                    </a:lnTo>
                    <a:lnTo>
                      <a:pt x="862" y="2048"/>
                    </a:lnTo>
                    <a:lnTo>
                      <a:pt x="862" y="2560"/>
                    </a:lnTo>
                    <a:lnTo>
                      <a:pt x="862" y="3072"/>
                    </a:lnTo>
                    <a:lnTo>
                      <a:pt x="1725" y="3072"/>
                    </a:lnTo>
                    <a:lnTo>
                      <a:pt x="1725" y="4096"/>
                    </a:lnTo>
                    <a:lnTo>
                      <a:pt x="1725" y="4608"/>
                    </a:lnTo>
                    <a:lnTo>
                      <a:pt x="1725" y="5120"/>
                    </a:lnTo>
                    <a:lnTo>
                      <a:pt x="1725" y="5632"/>
                    </a:lnTo>
                    <a:lnTo>
                      <a:pt x="1725" y="6656"/>
                    </a:lnTo>
                    <a:lnTo>
                      <a:pt x="2156" y="7168"/>
                    </a:lnTo>
                    <a:lnTo>
                      <a:pt x="2156" y="7680"/>
                    </a:lnTo>
                    <a:lnTo>
                      <a:pt x="2156" y="8192"/>
                    </a:lnTo>
                    <a:lnTo>
                      <a:pt x="2156" y="9216"/>
                    </a:lnTo>
                    <a:lnTo>
                      <a:pt x="1725" y="9728"/>
                    </a:lnTo>
                    <a:lnTo>
                      <a:pt x="1725" y="10240"/>
                    </a:lnTo>
                    <a:lnTo>
                      <a:pt x="1725" y="11264"/>
                    </a:lnTo>
                    <a:lnTo>
                      <a:pt x="1725" y="11776"/>
                    </a:lnTo>
                    <a:lnTo>
                      <a:pt x="1725" y="12288"/>
                    </a:lnTo>
                    <a:lnTo>
                      <a:pt x="1725" y="12800"/>
                    </a:lnTo>
                    <a:lnTo>
                      <a:pt x="862" y="12800"/>
                    </a:lnTo>
                    <a:lnTo>
                      <a:pt x="862" y="13824"/>
                    </a:lnTo>
                    <a:lnTo>
                      <a:pt x="862" y="14336"/>
                    </a:lnTo>
                    <a:lnTo>
                      <a:pt x="431" y="14848"/>
                    </a:lnTo>
                    <a:lnTo>
                      <a:pt x="431" y="15872"/>
                    </a:lnTo>
                    <a:lnTo>
                      <a:pt x="0" y="16384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36" name="Объект 1043">
                <a:extLst>
                  <a:ext uri="{FF2B5EF4-FFF2-40B4-BE49-F238E27FC236}">
                    <a16:creationId xmlns:a16="http://schemas.microsoft.com/office/drawing/2014/main" id="{00000000-0008-0000-0900-000014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60000" y="480000"/>
                <a:ext cx="0" cy="3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7" name="Объект 1044">
                <a:extLst>
                  <a:ext uri="{FF2B5EF4-FFF2-40B4-BE49-F238E27FC236}">
                    <a16:creationId xmlns:a16="http://schemas.microsoft.com/office/drawing/2014/main" id="{00000000-0008-0000-0900-000015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20000" y="72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8192" y="16384"/>
                  </a:cxn>
                  <a:cxn ang="0">
                    <a:pos x="0" y="0"/>
                  </a:cxn>
                  <a:cxn ang="0">
                    <a:pos x="1024" y="0"/>
                  </a:cxn>
                  <a:cxn ang="0">
                    <a:pos x="1024" y="443"/>
                  </a:cxn>
                  <a:cxn ang="0">
                    <a:pos x="1536" y="443"/>
                  </a:cxn>
                  <a:cxn ang="0">
                    <a:pos x="2048" y="443"/>
                  </a:cxn>
                  <a:cxn ang="0">
                    <a:pos x="2560" y="443"/>
                  </a:cxn>
                  <a:cxn ang="0">
                    <a:pos x="2560" y="886"/>
                  </a:cxn>
                  <a:cxn ang="0">
                    <a:pos x="3584" y="886"/>
                  </a:cxn>
                  <a:cxn ang="0">
                    <a:pos x="4096" y="886"/>
                  </a:cxn>
                  <a:cxn ang="0">
                    <a:pos x="4608" y="886"/>
                  </a:cxn>
                  <a:cxn ang="0">
                    <a:pos x="5632" y="886"/>
                  </a:cxn>
                  <a:cxn ang="0">
                    <a:pos x="5632" y="1771"/>
                  </a:cxn>
                  <a:cxn ang="0">
                    <a:pos x="6144" y="1771"/>
                  </a:cxn>
                  <a:cxn ang="0">
                    <a:pos x="6656" y="1771"/>
                  </a:cxn>
                  <a:cxn ang="0">
                    <a:pos x="7168" y="1771"/>
                  </a:cxn>
                  <a:cxn ang="0">
                    <a:pos x="8192" y="1771"/>
                  </a:cxn>
                  <a:cxn ang="0">
                    <a:pos x="8704" y="1771"/>
                  </a:cxn>
                  <a:cxn ang="0">
                    <a:pos x="9216" y="1771"/>
                  </a:cxn>
                  <a:cxn ang="0">
                    <a:pos x="10240" y="1771"/>
                  </a:cxn>
                  <a:cxn ang="0">
                    <a:pos x="10752" y="1771"/>
                  </a:cxn>
                  <a:cxn ang="0">
                    <a:pos x="11264" y="886"/>
                  </a:cxn>
                  <a:cxn ang="0">
                    <a:pos x="11776" y="886"/>
                  </a:cxn>
                  <a:cxn ang="0">
                    <a:pos x="12800" y="886"/>
                  </a:cxn>
                  <a:cxn ang="0">
                    <a:pos x="13312" y="886"/>
                  </a:cxn>
                  <a:cxn ang="0">
                    <a:pos x="13824" y="443"/>
                  </a:cxn>
                  <a:cxn ang="0">
                    <a:pos x="14336" y="443"/>
                  </a:cxn>
                  <a:cxn ang="0">
                    <a:pos x="15360" y="443"/>
                  </a:cxn>
                  <a:cxn ang="0">
                    <a:pos x="15872" y="0"/>
                  </a:cxn>
                  <a:cxn ang="0">
                    <a:pos x="16384" y="0"/>
                  </a:cxn>
                  <a:cxn ang="0">
                    <a:pos x="8192" y="16384"/>
                  </a:cxn>
                </a:cxnLst>
                <a:rect l="0" t="0" r="r" b="b"/>
                <a:pathLst>
                  <a:path w="16384" h="16384">
                    <a:moveTo>
                      <a:pt x="8192" y="16384"/>
                    </a:moveTo>
                    <a:lnTo>
                      <a:pt x="0" y="0"/>
                    </a:lnTo>
                    <a:lnTo>
                      <a:pt x="1024" y="0"/>
                    </a:lnTo>
                    <a:lnTo>
                      <a:pt x="1024" y="443"/>
                    </a:lnTo>
                    <a:lnTo>
                      <a:pt x="1536" y="443"/>
                    </a:lnTo>
                    <a:lnTo>
                      <a:pt x="2048" y="443"/>
                    </a:lnTo>
                    <a:lnTo>
                      <a:pt x="2560" y="443"/>
                    </a:lnTo>
                    <a:lnTo>
                      <a:pt x="2560" y="886"/>
                    </a:lnTo>
                    <a:lnTo>
                      <a:pt x="3584" y="886"/>
                    </a:lnTo>
                    <a:lnTo>
                      <a:pt x="4096" y="886"/>
                    </a:lnTo>
                    <a:lnTo>
                      <a:pt x="4608" y="886"/>
                    </a:lnTo>
                    <a:lnTo>
                      <a:pt x="5632" y="886"/>
                    </a:lnTo>
                    <a:lnTo>
                      <a:pt x="5632" y="1771"/>
                    </a:lnTo>
                    <a:lnTo>
                      <a:pt x="6144" y="1771"/>
                    </a:lnTo>
                    <a:lnTo>
                      <a:pt x="6656" y="1771"/>
                    </a:lnTo>
                    <a:lnTo>
                      <a:pt x="7168" y="1771"/>
                    </a:lnTo>
                    <a:lnTo>
                      <a:pt x="8192" y="1771"/>
                    </a:lnTo>
                    <a:lnTo>
                      <a:pt x="8704" y="1771"/>
                    </a:lnTo>
                    <a:lnTo>
                      <a:pt x="9216" y="1771"/>
                    </a:lnTo>
                    <a:lnTo>
                      <a:pt x="10240" y="1771"/>
                    </a:lnTo>
                    <a:lnTo>
                      <a:pt x="10752" y="1771"/>
                    </a:lnTo>
                    <a:lnTo>
                      <a:pt x="11264" y="886"/>
                    </a:lnTo>
                    <a:lnTo>
                      <a:pt x="11776" y="886"/>
                    </a:lnTo>
                    <a:lnTo>
                      <a:pt x="12800" y="886"/>
                    </a:lnTo>
                    <a:lnTo>
                      <a:pt x="13312" y="886"/>
                    </a:lnTo>
                    <a:lnTo>
                      <a:pt x="13824" y="443"/>
                    </a:lnTo>
                    <a:lnTo>
                      <a:pt x="14336" y="443"/>
                    </a:lnTo>
                    <a:lnTo>
                      <a:pt x="15360" y="443"/>
                    </a:lnTo>
                    <a:lnTo>
                      <a:pt x="15872" y="0"/>
                    </a:lnTo>
                    <a:lnTo>
                      <a:pt x="16384" y="0"/>
                    </a:lnTo>
                    <a:lnTo>
                      <a:pt x="8192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38" name="Объект 1045">
                <a:extLst>
                  <a:ext uri="{FF2B5EF4-FFF2-40B4-BE49-F238E27FC236}">
                    <a16:creationId xmlns:a16="http://schemas.microsoft.com/office/drawing/2014/main" id="{00000000-0008-0000-0900-000016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60000" y="1000000"/>
                <a:ext cx="0" cy="3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9" name="Объект 1046">
                <a:extLst>
                  <a:ext uri="{FF2B5EF4-FFF2-40B4-BE49-F238E27FC236}">
                    <a16:creationId xmlns:a16="http://schemas.microsoft.com/office/drawing/2014/main" id="{00000000-0008-0000-0900-000017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20000" y="100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8192" y="0"/>
                  </a:cxn>
                  <a:cxn ang="0">
                    <a:pos x="0" y="16384"/>
                  </a:cxn>
                  <a:cxn ang="0">
                    <a:pos x="1024" y="15953"/>
                  </a:cxn>
                  <a:cxn ang="0">
                    <a:pos x="1536" y="15522"/>
                  </a:cxn>
                  <a:cxn ang="0">
                    <a:pos x="2048" y="15522"/>
                  </a:cxn>
                  <a:cxn ang="0">
                    <a:pos x="2560" y="15522"/>
                  </a:cxn>
                  <a:cxn ang="0">
                    <a:pos x="3584" y="14659"/>
                  </a:cxn>
                  <a:cxn ang="0">
                    <a:pos x="4096" y="14659"/>
                  </a:cxn>
                  <a:cxn ang="0">
                    <a:pos x="4608" y="14659"/>
                  </a:cxn>
                  <a:cxn ang="0">
                    <a:pos x="5632" y="14659"/>
                  </a:cxn>
                  <a:cxn ang="0">
                    <a:pos x="6144" y="14659"/>
                  </a:cxn>
                  <a:cxn ang="0">
                    <a:pos x="6656" y="14228"/>
                  </a:cxn>
                  <a:cxn ang="0">
                    <a:pos x="7168" y="14228"/>
                  </a:cxn>
                  <a:cxn ang="0">
                    <a:pos x="8192" y="14228"/>
                  </a:cxn>
                  <a:cxn ang="0">
                    <a:pos x="8704" y="14228"/>
                  </a:cxn>
                  <a:cxn ang="0">
                    <a:pos x="9216" y="14228"/>
                  </a:cxn>
                  <a:cxn ang="0">
                    <a:pos x="10240" y="14228"/>
                  </a:cxn>
                  <a:cxn ang="0">
                    <a:pos x="10240" y="14659"/>
                  </a:cxn>
                  <a:cxn ang="0">
                    <a:pos x="10752" y="14659"/>
                  </a:cxn>
                  <a:cxn ang="0">
                    <a:pos x="11264" y="14659"/>
                  </a:cxn>
                  <a:cxn ang="0">
                    <a:pos x="11776" y="14659"/>
                  </a:cxn>
                  <a:cxn ang="0">
                    <a:pos x="12800" y="14659"/>
                  </a:cxn>
                  <a:cxn ang="0">
                    <a:pos x="13312" y="15522"/>
                  </a:cxn>
                  <a:cxn ang="0">
                    <a:pos x="13824" y="15522"/>
                  </a:cxn>
                  <a:cxn ang="0">
                    <a:pos x="14336" y="15522"/>
                  </a:cxn>
                  <a:cxn ang="0">
                    <a:pos x="15360" y="15522"/>
                  </a:cxn>
                  <a:cxn ang="0">
                    <a:pos x="15360" y="15953"/>
                  </a:cxn>
                  <a:cxn ang="0">
                    <a:pos x="15872" y="15953"/>
                  </a:cxn>
                  <a:cxn ang="0">
                    <a:pos x="16384" y="16384"/>
                  </a:cxn>
                  <a:cxn ang="0">
                    <a:pos x="8192" y="0"/>
                  </a:cxn>
                </a:cxnLst>
                <a:rect l="0" t="0" r="r" b="b"/>
                <a:pathLst>
                  <a:path w="16384" h="16384">
                    <a:moveTo>
                      <a:pt x="8192" y="0"/>
                    </a:moveTo>
                    <a:lnTo>
                      <a:pt x="0" y="16384"/>
                    </a:lnTo>
                    <a:lnTo>
                      <a:pt x="1024" y="15953"/>
                    </a:lnTo>
                    <a:lnTo>
                      <a:pt x="1536" y="15522"/>
                    </a:lnTo>
                    <a:lnTo>
                      <a:pt x="2048" y="15522"/>
                    </a:lnTo>
                    <a:lnTo>
                      <a:pt x="2560" y="15522"/>
                    </a:lnTo>
                    <a:lnTo>
                      <a:pt x="3584" y="14659"/>
                    </a:lnTo>
                    <a:lnTo>
                      <a:pt x="4096" y="14659"/>
                    </a:lnTo>
                    <a:lnTo>
                      <a:pt x="4608" y="14659"/>
                    </a:lnTo>
                    <a:lnTo>
                      <a:pt x="5632" y="14659"/>
                    </a:lnTo>
                    <a:lnTo>
                      <a:pt x="6144" y="14659"/>
                    </a:lnTo>
                    <a:lnTo>
                      <a:pt x="6656" y="14228"/>
                    </a:lnTo>
                    <a:lnTo>
                      <a:pt x="7168" y="14228"/>
                    </a:lnTo>
                    <a:lnTo>
                      <a:pt x="8192" y="14228"/>
                    </a:lnTo>
                    <a:lnTo>
                      <a:pt x="8704" y="14228"/>
                    </a:lnTo>
                    <a:lnTo>
                      <a:pt x="9216" y="14228"/>
                    </a:lnTo>
                    <a:lnTo>
                      <a:pt x="10240" y="14228"/>
                    </a:lnTo>
                    <a:lnTo>
                      <a:pt x="10240" y="14659"/>
                    </a:lnTo>
                    <a:lnTo>
                      <a:pt x="10752" y="14659"/>
                    </a:lnTo>
                    <a:lnTo>
                      <a:pt x="11264" y="14659"/>
                    </a:lnTo>
                    <a:lnTo>
                      <a:pt x="11776" y="14659"/>
                    </a:lnTo>
                    <a:lnTo>
                      <a:pt x="12800" y="14659"/>
                    </a:lnTo>
                    <a:lnTo>
                      <a:pt x="13312" y="15522"/>
                    </a:lnTo>
                    <a:lnTo>
                      <a:pt x="13824" y="15522"/>
                    </a:lnTo>
                    <a:lnTo>
                      <a:pt x="14336" y="15522"/>
                    </a:lnTo>
                    <a:lnTo>
                      <a:pt x="15360" y="15522"/>
                    </a:lnTo>
                    <a:lnTo>
                      <a:pt x="15360" y="15953"/>
                    </a:lnTo>
                    <a:lnTo>
                      <a:pt x="15872" y="15953"/>
                    </a:lnTo>
                    <a:lnTo>
                      <a:pt x="16384" y="16384"/>
                    </a:lnTo>
                    <a:lnTo>
                      <a:pt x="8192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40" name="Объект 1047">
                <a:extLst>
                  <a:ext uri="{FF2B5EF4-FFF2-40B4-BE49-F238E27FC236}">
                    <a16:creationId xmlns:a16="http://schemas.microsoft.com/office/drawing/2014/main" id="{00000000-0008-0000-0900-000018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60000" y="800000"/>
                <a:ext cx="0" cy="2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1" name="Текст 1048">
                <a:extLst>
                  <a:ext uri="{FF2B5EF4-FFF2-40B4-BE49-F238E27FC236}">
                    <a16:creationId xmlns:a16="http://schemas.microsoft.com/office/drawing/2014/main" id="{00000000-0008-0000-0900-000019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020000" y="44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9242" name="Объект 1049">
                <a:extLst>
                  <a:ext uri="{FF2B5EF4-FFF2-40B4-BE49-F238E27FC236}">
                    <a16:creationId xmlns:a16="http://schemas.microsoft.com/office/drawing/2014/main" id="{00000000-0008-0000-0900-00001A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60000" y="820000"/>
                <a:ext cx="1400000" cy="2600000"/>
              </a:xfrm>
              <a:custGeom>
                <a:avLst/>
                <a:gdLst/>
                <a:ahLst/>
                <a:cxnLst>
                  <a:cxn ang="0">
                    <a:pos x="2515" y="8185"/>
                  </a:cxn>
                  <a:cxn ang="0">
                    <a:pos x="2515" y="13690"/>
                  </a:cxn>
                  <a:cxn ang="0">
                    <a:pos x="2515" y="13865"/>
                  </a:cxn>
                  <a:cxn ang="0">
                    <a:pos x="2552" y="14010"/>
                  </a:cxn>
                  <a:cxn ang="0">
                    <a:pos x="2663" y="14141"/>
                  </a:cxn>
                  <a:cxn ang="0">
                    <a:pos x="2737" y="14272"/>
                  </a:cxn>
                  <a:cxn ang="0">
                    <a:pos x="2922" y="14403"/>
                  </a:cxn>
                  <a:cxn ang="0">
                    <a:pos x="3070" y="14491"/>
                  </a:cxn>
                  <a:cxn ang="0">
                    <a:pos x="3292" y="14607"/>
                  </a:cxn>
                  <a:cxn ang="0">
                    <a:pos x="3550" y="14680"/>
                  </a:cxn>
                  <a:cxn ang="0">
                    <a:pos x="3772" y="14782"/>
                  </a:cxn>
                  <a:cxn ang="0">
                    <a:pos x="4068" y="14826"/>
                  </a:cxn>
                  <a:cxn ang="0">
                    <a:pos x="4364" y="14899"/>
                  </a:cxn>
                  <a:cxn ang="0">
                    <a:pos x="4697" y="14957"/>
                  </a:cxn>
                  <a:cxn ang="0">
                    <a:pos x="5400" y="15059"/>
                  </a:cxn>
                  <a:cxn ang="0">
                    <a:pos x="6139" y="15132"/>
                  </a:cxn>
                  <a:cxn ang="0">
                    <a:pos x="14905" y="15612"/>
                  </a:cxn>
                  <a:cxn ang="0">
                    <a:pos x="15274" y="15627"/>
                  </a:cxn>
                  <a:cxn ang="0">
                    <a:pos x="15607" y="15670"/>
                  </a:cxn>
                  <a:cxn ang="0">
                    <a:pos x="15866" y="15729"/>
                  </a:cxn>
                  <a:cxn ang="0">
                    <a:pos x="16051" y="15816"/>
                  </a:cxn>
                  <a:cxn ang="0">
                    <a:pos x="16199" y="15933"/>
                  </a:cxn>
                  <a:cxn ang="0">
                    <a:pos x="16273" y="16049"/>
                  </a:cxn>
                  <a:cxn ang="0">
                    <a:pos x="16310" y="16209"/>
                  </a:cxn>
                  <a:cxn ang="0">
                    <a:pos x="16384" y="16384"/>
                  </a:cxn>
                  <a:cxn ang="0">
                    <a:pos x="0" y="16384"/>
                  </a:cxn>
                  <a:cxn ang="0">
                    <a:pos x="0" y="8185"/>
                  </a:cxn>
                  <a:cxn ang="0">
                    <a:pos x="0" y="0"/>
                  </a:cxn>
                  <a:cxn ang="0">
                    <a:pos x="16384" y="0"/>
                  </a:cxn>
                  <a:cxn ang="0">
                    <a:pos x="16310" y="175"/>
                  </a:cxn>
                  <a:cxn ang="0">
                    <a:pos x="16273" y="320"/>
                  </a:cxn>
                  <a:cxn ang="0">
                    <a:pos x="16199" y="451"/>
                  </a:cxn>
                  <a:cxn ang="0">
                    <a:pos x="16051" y="568"/>
                  </a:cxn>
                  <a:cxn ang="0">
                    <a:pos x="15866" y="641"/>
                  </a:cxn>
                  <a:cxn ang="0">
                    <a:pos x="15607" y="714"/>
                  </a:cxn>
                  <a:cxn ang="0">
                    <a:pos x="15274" y="757"/>
                  </a:cxn>
                  <a:cxn ang="0">
                    <a:pos x="14905" y="757"/>
                  </a:cxn>
                  <a:cxn ang="0">
                    <a:pos x="5917" y="1398"/>
                  </a:cxn>
                  <a:cxn ang="0">
                    <a:pos x="5104" y="1471"/>
                  </a:cxn>
                  <a:cxn ang="0">
                    <a:pos x="4401" y="1587"/>
                  </a:cxn>
                  <a:cxn ang="0">
                    <a:pos x="4105" y="1660"/>
                  </a:cxn>
                  <a:cxn ang="0">
                    <a:pos x="3846" y="1718"/>
                  </a:cxn>
                  <a:cxn ang="0">
                    <a:pos x="3550" y="1820"/>
                  </a:cxn>
                  <a:cxn ang="0">
                    <a:pos x="3292" y="1893"/>
                  </a:cxn>
                  <a:cxn ang="0">
                    <a:pos x="3107" y="1995"/>
                  </a:cxn>
                  <a:cxn ang="0">
                    <a:pos x="2959" y="2112"/>
                  </a:cxn>
                  <a:cxn ang="0">
                    <a:pos x="2848" y="2228"/>
                  </a:cxn>
                  <a:cxn ang="0">
                    <a:pos x="2700" y="2359"/>
                  </a:cxn>
                  <a:cxn ang="0">
                    <a:pos x="2589" y="2505"/>
                  </a:cxn>
                  <a:cxn ang="0">
                    <a:pos x="2552" y="2651"/>
                  </a:cxn>
                  <a:cxn ang="0">
                    <a:pos x="2515" y="2825"/>
                  </a:cxn>
                  <a:cxn ang="0">
                    <a:pos x="2515" y="3000"/>
                  </a:cxn>
                  <a:cxn ang="0">
                    <a:pos x="2515" y="8185"/>
                  </a:cxn>
                </a:cxnLst>
                <a:rect l="0" t="0" r="r" b="b"/>
                <a:pathLst>
                  <a:path w="16384" h="16384">
                    <a:moveTo>
                      <a:pt x="2515" y="8185"/>
                    </a:moveTo>
                    <a:lnTo>
                      <a:pt x="2515" y="13690"/>
                    </a:lnTo>
                    <a:lnTo>
                      <a:pt x="2515" y="13865"/>
                    </a:lnTo>
                    <a:lnTo>
                      <a:pt x="2552" y="14010"/>
                    </a:lnTo>
                    <a:lnTo>
                      <a:pt x="2663" y="14141"/>
                    </a:lnTo>
                    <a:lnTo>
                      <a:pt x="2737" y="14272"/>
                    </a:lnTo>
                    <a:lnTo>
                      <a:pt x="2922" y="14403"/>
                    </a:lnTo>
                    <a:lnTo>
                      <a:pt x="3070" y="14491"/>
                    </a:lnTo>
                    <a:lnTo>
                      <a:pt x="3292" y="14607"/>
                    </a:lnTo>
                    <a:lnTo>
                      <a:pt x="3550" y="14680"/>
                    </a:lnTo>
                    <a:lnTo>
                      <a:pt x="3772" y="14782"/>
                    </a:lnTo>
                    <a:lnTo>
                      <a:pt x="4068" y="14826"/>
                    </a:lnTo>
                    <a:lnTo>
                      <a:pt x="4364" y="14899"/>
                    </a:lnTo>
                    <a:lnTo>
                      <a:pt x="4697" y="14957"/>
                    </a:lnTo>
                    <a:lnTo>
                      <a:pt x="5400" y="15059"/>
                    </a:lnTo>
                    <a:lnTo>
                      <a:pt x="6139" y="15132"/>
                    </a:lnTo>
                    <a:lnTo>
                      <a:pt x="14905" y="15612"/>
                    </a:lnTo>
                    <a:lnTo>
                      <a:pt x="15274" y="15627"/>
                    </a:lnTo>
                    <a:lnTo>
                      <a:pt x="15607" y="15670"/>
                    </a:lnTo>
                    <a:lnTo>
                      <a:pt x="15866" y="15729"/>
                    </a:lnTo>
                    <a:lnTo>
                      <a:pt x="16051" y="15816"/>
                    </a:lnTo>
                    <a:lnTo>
                      <a:pt x="16199" y="15933"/>
                    </a:lnTo>
                    <a:lnTo>
                      <a:pt x="16273" y="16049"/>
                    </a:lnTo>
                    <a:lnTo>
                      <a:pt x="16310" y="16209"/>
                    </a:lnTo>
                    <a:lnTo>
                      <a:pt x="16384" y="16384"/>
                    </a:lnTo>
                    <a:lnTo>
                      <a:pt x="0" y="16384"/>
                    </a:lnTo>
                    <a:lnTo>
                      <a:pt x="0" y="8185"/>
                    </a:lnTo>
                    <a:lnTo>
                      <a:pt x="0" y="0"/>
                    </a:lnTo>
                    <a:lnTo>
                      <a:pt x="16384" y="0"/>
                    </a:lnTo>
                    <a:lnTo>
                      <a:pt x="16310" y="175"/>
                    </a:lnTo>
                    <a:lnTo>
                      <a:pt x="16273" y="320"/>
                    </a:lnTo>
                    <a:lnTo>
                      <a:pt x="16199" y="451"/>
                    </a:lnTo>
                    <a:lnTo>
                      <a:pt x="16051" y="568"/>
                    </a:lnTo>
                    <a:lnTo>
                      <a:pt x="15866" y="641"/>
                    </a:lnTo>
                    <a:lnTo>
                      <a:pt x="15607" y="714"/>
                    </a:lnTo>
                    <a:lnTo>
                      <a:pt x="15274" y="757"/>
                    </a:lnTo>
                    <a:lnTo>
                      <a:pt x="14905" y="757"/>
                    </a:lnTo>
                    <a:lnTo>
                      <a:pt x="5917" y="1398"/>
                    </a:lnTo>
                    <a:lnTo>
                      <a:pt x="5104" y="1471"/>
                    </a:lnTo>
                    <a:lnTo>
                      <a:pt x="4401" y="1587"/>
                    </a:lnTo>
                    <a:lnTo>
                      <a:pt x="4105" y="1660"/>
                    </a:lnTo>
                    <a:lnTo>
                      <a:pt x="3846" y="1718"/>
                    </a:lnTo>
                    <a:lnTo>
                      <a:pt x="3550" y="1820"/>
                    </a:lnTo>
                    <a:lnTo>
                      <a:pt x="3292" y="1893"/>
                    </a:lnTo>
                    <a:lnTo>
                      <a:pt x="3107" y="1995"/>
                    </a:lnTo>
                    <a:lnTo>
                      <a:pt x="2959" y="2112"/>
                    </a:lnTo>
                    <a:lnTo>
                      <a:pt x="2848" y="2228"/>
                    </a:lnTo>
                    <a:lnTo>
                      <a:pt x="2700" y="2359"/>
                    </a:lnTo>
                    <a:lnTo>
                      <a:pt x="2589" y="2505"/>
                    </a:lnTo>
                    <a:lnTo>
                      <a:pt x="2552" y="2651"/>
                    </a:lnTo>
                    <a:lnTo>
                      <a:pt x="2515" y="2825"/>
                    </a:lnTo>
                    <a:lnTo>
                      <a:pt x="2515" y="3000"/>
                    </a:lnTo>
                    <a:lnTo>
                      <a:pt x="2515" y="8185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43" name="Объект 1050">
                <a:extLst>
                  <a:ext uri="{FF2B5EF4-FFF2-40B4-BE49-F238E27FC236}">
                    <a16:creationId xmlns:a16="http://schemas.microsoft.com/office/drawing/2014/main" id="{00000000-0008-0000-0900-00001B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60000" y="820000"/>
                <a:ext cx="1400000" cy="2600000"/>
              </a:xfrm>
              <a:custGeom>
                <a:avLst/>
                <a:gdLst/>
                <a:ahLst/>
                <a:cxnLst>
                  <a:cxn ang="0">
                    <a:pos x="2515" y="8185"/>
                  </a:cxn>
                  <a:cxn ang="0">
                    <a:pos x="2515" y="13690"/>
                  </a:cxn>
                  <a:cxn ang="0">
                    <a:pos x="2515" y="13865"/>
                  </a:cxn>
                  <a:cxn ang="0">
                    <a:pos x="2552" y="14010"/>
                  </a:cxn>
                  <a:cxn ang="0">
                    <a:pos x="2663" y="14141"/>
                  </a:cxn>
                  <a:cxn ang="0">
                    <a:pos x="2737" y="14272"/>
                  </a:cxn>
                  <a:cxn ang="0">
                    <a:pos x="2922" y="14403"/>
                  </a:cxn>
                  <a:cxn ang="0">
                    <a:pos x="3070" y="14491"/>
                  </a:cxn>
                  <a:cxn ang="0">
                    <a:pos x="3292" y="14607"/>
                  </a:cxn>
                  <a:cxn ang="0">
                    <a:pos x="3550" y="14680"/>
                  </a:cxn>
                  <a:cxn ang="0">
                    <a:pos x="3772" y="14782"/>
                  </a:cxn>
                  <a:cxn ang="0">
                    <a:pos x="4068" y="14826"/>
                  </a:cxn>
                  <a:cxn ang="0">
                    <a:pos x="4364" y="14899"/>
                  </a:cxn>
                  <a:cxn ang="0">
                    <a:pos x="4697" y="14957"/>
                  </a:cxn>
                  <a:cxn ang="0">
                    <a:pos x="5400" y="15059"/>
                  </a:cxn>
                  <a:cxn ang="0">
                    <a:pos x="6139" y="15132"/>
                  </a:cxn>
                  <a:cxn ang="0">
                    <a:pos x="14905" y="15612"/>
                  </a:cxn>
                  <a:cxn ang="0">
                    <a:pos x="15274" y="15627"/>
                  </a:cxn>
                  <a:cxn ang="0">
                    <a:pos x="15607" y="15670"/>
                  </a:cxn>
                  <a:cxn ang="0">
                    <a:pos x="15866" y="15729"/>
                  </a:cxn>
                  <a:cxn ang="0">
                    <a:pos x="16051" y="15816"/>
                  </a:cxn>
                  <a:cxn ang="0">
                    <a:pos x="16199" y="15933"/>
                  </a:cxn>
                  <a:cxn ang="0">
                    <a:pos x="16273" y="16049"/>
                  </a:cxn>
                  <a:cxn ang="0">
                    <a:pos x="16310" y="16209"/>
                  </a:cxn>
                  <a:cxn ang="0">
                    <a:pos x="16384" y="16384"/>
                  </a:cxn>
                  <a:cxn ang="0">
                    <a:pos x="0" y="16384"/>
                  </a:cxn>
                  <a:cxn ang="0">
                    <a:pos x="0" y="8185"/>
                  </a:cxn>
                  <a:cxn ang="0">
                    <a:pos x="0" y="0"/>
                  </a:cxn>
                  <a:cxn ang="0">
                    <a:pos x="16384" y="0"/>
                  </a:cxn>
                  <a:cxn ang="0">
                    <a:pos x="16310" y="175"/>
                  </a:cxn>
                  <a:cxn ang="0">
                    <a:pos x="16273" y="320"/>
                  </a:cxn>
                  <a:cxn ang="0">
                    <a:pos x="16199" y="451"/>
                  </a:cxn>
                  <a:cxn ang="0">
                    <a:pos x="16051" y="568"/>
                  </a:cxn>
                  <a:cxn ang="0">
                    <a:pos x="15866" y="641"/>
                  </a:cxn>
                  <a:cxn ang="0">
                    <a:pos x="15607" y="714"/>
                  </a:cxn>
                  <a:cxn ang="0">
                    <a:pos x="15274" y="757"/>
                  </a:cxn>
                  <a:cxn ang="0">
                    <a:pos x="14905" y="757"/>
                  </a:cxn>
                  <a:cxn ang="0">
                    <a:pos x="5917" y="1398"/>
                  </a:cxn>
                  <a:cxn ang="0">
                    <a:pos x="5104" y="1471"/>
                  </a:cxn>
                  <a:cxn ang="0">
                    <a:pos x="4401" y="1587"/>
                  </a:cxn>
                  <a:cxn ang="0">
                    <a:pos x="4105" y="1660"/>
                  </a:cxn>
                  <a:cxn ang="0">
                    <a:pos x="3846" y="1718"/>
                  </a:cxn>
                  <a:cxn ang="0">
                    <a:pos x="3550" y="1820"/>
                  </a:cxn>
                  <a:cxn ang="0">
                    <a:pos x="3292" y="1893"/>
                  </a:cxn>
                  <a:cxn ang="0">
                    <a:pos x="3107" y="1995"/>
                  </a:cxn>
                  <a:cxn ang="0">
                    <a:pos x="2959" y="2112"/>
                  </a:cxn>
                  <a:cxn ang="0">
                    <a:pos x="2848" y="2228"/>
                  </a:cxn>
                  <a:cxn ang="0">
                    <a:pos x="2700" y="2359"/>
                  </a:cxn>
                  <a:cxn ang="0">
                    <a:pos x="2589" y="2505"/>
                  </a:cxn>
                  <a:cxn ang="0">
                    <a:pos x="2552" y="2651"/>
                  </a:cxn>
                  <a:cxn ang="0">
                    <a:pos x="2515" y="2825"/>
                  </a:cxn>
                  <a:cxn ang="0">
                    <a:pos x="2515" y="3000"/>
                  </a:cxn>
                  <a:cxn ang="0">
                    <a:pos x="2515" y="8185"/>
                  </a:cxn>
                </a:cxnLst>
                <a:rect l="0" t="0" r="r" b="b"/>
                <a:pathLst>
                  <a:path w="16384" h="16384">
                    <a:moveTo>
                      <a:pt x="2515" y="8185"/>
                    </a:moveTo>
                    <a:lnTo>
                      <a:pt x="2515" y="13690"/>
                    </a:lnTo>
                    <a:lnTo>
                      <a:pt x="2515" y="13865"/>
                    </a:lnTo>
                    <a:lnTo>
                      <a:pt x="2552" y="14010"/>
                    </a:lnTo>
                    <a:lnTo>
                      <a:pt x="2663" y="14141"/>
                    </a:lnTo>
                    <a:lnTo>
                      <a:pt x="2737" y="14272"/>
                    </a:lnTo>
                    <a:lnTo>
                      <a:pt x="2922" y="14403"/>
                    </a:lnTo>
                    <a:lnTo>
                      <a:pt x="3070" y="14491"/>
                    </a:lnTo>
                    <a:lnTo>
                      <a:pt x="3292" y="14607"/>
                    </a:lnTo>
                    <a:lnTo>
                      <a:pt x="3550" y="14680"/>
                    </a:lnTo>
                    <a:lnTo>
                      <a:pt x="3772" y="14782"/>
                    </a:lnTo>
                    <a:lnTo>
                      <a:pt x="4068" y="14826"/>
                    </a:lnTo>
                    <a:lnTo>
                      <a:pt x="4364" y="14899"/>
                    </a:lnTo>
                    <a:lnTo>
                      <a:pt x="4697" y="14957"/>
                    </a:lnTo>
                    <a:lnTo>
                      <a:pt x="5400" y="15059"/>
                    </a:lnTo>
                    <a:lnTo>
                      <a:pt x="6139" y="15132"/>
                    </a:lnTo>
                    <a:lnTo>
                      <a:pt x="14905" y="15612"/>
                    </a:lnTo>
                    <a:lnTo>
                      <a:pt x="15274" y="15627"/>
                    </a:lnTo>
                    <a:lnTo>
                      <a:pt x="15607" y="15670"/>
                    </a:lnTo>
                    <a:lnTo>
                      <a:pt x="15866" y="15729"/>
                    </a:lnTo>
                    <a:lnTo>
                      <a:pt x="16051" y="15816"/>
                    </a:lnTo>
                    <a:lnTo>
                      <a:pt x="16199" y="15933"/>
                    </a:lnTo>
                    <a:lnTo>
                      <a:pt x="16273" y="16049"/>
                    </a:lnTo>
                    <a:lnTo>
                      <a:pt x="16310" y="16209"/>
                    </a:lnTo>
                    <a:lnTo>
                      <a:pt x="16384" y="16384"/>
                    </a:lnTo>
                    <a:lnTo>
                      <a:pt x="0" y="16384"/>
                    </a:lnTo>
                    <a:lnTo>
                      <a:pt x="0" y="8185"/>
                    </a:lnTo>
                    <a:lnTo>
                      <a:pt x="0" y="0"/>
                    </a:lnTo>
                    <a:lnTo>
                      <a:pt x="16384" y="0"/>
                    </a:lnTo>
                    <a:lnTo>
                      <a:pt x="16310" y="175"/>
                    </a:lnTo>
                    <a:lnTo>
                      <a:pt x="16273" y="320"/>
                    </a:lnTo>
                    <a:lnTo>
                      <a:pt x="16199" y="451"/>
                    </a:lnTo>
                    <a:lnTo>
                      <a:pt x="16051" y="568"/>
                    </a:lnTo>
                    <a:lnTo>
                      <a:pt x="15866" y="641"/>
                    </a:lnTo>
                    <a:lnTo>
                      <a:pt x="15607" y="714"/>
                    </a:lnTo>
                    <a:lnTo>
                      <a:pt x="15274" y="757"/>
                    </a:lnTo>
                    <a:lnTo>
                      <a:pt x="14905" y="757"/>
                    </a:lnTo>
                    <a:lnTo>
                      <a:pt x="5917" y="1398"/>
                    </a:lnTo>
                    <a:lnTo>
                      <a:pt x="5104" y="1471"/>
                    </a:lnTo>
                    <a:lnTo>
                      <a:pt x="4401" y="1587"/>
                    </a:lnTo>
                    <a:lnTo>
                      <a:pt x="4105" y="1660"/>
                    </a:lnTo>
                    <a:lnTo>
                      <a:pt x="3846" y="1718"/>
                    </a:lnTo>
                    <a:lnTo>
                      <a:pt x="3550" y="1820"/>
                    </a:lnTo>
                    <a:lnTo>
                      <a:pt x="3292" y="1893"/>
                    </a:lnTo>
                    <a:lnTo>
                      <a:pt x="3107" y="1995"/>
                    </a:lnTo>
                    <a:lnTo>
                      <a:pt x="2959" y="2112"/>
                    </a:lnTo>
                    <a:lnTo>
                      <a:pt x="2848" y="2228"/>
                    </a:lnTo>
                    <a:lnTo>
                      <a:pt x="2700" y="2359"/>
                    </a:lnTo>
                    <a:lnTo>
                      <a:pt x="2589" y="2505"/>
                    </a:lnTo>
                    <a:lnTo>
                      <a:pt x="2552" y="2651"/>
                    </a:lnTo>
                    <a:lnTo>
                      <a:pt x="2515" y="2825"/>
                    </a:lnTo>
                    <a:lnTo>
                      <a:pt x="2515" y="3000"/>
                    </a:lnTo>
                    <a:lnTo>
                      <a:pt x="2515" y="8185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4" name="Объект 1051">
                <a:extLst>
                  <a:ext uri="{FF2B5EF4-FFF2-40B4-BE49-F238E27FC236}">
                    <a16:creationId xmlns:a16="http://schemas.microsoft.com/office/drawing/2014/main" id="{00000000-0008-0000-0900-00001C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60000" y="540000"/>
                <a:ext cx="20000" cy="33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776"/>
                  </a:cxn>
                  <a:cxn ang="0">
                    <a:pos x="0" y="9994"/>
                  </a:cxn>
                  <a:cxn ang="0">
                    <a:pos x="0" y="12916"/>
                  </a:cxn>
                  <a:cxn ang="0">
                    <a:pos x="0" y="14781"/>
                  </a:cxn>
                  <a:cxn ang="0">
                    <a:pos x="0" y="15827"/>
                  </a:cxn>
                  <a:cxn ang="0">
                    <a:pos x="0" y="16282"/>
                  </a:cxn>
                  <a:cxn ang="0">
                    <a:pos x="0" y="16384"/>
                  </a:cxn>
                  <a:cxn ang="0">
                    <a:pos x="0" y="16373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776"/>
                    </a:lnTo>
                    <a:lnTo>
                      <a:pt x="0" y="9994"/>
                    </a:lnTo>
                    <a:lnTo>
                      <a:pt x="0" y="12916"/>
                    </a:lnTo>
                    <a:lnTo>
                      <a:pt x="0" y="14781"/>
                    </a:lnTo>
                    <a:lnTo>
                      <a:pt x="0" y="15827"/>
                    </a:lnTo>
                    <a:lnTo>
                      <a:pt x="0" y="16282"/>
                    </a:lnTo>
                    <a:lnTo>
                      <a:pt x="0" y="16384"/>
                    </a:lnTo>
                    <a:lnTo>
                      <a:pt x="0" y="16373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5" name="Объект 1052">
                <a:extLst>
                  <a:ext uri="{FF2B5EF4-FFF2-40B4-BE49-F238E27FC236}">
                    <a16:creationId xmlns:a16="http://schemas.microsoft.com/office/drawing/2014/main" id="{00000000-0008-0000-0900-00001D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60000" y="840000"/>
                <a:ext cx="20000" cy="4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61"/>
                  </a:cxn>
                  <a:cxn ang="0">
                    <a:pos x="0" y="9498"/>
                  </a:cxn>
                  <a:cxn ang="0">
                    <a:pos x="0" y="12427"/>
                  </a:cxn>
                  <a:cxn ang="0">
                    <a:pos x="0" y="14405"/>
                  </a:cxn>
                  <a:cxn ang="0">
                    <a:pos x="0" y="15593"/>
                  </a:cxn>
                  <a:cxn ang="0">
                    <a:pos x="0" y="16226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61"/>
                    </a:lnTo>
                    <a:lnTo>
                      <a:pt x="0" y="9498"/>
                    </a:lnTo>
                    <a:lnTo>
                      <a:pt x="0" y="12427"/>
                    </a:lnTo>
                    <a:lnTo>
                      <a:pt x="0" y="14405"/>
                    </a:lnTo>
                    <a:lnTo>
                      <a:pt x="0" y="15593"/>
                    </a:lnTo>
                    <a:lnTo>
                      <a:pt x="0" y="16226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6" name="Объект 1053">
                <a:extLst>
                  <a:ext uri="{FF2B5EF4-FFF2-40B4-BE49-F238E27FC236}">
                    <a16:creationId xmlns:a16="http://schemas.microsoft.com/office/drawing/2014/main" id="{00000000-0008-0000-0900-00001E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0000" y="1240000"/>
                <a:ext cx="48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25" y="0"/>
                  </a:cxn>
                  <a:cxn ang="0">
                    <a:pos x="9440" y="0"/>
                  </a:cxn>
                  <a:cxn ang="0">
                    <a:pos x="12369" y="0"/>
                  </a:cxn>
                  <a:cxn ang="0">
                    <a:pos x="14322" y="0"/>
                  </a:cxn>
                  <a:cxn ang="0">
                    <a:pos x="15624" y="0"/>
                  </a:cxn>
                  <a:cxn ang="0">
                    <a:pos x="1616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25" y="0"/>
                    </a:lnTo>
                    <a:lnTo>
                      <a:pt x="9440" y="0"/>
                    </a:lnTo>
                    <a:lnTo>
                      <a:pt x="12369" y="0"/>
                    </a:lnTo>
                    <a:lnTo>
                      <a:pt x="14322" y="0"/>
                    </a:lnTo>
                    <a:lnTo>
                      <a:pt x="15624" y="0"/>
                    </a:lnTo>
                    <a:lnTo>
                      <a:pt x="1616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7" name="Объект 1054">
                <a:extLst>
                  <a:ext uri="{FF2B5EF4-FFF2-40B4-BE49-F238E27FC236}">
                    <a16:creationId xmlns:a16="http://schemas.microsoft.com/office/drawing/2014/main" id="{00000000-0008-0000-0900-00001F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60000" y="120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8440"/>
                  </a:cxn>
                  <a:cxn ang="0">
                    <a:pos x="16384" y="0"/>
                  </a:cxn>
                  <a:cxn ang="0">
                    <a:pos x="15953" y="496"/>
                  </a:cxn>
                  <a:cxn ang="0">
                    <a:pos x="15953" y="1489"/>
                  </a:cxn>
                  <a:cxn ang="0">
                    <a:pos x="15953" y="1986"/>
                  </a:cxn>
                  <a:cxn ang="0">
                    <a:pos x="15522" y="2482"/>
                  </a:cxn>
                  <a:cxn ang="0">
                    <a:pos x="15522" y="2979"/>
                  </a:cxn>
                  <a:cxn ang="0">
                    <a:pos x="15091" y="3972"/>
                  </a:cxn>
                  <a:cxn ang="0">
                    <a:pos x="15091" y="4468"/>
                  </a:cxn>
                  <a:cxn ang="0">
                    <a:pos x="15091" y="4965"/>
                  </a:cxn>
                  <a:cxn ang="0">
                    <a:pos x="15091" y="5958"/>
                  </a:cxn>
                  <a:cxn ang="0">
                    <a:pos x="15091" y="6454"/>
                  </a:cxn>
                  <a:cxn ang="0">
                    <a:pos x="15091" y="6951"/>
                  </a:cxn>
                  <a:cxn ang="0">
                    <a:pos x="14228" y="6951"/>
                  </a:cxn>
                  <a:cxn ang="0">
                    <a:pos x="14228" y="7447"/>
                  </a:cxn>
                  <a:cxn ang="0">
                    <a:pos x="14228" y="8440"/>
                  </a:cxn>
                  <a:cxn ang="0">
                    <a:pos x="14228" y="8937"/>
                  </a:cxn>
                  <a:cxn ang="0">
                    <a:pos x="14228" y="9433"/>
                  </a:cxn>
                  <a:cxn ang="0">
                    <a:pos x="15091" y="9433"/>
                  </a:cxn>
                  <a:cxn ang="0">
                    <a:pos x="15091" y="10426"/>
                  </a:cxn>
                  <a:cxn ang="0">
                    <a:pos x="15091" y="10923"/>
                  </a:cxn>
                  <a:cxn ang="0">
                    <a:pos x="15091" y="11419"/>
                  </a:cxn>
                  <a:cxn ang="0">
                    <a:pos x="15091" y="11916"/>
                  </a:cxn>
                  <a:cxn ang="0">
                    <a:pos x="15091" y="12909"/>
                  </a:cxn>
                  <a:cxn ang="0">
                    <a:pos x="15522" y="13405"/>
                  </a:cxn>
                  <a:cxn ang="0">
                    <a:pos x="15522" y="13902"/>
                  </a:cxn>
                  <a:cxn ang="0">
                    <a:pos x="15953" y="14398"/>
                  </a:cxn>
                  <a:cxn ang="0">
                    <a:pos x="15953" y="15391"/>
                  </a:cxn>
                  <a:cxn ang="0">
                    <a:pos x="15953" y="15888"/>
                  </a:cxn>
                  <a:cxn ang="0">
                    <a:pos x="16384" y="16384"/>
                  </a:cxn>
                  <a:cxn ang="0">
                    <a:pos x="0" y="8440"/>
                  </a:cxn>
                </a:cxnLst>
                <a:rect l="0" t="0" r="r" b="b"/>
                <a:pathLst>
                  <a:path w="16384" h="16384">
                    <a:moveTo>
                      <a:pt x="0" y="8440"/>
                    </a:moveTo>
                    <a:lnTo>
                      <a:pt x="16384" y="0"/>
                    </a:lnTo>
                    <a:lnTo>
                      <a:pt x="15953" y="496"/>
                    </a:lnTo>
                    <a:lnTo>
                      <a:pt x="15953" y="1489"/>
                    </a:lnTo>
                    <a:lnTo>
                      <a:pt x="15953" y="1986"/>
                    </a:lnTo>
                    <a:lnTo>
                      <a:pt x="15522" y="2482"/>
                    </a:lnTo>
                    <a:lnTo>
                      <a:pt x="15522" y="2979"/>
                    </a:lnTo>
                    <a:lnTo>
                      <a:pt x="15091" y="3972"/>
                    </a:lnTo>
                    <a:lnTo>
                      <a:pt x="15091" y="4468"/>
                    </a:lnTo>
                    <a:lnTo>
                      <a:pt x="15091" y="4965"/>
                    </a:lnTo>
                    <a:lnTo>
                      <a:pt x="15091" y="5958"/>
                    </a:lnTo>
                    <a:lnTo>
                      <a:pt x="15091" y="6454"/>
                    </a:lnTo>
                    <a:lnTo>
                      <a:pt x="15091" y="6951"/>
                    </a:lnTo>
                    <a:lnTo>
                      <a:pt x="14228" y="6951"/>
                    </a:lnTo>
                    <a:lnTo>
                      <a:pt x="14228" y="7447"/>
                    </a:lnTo>
                    <a:lnTo>
                      <a:pt x="14228" y="8440"/>
                    </a:lnTo>
                    <a:lnTo>
                      <a:pt x="14228" y="8937"/>
                    </a:lnTo>
                    <a:lnTo>
                      <a:pt x="14228" y="9433"/>
                    </a:lnTo>
                    <a:lnTo>
                      <a:pt x="15091" y="9433"/>
                    </a:lnTo>
                    <a:lnTo>
                      <a:pt x="15091" y="10426"/>
                    </a:lnTo>
                    <a:lnTo>
                      <a:pt x="15091" y="10923"/>
                    </a:lnTo>
                    <a:lnTo>
                      <a:pt x="15091" y="11419"/>
                    </a:lnTo>
                    <a:lnTo>
                      <a:pt x="15091" y="11916"/>
                    </a:lnTo>
                    <a:lnTo>
                      <a:pt x="15091" y="12909"/>
                    </a:lnTo>
                    <a:lnTo>
                      <a:pt x="15522" y="13405"/>
                    </a:lnTo>
                    <a:lnTo>
                      <a:pt x="15522" y="13902"/>
                    </a:lnTo>
                    <a:lnTo>
                      <a:pt x="15953" y="14398"/>
                    </a:lnTo>
                    <a:lnTo>
                      <a:pt x="15953" y="15391"/>
                    </a:lnTo>
                    <a:lnTo>
                      <a:pt x="15953" y="15888"/>
                    </a:lnTo>
                    <a:lnTo>
                      <a:pt x="16384" y="16384"/>
                    </a:lnTo>
                    <a:lnTo>
                      <a:pt x="0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48" name="Объект 1055">
                <a:extLst>
                  <a:ext uri="{FF2B5EF4-FFF2-40B4-BE49-F238E27FC236}">
                    <a16:creationId xmlns:a16="http://schemas.microsoft.com/office/drawing/2014/main" id="{00000000-0008-0000-0900-000020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0000" y="1200000"/>
                <a:ext cx="100000" cy="80000"/>
              </a:xfrm>
              <a:custGeom>
                <a:avLst/>
                <a:gdLst/>
                <a:ahLst/>
                <a:cxnLst>
                  <a:cxn ang="0">
                    <a:pos x="16384" y="8440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1489"/>
                  </a:cxn>
                  <a:cxn ang="0">
                    <a:pos x="886" y="1986"/>
                  </a:cxn>
                  <a:cxn ang="0">
                    <a:pos x="886" y="2482"/>
                  </a:cxn>
                  <a:cxn ang="0">
                    <a:pos x="886" y="2979"/>
                  </a:cxn>
                  <a:cxn ang="0">
                    <a:pos x="1328" y="3972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958"/>
                  </a:cxn>
                  <a:cxn ang="0">
                    <a:pos x="1328" y="6454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8440"/>
                  </a:cxn>
                  <a:cxn ang="0">
                    <a:pos x="1771" y="8937"/>
                  </a:cxn>
                  <a:cxn ang="0">
                    <a:pos x="1771" y="9433"/>
                  </a:cxn>
                  <a:cxn ang="0">
                    <a:pos x="1328" y="10426"/>
                  </a:cxn>
                  <a:cxn ang="0">
                    <a:pos x="1328" y="10923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909"/>
                  </a:cxn>
                  <a:cxn ang="0">
                    <a:pos x="886" y="13405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5391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8440"/>
                  </a:cxn>
                </a:cxnLst>
                <a:rect l="0" t="0" r="r" b="b"/>
                <a:pathLst>
                  <a:path w="16384" h="16384">
                    <a:moveTo>
                      <a:pt x="16384" y="8440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1489"/>
                    </a:lnTo>
                    <a:lnTo>
                      <a:pt x="886" y="1986"/>
                    </a:lnTo>
                    <a:lnTo>
                      <a:pt x="886" y="2482"/>
                    </a:lnTo>
                    <a:lnTo>
                      <a:pt x="886" y="2979"/>
                    </a:lnTo>
                    <a:lnTo>
                      <a:pt x="1328" y="3972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958"/>
                    </a:lnTo>
                    <a:lnTo>
                      <a:pt x="1328" y="6454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8440"/>
                    </a:lnTo>
                    <a:lnTo>
                      <a:pt x="1771" y="8937"/>
                    </a:lnTo>
                    <a:lnTo>
                      <a:pt x="1771" y="9433"/>
                    </a:lnTo>
                    <a:lnTo>
                      <a:pt x="1328" y="10426"/>
                    </a:lnTo>
                    <a:lnTo>
                      <a:pt x="1328" y="10923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909"/>
                    </a:lnTo>
                    <a:lnTo>
                      <a:pt x="886" y="13405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5391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49" name="Объект 1057">
                <a:extLst>
                  <a:ext uri="{FF2B5EF4-FFF2-40B4-BE49-F238E27FC236}">
                    <a16:creationId xmlns:a16="http://schemas.microsoft.com/office/drawing/2014/main" id="{00000000-0008-0000-0900-000021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000" y="860000"/>
                <a:ext cx="0" cy="25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11"/>
                  </a:cxn>
                  <a:cxn ang="0">
                    <a:pos x="0" y="9470"/>
                  </a:cxn>
                  <a:cxn ang="0">
                    <a:pos x="0" y="12371"/>
                  </a:cxn>
                  <a:cxn ang="0">
                    <a:pos x="0" y="14325"/>
                  </a:cxn>
                  <a:cxn ang="0">
                    <a:pos x="0" y="15512"/>
                  </a:cxn>
                  <a:cxn ang="0">
                    <a:pos x="0" y="16113"/>
                  </a:cxn>
                  <a:cxn ang="0">
                    <a:pos x="0" y="16339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11"/>
                    </a:lnTo>
                    <a:lnTo>
                      <a:pt x="0" y="9470"/>
                    </a:lnTo>
                    <a:lnTo>
                      <a:pt x="0" y="12371"/>
                    </a:lnTo>
                    <a:lnTo>
                      <a:pt x="0" y="14325"/>
                    </a:lnTo>
                    <a:lnTo>
                      <a:pt x="0" y="15512"/>
                    </a:lnTo>
                    <a:lnTo>
                      <a:pt x="0" y="16113"/>
                    </a:lnTo>
                    <a:lnTo>
                      <a:pt x="0" y="16339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0" name="Объект 1058">
                <a:extLst>
                  <a:ext uri="{FF2B5EF4-FFF2-40B4-BE49-F238E27FC236}">
                    <a16:creationId xmlns:a16="http://schemas.microsoft.com/office/drawing/2014/main" id="{00000000-0008-0000-0900-000022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000" y="820000"/>
                <a:ext cx="100000" cy="60000"/>
              </a:xfrm>
              <a:custGeom>
                <a:avLst/>
                <a:gdLst/>
                <a:ahLst/>
                <a:cxnLst>
                  <a:cxn ang="0">
                    <a:pos x="8704" y="0"/>
                  </a:cxn>
                  <a:cxn ang="0">
                    <a:pos x="16384" y="16384"/>
                  </a:cxn>
                  <a:cxn ang="0">
                    <a:pos x="15872" y="16384"/>
                  </a:cxn>
                  <a:cxn ang="0">
                    <a:pos x="15360" y="15941"/>
                  </a:cxn>
                  <a:cxn ang="0">
                    <a:pos x="14336" y="15941"/>
                  </a:cxn>
                  <a:cxn ang="0">
                    <a:pos x="13824" y="15941"/>
                  </a:cxn>
                  <a:cxn ang="0">
                    <a:pos x="13312" y="15941"/>
                  </a:cxn>
                  <a:cxn ang="0">
                    <a:pos x="13312" y="15056"/>
                  </a:cxn>
                  <a:cxn ang="0">
                    <a:pos x="12800" y="15056"/>
                  </a:cxn>
                  <a:cxn ang="0">
                    <a:pos x="11776" y="15056"/>
                  </a:cxn>
                  <a:cxn ang="0">
                    <a:pos x="11264" y="15056"/>
                  </a:cxn>
                  <a:cxn ang="0">
                    <a:pos x="10752" y="15056"/>
                  </a:cxn>
                  <a:cxn ang="0">
                    <a:pos x="10752" y="14613"/>
                  </a:cxn>
                  <a:cxn ang="0">
                    <a:pos x="10240" y="14613"/>
                  </a:cxn>
                  <a:cxn ang="0">
                    <a:pos x="9216" y="14613"/>
                  </a:cxn>
                  <a:cxn ang="0">
                    <a:pos x="8704" y="14613"/>
                  </a:cxn>
                  <a:cxn ang="0">
                    <a:pos x="8192" y="14613"/>
                  </a:cxn>
                  <a:cxn ang="0">
                    <a:pos x="7168" y="14613"/>
                  </a:cxn>
                  <a:cxn ang="0">
                    <a:pos x="6656" y="14613"/>
                  </a:cxn>
                  <a:cxn ang="0">
                    <a:pos x="6144" y="14613"/>
                  </a:cxn>
                  <a:cxn ang="0">
                    <a:pos x="6144" y="15056"/>
                  </a:cxn>
                  <a:cxn ang="0">
                    <a:pos x="5632" y="15056"/>
                  </a:cxn>
                  <a:cxn ang="0">
                    <a:pos x="4608" y="15056"/>
                  </a:cxn>
                  <a:cxn ang="0">
                    <a:pos x="4096" y="15056"/>
                  </a:cxn>
                  <a:cxn ang="0">
                    <a:pos x="3584" y="15056"/>
                  </a:cxn>
                  <a:cxn ang="0">
                    <a:pos x="3584" y="15941"/>
                  </a:cxn>
                  <a:cxn ang="0">
                    <a:pos x="2560" y="15941"/>
                  </a:cxn>
                  <a:cxn ang="0">
                    <a:pos x="2048" y="15941"/>
                  </a:cxn>
                  <a:cxn ang="0">
                    <a:pos x="1536" y="15941"/>
                  </a:cxn>
                  <a:cxn ang="0">
                    <a:pos x="1536" y="16384"/>
                  </a:cxn>
                  <a:cxn ang="0">
                    <a:pos x="1024" y="16384"/>
                  </a:cxn>
                  <a:cxn ang="0">
                    <a:pos x="0" y="16384"/>
                  </a:cxn>
                  <a:cxn ang="0">
                    <a:pos x="8704" y="0"/>
                  </a:cxn>
                </a:cxnLst>
                <a:rect l="0" t="0" r="r" b="b"/>
                <a:pathLst>
                  <a:path w="16384" h="16384">
                    <a:moveTo>
                      <a:pt x="8704" y="0"/>
                    </a:moveTo>
                    <a:lnTo>
                      <a:pt x="16384" y="16384"/>
                    </a:lnTo>
                    <a:lnTo>
                      <a:pt x="15872" y="16384"/>
                    </a:lnTo>
                    <a:lnTo>
                      <a:pt x="15360" y="15941"/>
                    </a:lnTo>
                    <a:lnTo>
                      <a:pt x="14336" y="15941"/>
                    </a:lnTo>
                    <a:lnTo>
                      <a:pt x="13824" y="15941"/>
                    </a:lnTo>
                    <a:lnTo>
                      <a:pt x="13312" y="15941"/>
                    </a:lnTo>
                    <a:lnTo>
                      <a:pt x="13312" y="15056"/>
                    </a:lnTo>
                    <a:lnTo>
                      <a:pt x="12800" y="15056"/>
                    </a:lnTo>
                    <a:lnTo>
                      <a:pt x="11776" y="15056"/>
                    </a:lnTo>
                    <a:lnTo>
                      <a:pt x="11264" y="15056"/>
                    </a:lnTo>
                    <a:lnTo>
                      <a:pt x="10752" y="15056"/>
                    </a:lnTo>
                    <a:lnTo>
                      <a:pt x="10752" y="14613"/>
                    </a:lnTo>
                    <a:lnTo>
                      <a:pt x="10240" y="14613"/>
                    </a:lnTo>
                    <a:lnTo>
                      <a:pt x="9216" y="14613"/>
                    </a:lnTo>
                    <a:lnTo>
                      <a:pt x="8704" y="14613"/>
                    </a:lnTo>
                    <a:lnTo>
                      <a:pt x="8192" y="14613"/>
                    </a:lnTo>
                    <a:lnTo>
                      <a:pt x="7168" y="14613"/>
                    </a:lnTo>
                    <a:lnTo>
                      <a:pt x="6656" y="14613"/>
                    </a:lnTo>
                    <a:lnTo>
                      <a:pt x="6144" y="14613"/>
                    </a:lnTo>
                    <a:lnTo>
                      <a:pt x="6144" y="15056"/>
                    </a:lnTo>
                    <a:lnTo>
                      <a:pt x="5632" y="15056"/>
                    </a:lnTo>
                    <a:lnTo>
                      <a:pt x="4608" y="15056"/>
                    </a:lnTo>
                    <a:lnTo>
                      <a:pt x="4096" y="15056"/>
                    </a:lnTo>
                    <a:lnTo>
                      <a:pt x="3584" y="15056"/>
                    </a:lnTo>
                    <a:lnTo>
                      <a:pt x="3584" y="15941"/>
                    </a:lnTo>
                    <a:lnTo>
                      <a:pt x="2560" y="15941"/>
                    </a:lnTo>
                    <a:lnTo>
                      <a:pt x="2048" y="15941"/>
                    </a:lnTo>
                    <a:lnTo>
                      <a:pt x="1536" y="15941"/>
                    </a:lnTo>
                    <a:lnTo>
                      <a:pt x="1536" y="16384"/>
                    </a:lnTo>
                    <a:lnTo>
                      <a:pt x="1024" y="16384"/>
                    </a:lnTo>
                    <a:lnTo>
                      <a:pt x="0" y="16384"/>
                    </a:lnTo>
                    <a:lnTo>
                      <a:pt x="870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51" name="Объект 1059">
                <a:extLst>
                  <a:ext uri="{FF2B5EF4-FFF2-40B4-BE49-F238E27FC236}">
                    <a16:creationId xmlns:a16="http://schemas.microsoft.com/office/drawing/2014/main" id="{00000000-0008-0000-0900-000023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000" y="3340000"/>
                <a:ext cx="100000" cy="80000"/>
              </a:xfrm>
              <a:custGeom>
                <a:avLst/>
                <a:gdLst/>
                <a:ahLst/>
                <a:cxnLst>
                  <a:cxn ang="0">
                    <a:pos x="8704" y="16384"/>
                  </a:cxn>
                  <a:cxn ang="0">
                    <a:pos x="16384" y="0"/>
                  </a:cxn>
                  <a:cxn ang="0">
                    <a:pos x="15872" y="0"/>
                  </a:cxn>
                  <a:cxn ang="0">
                    <a:pos x="15872" y="443"/>
                  </a:cxn>
                  <a:cxn ang="0">
                    <a:pos x="15360" y="443"/>
                  </a:cxn>
                  <a:cxn ang="0">
                    <a:pos x="14336" y="443"/>
                  </a:cxn>
                  <a:cxn ang="0">
                    <a:pos x="13824" y="886"/>
                  </a:cxn>
                  <a:cxn ang="0">
                    <a:pos x="13312" y="886"/>
                  </a:cxn>
                  <a:cxn ang="0">
                    <a:pos x="12800" y="886"/>
                  </a:cxn>
                  <a:cxn ang="0">
                    <a:pos x="11776" y="1328"/>
                  </a:cxn>
                  <a:cxn ang="0">
                    <a:pos x="11264" y="1328"/>
                  </a:cxn>
                  <a:cxn ang="0">
                    <a:pos x="10752" y="1328"/>
                  </a:cxn>
                  <a:cxn ang="0">
                    <a:pos x="10240" y="1328"/>
                  </a:cxn>
                  <a:cxn ang="0">
                    <a:pos x="9216" y="1328"/>
                  </a:cxn>
                  <a:cxn ang="0">
                    <a:pos x="8704" y="1328"/>
                  </a:cxn>
                  <a:cxn ang="0">
                    <a:pos x="8192" y="1328"/>
                  </a:cxn>
                  <a:cxn ang="0">
                    <a:pos x="7168" y="1328"/>
                  </a:cxn>
                  <a:cxn ang="0">
                    <a:pos x="6656" y="1328"/>
                  </a:cxn>
                  <a:cxn ang="0">
                    <a:pos x="6144" y="1328"/>
                  </a:cxn>
                  <a:cxn ang="0">
                    <a:pos x="5632" y="1328"/>
                  </a:cxn>
                  <a:cxn ang="0">
                    <a:pos x="4608" y="1328"/>
                  </a:cxn>
                  <a:cxn ang="0">
                    <a:pos x="4096" y="886"/>
                  </a:cxn>
                  <a:cxn ang="0">
                    <a:pos x="3584" y="886"/>
                  </a:cxn>
                  <a:cxn ang="0">
                    <a:pos x="2560" y="886"/>
                  </a:cxn>
                  <a:cxn ang="0">
                    <a:pos x="2048" y="443"/>
                  </a:cxn>
                  <a:cxn ang="0">
                    <a:pos x="1536" y="443"/>
                  </a:cxn>
                  <a:cxn ang="0">
                    <a:pos x="1024" y="0"/>
                  </a:cxn>
                  <a:cxn ang="0">
                    <a:pos x="0" y="0"/>
                  </a:cxn>
                  <a:cxn ang="0">
                    <a:pos x="8704" y="16384"/>
                  </a:cxn>
                </a:cxnLst>
                <a:rect l="0" t="0" r="r" b="b"/>
                <a:pathLst>
                  <a:path w="16384" h="16384">
                    <a:moveTo>
                      <a:pt x="8704" y="16384"/>
                    </a:moveTo>
                    <a:lnTo>
                      <a:pt x="16384" y="0"/>
                    </a:lnTo>
                    <a:lnTo>
                      <a:pt x="15872" y="0"/>
                    </a:lnTo>
                    <a:lnTo>
                      <a:pt x="15872" y="443"/>
                    </a:lnTo>
                    <a:lnTo>
                      <a:pt x="15360" y="443"/>
                    </a:lnTo>
                    <a:lnTo>
                      <a:pt x="14336" y="443"/>
                    </a:lnTo>
                    <a:lnTo>
                      <a:pt x="13824" y="886"/>
                    </a:lnTo>
                    <a:lnTo>
                      <a:pt x="13312" y="886"/>
                    </a:lnTo>
                    <a:lnTo>
                      <a:pt x="12800" y="886"/>
                    </a:lnTo>
                    <a:lnTo>
                      <a:pt x="11776" y="1328"/>
                    </a:lnTo>
                    <a:lnTo>
                      <a:pt x="11264" y="1328"/>
                    </a:lnTo>
                    <a:lnTo>
                      <a:pt x="10752" y="1328"/>
                    </a:lnTo>
                    <a:lnTo>
                      <a:pt x="10240" y="1328"/>
                    </a:lnTo>
                    <a:lnTo>
                      <a:pt x="9216" y="1328"/>
                    </a:lnTo>
                    <a:lnTo>
                      <a:pt x="8704" y="1328"/>
                    </a:lnTo>
                    <a:lnTo>
                      <a:pt x="8192" y="1328"/>
                    </a:lnTo>
                    <a:lnTo>
                      <a:pt x="7168" y="1328"/>
                    </a:lnTo>
                    <a:lnTo>
                      <a:pt x="6656" y="1328"/>
                    </a:lnTo>
                    <a:lnTo>
                      <a:pt x="6144" y="1328"/>
                    </a:lnTo>
                    <a:lnTo>
                      <a:pt x="5632" y="1328"/>
                    </a:lnTo>
                    <a:lnTo>
                      <a:pt x="4608" y="1328"/>
                    </a:lnTo>
                    <a:lnTo>
                      <a:pt x="4096" y="886"/>
                    </a:lnTo>
                    <a:lnTo>
                      <a:pt x="3584" y="886"/>
                    </a:lnTo>
                    <a:lnTo>
                      <a:pt x="2560" y="886"/>
                    </a:lnTo>
                    <a:lnTo>
                      <a:pt x="2048" y="443"/>
                    </a:lnTo>
                    <a:lnTo>
                      <a:pt x="1536" y="443"/>
                    </a:lnTo>
                    <a:lnTo>
                      <a:pt x="1024" y="0"/>
                    </a:lnTo>
                    <a:lnTo>
                      <a:pt x="0" y="0"/>
                    </a:lnTo>
                    <a:lnTo>
                      <a:pt x="8704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52" name="Объект 1060">
                <a:extLst>
                  <a:ext uri="{FF2B5EF4-FFF2-40B4-BE49-F238E27FC236}">
                    <a16:creationId xmlns:a16="http://schemas.microsoft.com/office/drawing/2014/main" id="{00000000-0008-0000-0900-000024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00000" y="820000"/>
                <a:ext cx="72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3" name="Текст 1061">
                <a:extLst>
                  <a:ext uri="{FF2B5EF4-FFF2-40B4-BE49-F238E27FC236}">
                    <a16:creationId xmlns:a16="http://schemas.microsoft.com/office/drawing/2014/main" id="{00000000-0008-0000-0900-000025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60000" y="196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9254" name="Объект 1062">
                <a:extLst>
                  <a:ext uri="{FF2B5EF4-FFF2-40B4-BE49-F238E27FC236}">
                    <a16:creationId xmlns:a16="http://schemas.microsoft.com/office/drawing/2014/main" id="{00000000-0008-0000-0900-000026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680000"/>
                <a:ext cx="20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5" name="Объект 1063">
                <a:extLst>
                  <a:ext uri="{FF2B5EF4-FFF2-40B4-BE49-F238E27FC236}">
                    <a16:creationId xmlns:a16="http://schemas.microsoft.com/office/drawing/2014/main" id="{00000000-0008-0000-0900-000027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0000" y="62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16384" y="7944"/>
                  </a:cxn>
                  <a:cxn ang="0">
                    <a:pos x="0" y="16384"/>
                  </a:cxn>
                  <a:cxn ang="0">
                    <a:pos x="0" y="15888"/>
                  </a:cxn>
                  <a:cxn ang="0">
                    <a:pos x="0" y="14895"/>
                  </a:cxn>
                  <a:cxn ang="0">
                    <a:pos x="443" y="14398"/>
                  </a:cxn>
                  <a:cxn ang="0">
                    <a:pos x="443" y="13902"/>
                  </a:cxn>
                  <a:cxn ang="0">
                    <a:pos x="443" y="13405"/>
                  </a:cxn>
                  <a:cxn ang="0">
                    <a:pos x="1328" y="12412"/>
                  </a:cxn>
                  <a:cxn ang="0">
                    <a:pos x="1328" y="11916"/>
                  </a:cxn>
                  <a:cxn ang="0">
                    <a:pos x="1328" y="11419"/>
                  </a:cxn>
                  <a:cxn ang="0">
                    <a:pos x="1328" y="10426"/>
                  </a:cxn>
                  <a:cxn ang="0">
                    <a:pos x="1328" y="9930"/>
                  </a:cxn>
                  <a:cxn ang="0">
                    <a:pos x="1771" y="9433"/>
                  </a:cxn>
                  <a:cxn ang="0">
                    <a:pos x="1771" y="8937"/>
                  </a:cxn>
                  <a:cxn ang="0">
                    <a:pos x="1771" y="7944"/>
                  </a:cxn>
                  <a:cxn ang="0">
                    <a:pos x="1771" y="7447"/>
                  </a:cxn>
                  <a:cxn ang="0">
                    <a:pos x="1771" y="6951"/>
                  </a:cxn>
                  <a:cxn ang="0">
                    <a:pos x="1328" y="6454"/>
                  </a:cxn>
                  <a:cxn ang="0">
                    <a:pos x="1328" y="5461"/>
                  </a:cxn>
                  <a:cxn ang="0">
                    <a:pos x="1328" y="4965"/>
                  </a:cxn>
                  <a:cxn ang="0">
                    <a:pos x="1328" y="4468"/>
                  </a:cxn>
                  <a:cxn ang="0">
                    <a:pos x="1328" y="3475"/>
                  </a:cxn>
                  <a:cxn ang="0">
                    <a:pos x="443" y="2979"/>
                  </a:cxn>
                  <a:cxn ang="0">
                    <a:pos x="443" y="2482"/>
                  </a:cxn>
                  <a:cxn ang="0">
                    <a:pos x="443" y="1986"/>
                  </a:cxn>
                  <a:cxn ang="0">
                    <a:pos x="0" y="993"/>
                  </a:cxn>
                  <a:cxn ang="0">
                    <a:pos x="0" y="496"/>
                  </a:cxn>
                  <a:cxn ang="0">
                    <a:pos x="0" y="0"/>
                  </a:cxn>
                  <a:cxn ang="0">
                    <a:pos x="16384" y="7944"/>
                  </a:cxn>
                </a:cxnLst>
                <a:rect l="0" t="0" r="r" b="b"/>
                <a:pathLst>
                  <a:path w="16384" h="16384">
                    <a:moveTo>
                      <a:pt x="16384" y="7944"/>
                    </a:moveTo>
                    <a:lnTo>
                      <a:pt x="0" y="16384"/>
                    </a:lnTo>
                    <a:lnTo>
                      <a:pt x="0" y="15888"/>
                    </a:lnTo>
                    <a:lnTo>
                      <a:pt x="0" y="14895"/>
                    </a:lnTo>
                    <a:lnTo>
                      <a:pt x="443" y="14398"/>
                    </a:lnTo>
                    <a:lnTo>
                      <a:pt x="443" y="13902"/>
                    </a:lnTo>
                    <a:lnTo>
                      <a:pt x="443" y="13405"/>
                    </a:lnTo>
                    <a:lnTo>
                      <a:pt x="1328" y="12412"/>
                    </a:lnTo>
                    <a:lnTo>
                      <a:pt x="1328" y="11916"/>
                    </a:lnTo>
                    <a:lnTo>
                      <a:pt x="1328" y="11419"/>
                    </a:lnTo>
                    <a:lnTo>
                      <a:pt x="1328" y="10426"/>
                    </a:lnTo>
                    <a:lnTo>
                      <a:pt x="1328" y="9930"/>
                    </a:lnTo>
                    <a:lnTo>
                      <a:pt x="1771" y="9433"/>
                    </a:lnTo>
                    <a:lnTo>
                      <a:pt x="1771" y="8937"/>
                    </a:lnTo>
                    <a:lnTo>
                      <a:pt x="1771" y="7944"/>
                    </a:lnTo>
                    <a:lnTo>
                      <a:pt x="1771" y="7447"/>
                    </a:lnTo>
                    <a:lnTo>
                      <a:pt x="1771" y="6951"/>
                    </a:lnTo>
                    <a:lnTo>
                      <a:pt x="1328" y="6454"/>
                    </a:lnTo>
                    <a:lnTo>
                      <a:pt x="1328" y="5461"/>
                    </a:lnTo>
                    <a:lnTo>
                      <a:pt x="1328" y="4965"/>
                    </a:lnTo>
                    <a:lnTo>
                      <a:pt x="1328" y="4468"/>
                    </a:lnTo>
                    <a:lnTo>
                      <a:pt x="1328" y="3475"/>
                    </a:lnTo>
                    <a:lnTo>
                      <a:pt x="443" y="2979"/>
                    </a:lnTo>
                    <a:lnTo>
                      <a:pt x="443" y="2482"/>
                    </a:lnTo>
                    <a:lnTo>
                      <a:pt x="443" y="1986"/>
                    </a:lnTo>
                    <a:lnTo>
                      <a:pt x="0" y="993"/>
                    </a:lnTo>
                    <a:lnTo>
                      <a:pt x="0" y="496"/>
                    </a:lnTo>
                    <a:lnTo>
                      <a:pt x="0" y="0"/>
                    </a:lnTo>
                    <a:lnTo>
                      <a:pt x="16384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56" name="Объект 1064">
                <a:extLst>
                  <a:ext uri="{FF2B5EF4-FFF2-40B4-BE49-F238E27FC236}">
                    <a16:creationId xmlns:a16="http://schemas.microsoft.com/office/drawing/2014/main" id="{00000000-0008-0000-0900-000028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0000" y="680000"/>
                <a:ext cx="22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7" name="Объект 1065">
                <a:extLst>
                  <a:ext uri="{FF2B5EF4-FFF2-40B4-BE49-F238E27FC236}">
                    <a16:creationId xmlns:a16="http://schemas.microsoft.com/office/drawing/2014/main" id="{00000000-0008-0000-0900-000029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0000" y="62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0" y="7944"/>
                  </a:cxn>
                  <a:cxn ang="0">
                    <a:pos x="16384" y="16384"/>
                  </a:cxn>
                  <a:cxn ang="0">
                    <a:pos x="15953" y="15888"/>
                  </a:cxn>
                  <a:cxn ang="0">
                    <a:pos x="15953" y="14895"/>
                  </a:cxn>
                  <a:cxn ang="0">
                    <a:pos x="15953" y="14398"/>
                  </a:cxn>
                  <a:cxn ang="0">
                    <a:pos x="15522" y="13902"/>
                  </a:cxn>
                  <a:cxn ang="0">
                    <a:pos x="15522" y="13405"/>
                  </a:cxn>
                  <a:cxn ang="0">
                    <a:pos x="15522" y="12412"/>
                  </a:cxn>
                  <a:cxn ang="0">
                    <a:pos x="15091" y="11916"/>
                  </a:cxn>
                  <a:cxn ang="0">
                    <a:pos x="15091" y="11419"/>
                  </a:cxn>
                  <a:cxn ang="0">
                    <a:pos x="15091" y="10426"/>
                  </a:cxn>
                  <a:cxn ang="0">
                    <a:pos x="15091" y="9930"/>
                  </a:cxn>
                  <a:cxn ang="0">
                    <a:pos x="15091" y="9433"/>
                  </a:cxn>
                  <a:cxn ang="0">
                    <a:pos x="15091" y="8937"/>
                  </a:cxn>
                  <a:cxn ang="0">
                    <a:pos x="15091" y="7944"/>
                  </a:cxn>
                  <a:cxn ang="0">
                    <a:pos x="15091" y="7447"/>
                  </a:cxn>
                  <a:cxn ang="0">
                    <a:pos x="15091" y="6951"/>
                  </a:cxn>
                  <a:cxn ang="0">
                    <a:pos x="15091" y="6454"/>
                  </a:cxn>
                  <a:cxn ang="0">
                    <a:pos x="15091" y="5461"/>
                  </a:cxn>
                  <a:cxn ang="0">
                    <a:pos x="15091" y="4965"/>
                  </a:cxn>
                  <a:cxn ang="0">
                    <a:pos x="15091" y="4468"/>
                  </a:cxn>
                  <a:cxn ang="0">
                    <a:pos x="15522" y="3475"/>
                  </a:cxn>
                  <a:cxn ang="0">
                    <a:pos x="15522" y="2979"/>
                  </a:cxn>
                  <a:cxn ang="0">
                    <a:pos x="15522" y="2482"/>
                  </a:cxn>
                  <a:cxn ang="0">
                    <a:pos x="15522" y="1986"/>
                  </a:cxn>
                  <a:cxn ang="0">
                    <a:pos x="15953" y="1986"/>
                  </a:cxn>
                  <a:cxn ang="0">
                    <a:pos x="15953" y="993"/>
                  </a:cxn>
                  <a:cxn ang="0">
                    <a:pos x="15953" y="496"/>
                  </a:cxn>
                  <a:cxn ang="0">
                    <a:pos x="16384" y="0"/>
                  </a:cxn>
                  <a:cxn ang="0">
                    <a:pos x="0" y="7944"/>
                  </a:cxn>
                </a:cxnLst>
                <a:rect l="0" t="0" r="r" b="b"/>
                <a:pathLst>
                  <a:path w="16384" h="16384">
                    <a:moveTo>
                      <a:pt x="0" y="7944"/>
                    </a:moveTo>
                    <a:lnTo>
                      <a:pt x="16384" y="16384"/>
                    </a:lnTo>
                    <a:lnTo>
                      <a:pt x="15953" y="15888"/>
                    </a:lnTo>
                    <a:lnTo>
                      <a:pt x="15953" y="14895"/>
                    </a:lnTo>
                    <a:lnTo>
                      <a:pt x="15953" y="14398"/>
                    </a:lnTo>
                    <a:lnTo>
                      <a:pt x="15522" y="13902"/>
                    </a:lnTo>
                    <a:lnTo>
                      <a:pt x="15522" y="13405"/>
                    </a:lnTo>
                    <a:lnTo>
                      <a:pt x="15522" y="12412"/>
                    </a:lnTo>
                    <a:lnTo>
                      <a:pt x="15091" y="11916"/>
                    </a:lnTo>
                    <a:lnTo>
                      <a:pt x="15091" y="11419"/>
                    </a:lnTo>
                    <a:lnTo>
                      <a:pt x="15091" y="10426"/>
                    </a:lnTo>
                    <a:lnTo>
                      <a:pt x="15091" y="9930"/>
                    </a:lnTo>
                    <a:lnTo>
                      <a:pt x="15091" y="9433"/>
                    </a:lnTo>
                    <a:lnTo>
                      <a:pt x="15091" y="8937"/>
                    </a:lnTo>
                    <a:lnTo>
                      <a:pt x="15091" y="7944"/>
                    </a:lnTo>
                    <a:lnTo>
                      <a:pt x="15091" y="7447"/>
                    </a:lnTo>
                    <a:lnTo>
                      <a:pt x="15091" y="6951"/>
                    </a:lnTo>
                    <a:lnTo>
                      <a:pt x="15091" y="6454"/>
                    </a:lnTo>
                    <a:lnTo>
                      <a:pt x="15091" y="5461"/>
                    </a:lnTo>
                    <a:lnTo>
                      <a:pt x="15091" y="4965"/>
                    </a:lnTo>
                    <a:lnTo>
                      <a:pt x="15091" y="4468"/>
                    </a:lnTo>
                    <a:lnTo>
                      <a:pt x="15522" y="3475"/>
                    </a:lnTo>
                    <a:lnTo>
                      <a:pt x="15522" y="2979"/>
                    </a:lnTo>
                    <a:lnTo>
                      <a:pt x="15522" y="2482"/>
                    </a:lnTo>
                    <a:lnTo>
                      <a:pt x="15522" y="1986"/>
                    </a:lnTo>
                    <a:lnTo>
                      <a:pt x="15953" y="1986"/>
                    </a:lnTo>
                    <a:lnTo>
                      <a:pt x="15953" y="993"/>
                    </a:lnTo>
                    <a:lnTo>
                      <a:pt x="15953" y="496"/>
                    </a:lnTo>
                    <a:lnTo>
                      <a:pt x="16384" y="0"/>
                    </a:lnTo>
                    <a:lnTo>
                      <a:pt x="0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58" name="Объект 1066">
                <a:extLst>
                  <a:ext uri="{FF2B5EF4-FFF2-40B4-BE49-F238E27FC236}">
                    <a16:creationId xmlns:a16="http://schemas.microsoft.com/office/drawing/2014/main" id="{00000000-0008-0000-0900-00002A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60000" y="680000"/>
                <a:ext cx="44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16384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16384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9" name="Текст 1067">
                <a:extLst>
                  <a:ext uri="{FF2B5EF4-FFF2-40B4-BE49-F238E27FC236}">
                    <a16:creationId xmlns:a16="http://schemas.microsoft.com/office/drawing/2014/main" id="{00000000-0008-0000-0900-00002B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20000" y="280000"/>
                <a:ext cx="2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Times New Roman CE"/>
                    <a:cs typeface="Times New Roman CE"/>
                  </a:rPr>
                  <a:t>z</a:t>
                </a:r>
              </a:p>
            </xdr:txBody>
          </xdr:sp>
          <xdr:sp macro="" textlink="">
            <xdr:nvSpPr>
              <xdr:cNvPr id="9260" name="Текст 1068">
                <a:extLst>
                  <a:ext uri="{FF2B5EF4-FFF2-40B4-BE49-F238E27FC236}">
                    <a16:creationId xmlns:a16="http://schemas.microsoft.com/office/drawing/2014/main" id="{00000000-0008-0000-0900-00002C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60000" y="480000"/>
                <a:ext cx="200000" cy="3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9144" tIns="18288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600" b="0" i="0" u="none" strike="noStrike" baseline="0">
                    <a:solidFill>
                      <a:srgbClr val="0000FF"/>
                    </a:solidFill>
                    <a:latin typeface="Times New Roman CE"/>
                    <a:cs typeface="Times New Roman CE"/>
                  </a:rPr>
                  <a:t>0</a:t>
                </a:r>
              </a:p>
            </xdr:txBody>
          </xdr:sp>
          <xdr:sp macro="" textlink="">
            <xdr:nvSpPr>
              <xdr:cNvPr id="9261" name="Текст 1275">
                <a:extLst>
                  <a:ext uri="{FF2B5EF4-FFF2-40B4-BE49-F238E27FC236}">
                    <a16:creationId xmlns:a16="http://schemas.microsoft.com/office/drawing/2014/main" id="{00000000-0008-0000-0900-00002D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60000" y="336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9262" name="Текст 1344">
                <a:extLst>
                  <a:ext uri="{FF2B5EF4-FFF2-40B4-BE49-F238E27FC236}">
                    <a16:creationId xmlns:a16="http://schemas.microsoft.com/office/drawing/2014/main" id="{00000000-0008-0000-0900-00002E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340000" y="178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9263" name="Текст 1345">
                <a:extLst>
                  <a:ext uri="{FF2B5EF4-FFF2-40B4-BE49-F238E27FC236}">
                    <a16:creationId xmlns:a16="http://schemas.microsoft.com/office/drawing/2014/main" id="{00000000-0008-0000-0900-00002F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000" y="178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9264" name="Текст 1346">
                <a:extLst>
                  <a:ext uri="{FF2B5EF4-FFF2-40B4-BE49-F238E27FC236}">
                    <a16:creationId xmlns:a16="http://schemas.microsoft.com/office/drawing/2014/main" id="{00000000-0008-0000-0900-000030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000000" y="940000"/>
                <a:ext cx="6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 -s</a:t>
                </a:r>
              </a:p>
            </xdr:txBody>
          </xdr:sp>
          <xdr:sp macro="" textlink="">
            <xdr:nvSpPr>
              <xdr:cNvPr id="9265" name="Текст 1347">
                <a:extLst>
                  <a:ext uri="{FF2B5EF4-FFF2-40B4-BE49-F238E27FC236}">
                    <a16:creationId xmlns:a16="http://schemas.microsoft.com/office/drawing/2014/main" id="{00000000-0008-0000-0900-000031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140000" y="1220000"/>
                <a:ext cx="300000" cy="4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9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2</a:t>
                </a:r>
              </a:p>
            </xdr:txBody>
          </xdr:sp>
          <xdr:sp macro="" textlink="">
            <xdr:nvSpPr>
              <xdr:cNvPr id="9266" name="Объект 1349">
                <a:extLst>
                  <a:ext uri="{FF2B5EF4-FFF2-40B4-BE49-F238E27FC236}">
                    <a16:creationId xmlns:a16="http://schemas.microsoft.com/office/drawing/2014/main" id="{00000000-0008-0000-0900-000032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40000" y="3000000"/>
                <a:ext cx="720000" cy="12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9251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9251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7" name="Объект 1350">
                <a:extLst>
                  <a:ext uri="{FF2B5EF4-FFF2-40B4-BE49-F238E27FC236}">
                    <a16:creationId xmlns:a16="http://schemas.microsoft.com/office/drawing/2014/main" id="{00000000-0008-0000-0900-000033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40000" y="3060000"/>
                <a:ext cx="120000" cy="6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10789" y="0"/>
                  </a:cxn>
                  <a:cxn ang="0">
                    <a:pos x="10789" y="529"/>
                  </a:cxn>
                  <a:cxn ang="0">
                    <a:pos x="10789" y="1057"/>
                  </a:cxn>
                  <a:cxn ang="0">
                    <a:pos x="10789" y="2114"/>
                  </a:cxn>
                  <a:cxn ang="0">
                    <a:pos x="10789" y="2643"/>
                  </a:cxn>
                  <a:cxn ang="0">
                    <a:pos x="10789" y="3171"/>
                  </a:cxn>
                  <a:cxn ang="0">
                    <a:pos x="10789" y="4228"/>
                  </a:cxn>
                  <a:cxn ang="0">
                    <a:pos x="10789" y="4757"/>
                  </a:cxn>
                  <a:cxn ang="0">
                    <a:pos x="11189" y="4757"/>
                  </a:cxn>
                  <a:cxn ang="0">
                    <a:pos x="11189" y="5285"/>
                  </a:cxn>
                  <a:cxn ang="0">
                    <a:pos x="11189" y="5814"/>
                  </a:cxn>
                  <a:cxn ang="0">
                    <a:pos x="11189" y="6871"/>
                  </a:cxn>
                  <a:cxn ang="0">
                    <a:pos x="11589" y="7399"/>
                  </a:cxn>
                  <a:cxn ang="0">
                    <a:pos x="11589" y="7928"/>
                  </a:cxn>
                  <a:cxn ang="0">
                    <a:pos x="11589" y="8985"/>
                  </a:cxn>
                  <a:cxn ang="0">
                    <a:pos x="12388" y="8985"/>
                  </a:cxn>
                  <a:cxn ang="0">
                    <a:pos x="12388" y="9513"/>
                  </a:cxn>
                  <a:cxn ang="0">
                    <a:pos x="12388" y="10042"/>
                  </a:cxn>
                  <a:cxn ang="0">
                    <a:pos x="12788" y="10042"/>
                  </a:cxn>
                  <a:cxn ang="0">
                    <a:pos x="12788" y="10570"/>
                  </a:cxn>
                  <a:cxn ang="0">
                    <a:pos x="13187" y="11627"/>
                  </a:cxn>
                  <a:cxn ang="0">
                    <a:pos x="13986" y="12156"/>
                  </a:cxn>
                  <a:cxn ang="0">
                    <a:pos x="13986" y="12684"/>
                  </a:cxn>
                  <a:cxn ang="0">
                    <a:pos x="14386" y="12684"/>
                  </a:cxn>
                  <a:cxn ang="0">
                    <a:pos x="14386" y="13213"/>
                  </a:cxn>
                  <a:cxn ang="0">
                    <a:pos x="14786" y="13213"/>
                  </a:cxn>
                  <a:cxn ang="0">
                    <a:pos x="15185" y="14270"/>
                  </a:cxn>
                  <a:cxn ang="0">
                    <a:pos x="15185" y="14798"/>
                  </a:cxn>
                  <a:cxn ang="0">
                    <a:pos x="15984" y="14798"/>
                  </a:cxn>
                  <a:cxn ang="0">
                    <a:pos x="16384" y="15327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10789" y="0"/>
                    </a:lnTo>
                    <a:lnTo>
                      <a:pt x="10789" y="529"/>
                    </a:lnTo>
                    <a:lnTo>
                      <a:pt x="10789" y="1057"/>
                    </a:lnTo>
                    <a:lnTo>
                      <a:pt x="10789" y="2114"/>
                    </a:lnTo>
                    <a:lnTo>
                      <a:pt x="10789" y="2643"/>
                    </a:lnTo>
                    <a:lnTo>
                      <a:pt x="10789" y="3171"/>
                    </a:lnTo>
                    <a:lnTo>
                      <a:pt x="10789" y="4228"/>
                    </a:lnTo>
                    <a:lnTo>
                      <a:pt x="10789" y="4757"/>
                    </a:lnTo>
                    <a:lnTo>
                      <a:pt x="11189" y="4757"/>
                    </a:lnTo>
                    <a:lnTo>
                      <a:pt x="11189" y="5285"/>
                    </a:lnTo>
                    <a:lnTo>
                      <a:pt x="11189" y="5814"/>
                    </a:lnTo>
                    <a:lnTo>
                      <a:pt x="11189" y="6871"/>
                    </a:lnTo>
                    <a:lnTo>
                      <a:pt x="11589" y="7399"/>
                    </a:lnTo>
                    <a:lnTo>
                      <a:pt x="11589" y="7928"/>
                    </a:lnTo>
                    <a:lnTo>
                      <a:pt x="11589" y="8985"/>
                    </a:lnTo>
                    <a:lnTo>
                      <a:pt x="12388" y="8985"/>
                    </a:lnTo>
                    <a:lnTo>
                      <a:pt x="12388" y="9513"/>
                    </a:lnTo>
                    <a:lnTo>
                      <a:pt x="12388" y="10042"/>
                    </a:lnTo>
                    <a:lnTo>
                      <a:pt x="12788" y="10042"/>
                    </a:lnTo>
                    <a:lnTo>
                      <a:pt x="12788" y="10570"/>
                    </a:lnTo>
                    <a:lnTo>
                      <a:pt x="13187" y="11627"/>
                    </a:lnTo>
                    <a:lnTo>
                      <a:pt x="13986" y="12156"/>
                    </a:lnTo>
                    <a:lnTo>
                      <a:pt x="13986" y="12684"/>
                    </a:lnTo>
                    <a:lnTo>
                      <a:pt x="14386" y="12684"/>
                    </a:lnTo>
                    <a:lnTo>
                      <a:pt x="14386" y="13213"/>
                    </a:lnTo>
                    <a:lnTo>
                      <a:pt x="14786" y="13213"/>
                    </a:lnTo>
                    <a:lnTo>
                      <a:pt x="15185" y="14270"/>
                    </a:lnTo>
                    <a:lnTo>
                      <a:pt x="15185" y="14798"/>
                    </a:lnTo>
                    <a:lnTo>
                      <a:pt x="15984" y="14798"/>
                    </a:lnTo>
                    <a:lnTo>
                      <a:pt x="16384" y="15327"/>
                    </a:lnTo>
                    <a:lnTo>
                      <a:pt x="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68" name="Текст 1351">
                <a:extLst>
                  <a:ext uri="{FF2B5EF4-FFF2-40B4-BE49-F238E27FC236}">
                    <a16:creationId xmlns:a16="http://schemas.microsoft.com/office/drawing/2014/main" id="{00000000-0008-0000-0900-000034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20000" y="2640000"/>
                <a:ext cx="42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9269" name="Объект 1352">
                <a:extLst>
                  <a:ext uri="{FF2B5EF4-FFF2-40B4-BE49-F238E27FC236}">
                    <a16:creationId xmlns:a16="http://schemas.microsoft.com/office/drawing/2014/main" id="{00000000-0008-0000-0900-000035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80000" y="3200000"/>
                <a:ext cx="200000" cy="140000"/>
              </a:xfrm>
              <a:custGeom>
                <a:avLst/>
                <a:gdLst/>
                <a:ahLst/>
                <a:cxnLst>
                  <a:cxn ang="0">
                    <a:pos x="6049" y="16384"/>
                  </a:cxn>
                  <a:cxn ang="0">
                    <a:pos x="1638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6049" y="16384"/>
                    </a:moveTo>
                    <a:lnTo>
                      <a:pt x="16384" y="0"/>
                    </a:lnTo>
                    <a:lnTo>
                      <a:pt x="0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0" name="Объект 1353">
                <a:extLst>
                  <a:ext uri="{FF2B5EF4-FFF2-40B4-BE49-F238E27FC236}">
                    <a16:creationId xmlns:a16="http://schemas.microsoft.com/office/drawing/2014/main" id="{00000000-0008-0000-0900-000036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60000" y="3260000"/>
                <a:ext cx="100000" cy="80000"/>
              </a:xfrm>
              <a:custGeom>
                <a:avLst/>
                <a:gdLst/>
                <a:ahLst/>
                <a:cxnLst>
                  <a:cxn ang="0">
                    <a:pos x="0" y="16384"/>
                  </a:cxn>
                  <a:cxn ang="0">
                    <a:pos x="2979" y="0"/>
                  </a:cxn>
                  <a:cxn ang="0">
                    <a:pos x="3972" y="400"/>
                  </a:cxn>
                  <a:cxn ang="0">
                    <a:pos x="3972" y="1199"/>
                  </a:cxn>
                  <a:cxn ang="0">
                    <a:pos x="4468" y="1199"/>
                  </a:cxn>
                  <a:cxn ang="0">
                    <a:pos x="4468" y="1598"/>
                  </a:cxn>
                  <a:cxn ang="0">
                    <a:pos x="4965" y="1998"/>
                  </a:cxn>
                  <a:cxn ang="0">
                    <a:pos x="5461" y="2797"/>
                  </a:cxn>
                  <a:cxn ang="0">
                    <a:pos x="5461" y="3197"/>
                  </a:cxn>
                  <a:cxn ang="0">
                    <a:pos x="6454" y="3197"/>
                  </a:cxn>
                  <a:cxn ang="0">
                    <a:pos x="6454" y="3596"/>
                  </a:cxn>
                  <a:cxn ang="0">
                    <a:pos x="6951" y="3596"/>
                  </a:cxn>
                  <a:cxn ang="0">
                    <a:pos x="7447" y="3996"/>
                  </a:cxn>
                  <a:cxn ang="0">
                    <a:pos x="8440" y="4795"/>
                  </a:cxn>
                  <a:cxn ang="0">
                    <a:pos x="8937" y="5195"/>
                  </a:cxn>
                  <a:cxn ang="0">
                    <a:pos x="9433" y="5195"/>
                  </a:cxn>
                  <a:cxn ang="0">
                    <a:pos x="9433" y="5595"/>
                  </a:cxn>
                  <a:cxn ang="0">
                    <a:pos x="9930" y="5595"/>
                  </a:cxn>
                  <a:cxn ang="0">
                    <a:pos x="10923" y="5595"/>
                  </a:cxn>
                  <a:cxn ang="0">
                    <a:pos x="11419" y="5994"/>
                  </a:cxn>
                  <a:cxn ang="0">
                    <a:pos x="11916" y="5994"/>
                  </a:cxn>
                  <a:cxn ang="0">
                    <a:pos x="12909" y="6793"/>
                  </a:cxn>
                  <a:cxn ang="0">
                    <a:pos x="13405" y="6793"/>
                  </a:cxn>
                  <a:cxn ang="0">
                    <a:pos x="13902" y="6793"/>
                  </a:cxn>
                  <a:cxn ang="0">
                    <a:pos x="14398" y="6793"/>
                  </a:cxn>
                  <a:cxn ang="0">
                    <a:pos x="15391" y="7193"/>
                  </a:cxn>
                  <a:cxn ang="0">
                    <a:pos x="15888" y="7193"/>
                  </a:cxn>
                  <a:cxn ang="0">
                    <a:pos x="16384" y="7193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16384"/>
                    </a:moveTo>
                    <a:lnTo>
                      <a:pt x="2979" y="0"/>
                    </a:lnTo>
                    <a:lnTo>
                      <a:pt x="3972" y="400"/>
                    </a:lnTo>
                    <a:lnTo>
                      <a:pt x="3972" y="1199"/>
                    </a:lnTo>
                    <a:lnTo>
                      <a:pt x="4468" y="1199"/>
                    </a:lnTo>
                    <a:lnTo>
                      <a:pt x="4468" y="1598"/>
                    </a:lnTo>
                    <a:lnTo>
                      <a:pt x="4965" y="1998"/>
                    </a:lnTo>
                    <a:lnTo>
                      <a:pt x="5461" y="2797"/>
                    </a:lnTo>
                    <a:lnTo>
                      <a:pt x="5461" y="3197"/>
                    </a:lnTo>
                    <a:lnTo>
                      <a:pt x="6454" y="3197"/>
                    </a:lnTo>
                    <a:lnTo>
                      <a:pt x="6454" y="3596"/>
                    </a:lnTo>
                    <a:lnTo>
                      <a:pt x="6951" y="3596"/>
                    </a:lnTo>
                    <a:lnTo>
                      <a:pt x="7447" y="3996"/>
                    </a:lnTo>
                    <a:lnTo>
                      <a:pt x="8440" y="4795"/>
                    </a:lnTo>
                    <a:lnTo>
                      <a:pt x="8937" y="5195"/>
                    </a:lnTo>
                    <a:lnTo>
                      <a:pt x="9433" y="5195"/>
                    </a:lnTo>
                    <a:lnTo>
                      <a:pt x="9433" y="5595"/>
                    </a:lnTo>
                    <a:lnTo>
                      <a:pt x="9930" y="5595"/>
                    </a:lnTo>
                    <a:lnTo>
                      <a:pt x="10923" y="5595"/>
                    </a:lnTo>
                    <a:lnTo>
                      <a:pt x="11419" y="5994"/>
                    </a:lnTo>
                    <a:lnTo>
                      <a:pt x="11916" y="5994"/>
                    </a:lnTo>
                    <a:lnTo>
                      <a:pt x="12909" y="6793"/>
                    </a:lnTo>
                    <a:lnTo>
                      <a:pt x="13405" y="6793"/>
                    </a:lnTo>
                    <a:lnTo>
                      <a:pt x="13902" y="6793"/>
                    </a:lnTo>
                    <a:lnTo>
                      <a:pt x="14398" y="6793"/>
                    </a:lnTo>
                    <a:lnTo>
                      <a:pt x="15391" y="7193"/>
                    </a:lnTo>
                    <a:lnTo>
                      <a:pt x="15888" y="7193"/>
                    </a:lnTo>
                    <a:lnTo>
                      <a:pt x="16384" y="7193"/>
                    </a:lnTo>
                    <a:lnTo>
                      <a:pt x="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71" name="Объект 1673">
                <a:extLst>
                  <a:ext uri="{FF2B5EF4-FFF2-40B4-BE49-F238E27FC236}">
                    <a16:creationId xmlns:a16="http://schemas.microsoft.com/office/drawing/2014/main" id="{00000000-0008-0000-0900-000037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0000" y="1240000"/>
                <a:ext cx="48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25" y="0"/>
                  </a:cxn>
                  <a:cxn ang="0">
                    <a:pos x="9440" y="0"/>
                  </a:cxn>
                  <a:cxn ang="0">
                    <a:pos x="12369" y="0"/>
                  </a:cxn>
                  <a:cxn ang="0">
                    <a:pos x="14322" y="0"/>
                  </a:cxn>
                  <a:cxn ang="0">
                    <a:pos x="15624" y="0"/>
                  </a:cxn>
                  <a:cxn ang="0">
                    <a:pos x="1616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25" y="0"/>
                    </a:lnTo>
                    <a:lnTo>
                      <a:pt x="9440" y="0"/>
                    </a:lnTo>
                    <a:lnTo>
                      <a:pt x="12369" y="0"/>
                    </a:lnTo>
                    <a:lnTo>
                      <a:pt x="14322" y="0"/>
                    </a:lnTo>
                    <a:lnTo>
                      <a:pt x="15624" y="0"/>
                    </a:lnTo>
                    <a:lnTo>
                      <a:pt x="1616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2" name="Объект 1674">
                <a:extLst>
                  <a:ext uri="{FF2B5EF4-FFF2-40B4-BE49-F238E27FC236}">
                    <a16:creationId xmlns:a16="http://schemas.microsoft.com/office/drawing/2014/main" id="{00000000-0008-0000-0900-000038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60000" y="120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8440"/>
                  </a:cxn>
                  <a:cxn ang="0">
                    <a:pos x="16384" y="0"/>
                  </a:cxn>
                  <a:cxn ang="0">
                    <a:pos x="15953" y="496"/>
                  </a:cxn>
                  <a:cxn ang="0">
                    <a:pos x="15953" y="1489"/>
                  </a:cxn>
                  <a:cxn ang="0">
                    <a:pos x="15953" y="1986"/>
                  </a:cxn>
                  <a:cxn ang="0">
                    <a:pos x="15522" y="2482"/>
                  </a:cxn>
                  <a:cxn ang="0">
                    <a:pos x="15522" y="2979"/>
                  </a:cxn>
                  <a:cxn ang="0">
                    <a:pos x="15091" y="3972"/>
                  </a:cxn>
                  <a:cxn ang="0">
                    <a:pos x="15091" y="4468"/>
                  </a:cxn>
                  <a:cxn ang="0">
                    <a:pos x="15091" y="4965"/>
                  </a:cxn>
                  <a:cxn ang="0">
                    <a:pos x="15091" y="5958"/>
                  </a:cxn>
                  <a:cxn ang="0">
                    <a:pos x="15091" y="6454"/>
                  </a:cxn>
                  <a:cxn ang="0">
                    <a:pos x="15091" y="6951"/>
                  </a:cxn>
                  <a:cxn ang="0">
                    <a:pos x="14228" y="6951"/>
                  </a:cxn>
                  <a:cxn ang="0">
                    <a:pos x="14228" y="7447"/>
                  </a:cxn>
                  <a:cxn ang="0">
                    <a:pos x="14228" y="8440"/>
                  </a:cxn>
                  <a:cxn ang="0">
                    <a:pos x="14228" y="8937"/>
                  </a:cxn>
                  <a:cxn ang="0">
                    <a:pos x="14228" y="9433"/>
                  </a:cxn>
                  <a:cxn ang="0">
                    <a:pos x="15091" y="9433"/>
                  </a:cxn>
                  <a:cxn ang="0">
                    <a:pos x="15091" y="10426"/>
                  </a:cxn>
                  <a:cxn ang="0">
                    <a:pos x="15091" y="10923"/>
                  </a:cxn>
                  <a:cxn ang="0">
                    <a:pos x="15091" y="11419"/>
                  </a:cxn>
                  <a:cxn ang="0">
                    <a:pos x="15091" y="11916"/>
                  </a:cxn>
                  <a:cxn ang="0">
                    <a:pos x="15091" y="12909"/>
                  </a:cxn>
                  <a:cxn ang="0">
                    <a:pos x="15522" y="13405"/>
                  </a:cxn>
                  <a:cxn ang="0">
                    <a:pos x="15522" y="13902"/>
                  </a:cxn>
                  <a:cxn ang="0">
                    <a:pos x="15953" y="14398"/>
                  </a:cxn>
                  <a:cxn ang="0">
                    <a:pos x="15953" y="15391"/>
                  </a:cxn>
                  <a:cxn ang="0">
                    <a:pos x="15953" y="15888"/>
                  </a:cxn>
                  <a:cxn ang="0">
                    <a:pos x="16384" y="16384"/>
                  </a:cxn>
                  <a:cxn ang="0">
                    <a:pos x="0" y="8440"/>
                  </a:cxn>
                </a:cxnLst>
                <a:rect l="0" t="0" r="r" b="b"/>
                <a:pathLst>
                  <a:path w="16384" h="16384">
                    <a:moveTo>
                      <a:pt x="0" y="8440"/>
                    </a:moveTo>
                    <a:lnTo>
                      <a:pt x="16384" y="0"/>
                    </a:lnTo>
                    <a:lnTo>
                      <a:pt x="15953" y="496"/>
                    </a:lnTo>
                    <a:lnTo>
                      <a:pt x="15953" y="1489"/>
                    </a:lnTo>
                    <a:lnTo>
                      <a:pt x="15953" y="1986"/>
                    </a:lnTo>
                    <a:lnTo>
                      <a:pt x="15522" y="2482"/>
                    </a:lnTo>
                    <a:lnTo>
                      <a:pt x="15522" y="2979"/>
                    </a:lnTo>
                    <a:lnTo>
                      <a:pt x="15091" y="3972"/>
                    </a:lnTo>
                    <a:lnTo>
                      <a:pt x="15091" y="4468"/>
                    </a:lnTo>
                    <a:lnTo>
                      <a:pt x="15091" y="4965"/>
                    </a:lnTo>
                    <a:lnTo>
                      <a:pt x="15091" y="5958"/>
                    </a:lnTo>
                    <a:lnTo>
                      <a:pt x="15091" y="6454"/>
                    </a:lnTo>
                    <a:lnTo>
                      <a:pt x="15091" y="6951"/>
                    </a:lnTo>
                    <a:lnTo>
                      <a:pt x="14228" y="6951"/>
                    </a:lnTo>
                    <a:lnTo>
                      <a:pt x="14228" y="7447"/>
                    </a:lnTo>
                    <a:lnTo>
                      <a:pt x="14228" y="8440"/>
                    </a:lnTo>
                    <a:lnTo>
                      <a:pt x="14228" y="8937"/>
                    </a:lnTo>
                    <a:lnTo>
                      <a:pt x="14228" y="9433"/>
                    </a:lnTo>
                    <a:lnTo>
                      <a:pt x="15091" y="9433"/>
                    </a:lnTo>
                    <a:lnTo>
                      <a:pt x="15091" y="10426"/>
                    </a:lnTo>
                    <a:lnTo>
                      <a:pt x="15091" y="10923"/>
                    </a:lnTo>
                    <a:lnTo>
                      <a:pt x="15091" y="11419"/>
                    </a:lnTo>
                    <a:lnTo>
                      <a:pt x="15091" y="11916"/>
                    </a:lnTo>
                    <a:lnTo>
                      <a:pt x="15091" y="12909"/>
                    </a:lnTo>
                    <a:lnTo>
                      <a:pt x="15522" y="13405"/>
                    </a:lnTo>
                    <a:lnTo>
                      <a:pt x="15522" y="13902"/>
                    </a:lnTo>
                    <a:lnTo>
                      <a:pt x="15953" y="14398"/>
                    </a:lnTo>
                    <a:lnTo>
                      <a:pt x="15953" y="15391"/>
                    </a:lnTo>
                    <a:lnTo>
                      <a:pt x="15953" y="15888"/>
                    </a:lnTo>
                    <a:lnTo>
                      <a:pt x="16384" y="16384"/>
                    </a:lnTo>
                    <a:lnTo>
                      <a:pt x="0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73" name="Объект 1675">
                <a:extLst>
                  <a:ext uri="{FF2B5EF4-FFF2-40B4-BE49-F238E27FC236}">
                    <a16:creationId xmlns:a16="http://schemas.microsoft.com/office/drawing/2014/main" id="{00000000-0008-0000-0900-0000392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0000" y="1200000"/>
                <a:ext cx="100000" cy="80000"/>
              </a:xfrm>
              <a:custGeom>
                <a:avLst/>
                <a:gdLst/>
                <a:ahLst/>
                <a:cxnLst>
                  <a:cxn ang="0">
                    <a:pos x="16384" y="8440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1489"/>
                  </a:cxn>
                  <a:cxn ang="0">
                    <a:pos x="886" y="1986"/>
                  </a:cxn>
                  <a:cxn ang="0">
                    <a:pos x="886" y="2482"/>
                  </a:cxn>
                  <a:cxn ang="0">
                    <a:pos x="886" y="2979"/>
                  </a:cxn>
                  <a:cxn ang="0">
                    <a:pos x="1328" y="3972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958"/>
                  </a:cxn>
                  <a:cxn ang="0">
                    <a:pos x="1328" y="6454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8440"/>
                  </a:cxn>
                  <a:cxn ang="0">
                    <a:pos x="1771" y="8937"/>
                  </a:cxn>
                  <a:cxn ang="0">
                    <a:pos x="1771" y="9433"/>
                  </a:cxn>
                  <a:cxn ang="0">
                    <a:pos x="1328" y="10426"/>
                  </a:cxn>
                  <a:cxn ang="0">
                    <a:pos x="1328" y="10923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909"/>
                  </a:cxn>
                  <a:cxn ang="0">
                    <a:pos x="886" y="13405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5391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8440"/>
                  </a:cxn>
                </a:cxnLst>
                <a:rect l="0" t="0" r="r" b="b"/>
                <a:pathLst>
                  <a:path w="16384" h="16384">
                    <a:moveTo>
                      <a:pt x="16384" y="8440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1489"/>
                    </a:lnTo>
                    <a:lnTo>
                      <a:pt x="886" y="1986"/>
                    </a:lnTo>
                    <a:lnTo>
                      <a:pt x="886" y="2482"/>
                    </a:lnTo>
                    <a:lnTo>
                      <a:pt x="886" y="2979"/>
                    </a:lnTo>
                    <a:lnTo>
                      <a:pt x="1328" y="3972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958"/>
                    </a:lnTo>
                    <a:lnTo>
                      <a:pt x="1328" y="6454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8440"/>
                    </a:lnTo>
                    <a:lnTo>
                      <a:pt x="1771" y="8937"/>
                    </a:lnTo>
                    <a:lnTo>
                      <a:pt x="1771" y="9433"/>
                    </a:lnTo>
                    <a:lnTo>
                      <a:pt x="1328" y="10426"/>
                    </a:lnTo>
                    <a:lnTo>
                      <a:pt x="1328" y="10923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909"/>
                    </a:lnTo>
                    <a:lnTo>
                      <a:pt x="886" y="13405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5391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9274" name="Line 58">
                <a:extLst>
                  <a:ext uri="{FF2B5EF4-FFF2-40B4-BE49-F238E27FC236}">
                    <a16:creationId xmlns:a16="http://schemas.microsoft.com/office/drawing/2014/main" id="{00000000-0008-0000-0900-00003A2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0000" y="2140000"/>
                <a:ext cx="174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9275" name="Line 59">
                <a:extLst>
                  <a:ext uri="{FF2B5EF4-FFF2-40B4-BE49-F238E27FC236}">
                    <a16:creationId xmlns:a16="http://schemas.microsoft.com/office/drawing/2014/main" id="{00000000-0008-0000-0900-00003B2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620000" y="360000"/>
                <a:ext cx="0" cy="338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9276" name="Line 60">
                <a:extLst>
                  <a:ext uri="{FF2B5EF4-FFF2-40B4-BE49-F238E27FC236}">
                    <a16:creationId xmlns:a16="http://schemas.microsoft.com/office/drawing/2014/main" id="{00000000-0008-0000-0900-00003C2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40000" y="1600000"/>
                <a:ext cx="3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277" name="Line 61">
                <a:extLst>
                  <a:ext uri="{FF2B5EF4-FFF2-40B4-BE49-F238E27FC236}">
                    <a16:creationId xmlns:a16="http://schemas.microsoft.com/office/drawing/2014/main" id="{00000000-0008-0000-0900-00003D2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80000" y="1600000"/>
                <a:ext cx="12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278" name="Текст 62">
                <a:extLst>
                  <a:ext uri="{FF2B5EF4-FFF2-40B4-BE49-F238E27FC236}">
                    <a16:creationId xmlns:a16="http://schemas.microsoft.com/office/drawing/2014/main" id="{00000000-0008-0000-0900-00003E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440000" y="290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9279" name="Line 63">
                <a:extLst>
                  <a:ext uri="{FF2B5EF4-FFF2-40B4-BE49-F238E27FC236}">
                    <a16:creationId xmlns:a16="http://schemas.microsoft.com/office/drawing/2014/main" id="{00000000-0008-0000-0900-00003F2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400000" y="3420000"/>
                <a:ext cx="7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284" name="Текст 68">
                <a:extLst>
                  <a:ext uri="{FF2B5EF4-FFF2-40B4-BE49-F238E27FC236}">
                    <a16:creationId xmlns:a16="http://schemas.microsoft.com/office/drawing/2014/main" id="{00000000-0008-0000-0900-0000442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580000" y="20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800000"/>
                    </a:solidFill>
                    <a:latin typeface="Arial Cyr"/>
                    <a:cs typeface="Arial Cyr"/>
                  </a:rPr>
                  <a:t>5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</xdr:row>
          <xdr:rowOff>9525</xdr:rowOff>
        </xdr:from>
        <xdr:to>
          <xdr:col>22</xdr:col>
          <xdr:colOff>171450</xdr:colOff>
          <xdr:row>3</xdr:row>
          <xdr:rowOff>57150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3</xdr:row>
          <xdr:rowOff>95250</xdr:rowOff>
        </xdr:from>
        <xdr:to>
          <xdr:col>16</xdr:col>
          <xdr:colOff>0</xdr:colOff>
          <xdr:row>4</xdr:row>
          <xdr:rowOff>123825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0</xdr:row>
          <xdr:rowOff>47625</xdr:rowOff>
        </xdr:from>
        <xdr:to>
          <xdr:col>18</xdr:col>
          <xdr:colOff>200025</xdr:colOff>
          <xdr:row>0</xdr:row>
          <xdr:rowOff>200025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9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3</xdr:col>
      <xdr:colOff>171450</xdr:colOff>
      <xdr:row>10</xdr:row>
      <xdr:rowOff>133350</xdr:rowOff>
    </xdr:to>
    <xdr:grpSp>
      <xdr:nvGrpSpPr>
        <xdr:cNvPr id="10299" name="Group 59">
          <a:extLst>
            <a:ext uri="{FF2B5EF4-FFF2-40B4-BE49-F238E27FC236}">
              <a16:creationId xmlns:a16="http://schemas.microsoft.com/office/drawing/2014/main" id="{00000000-0008-0000-0B00-00003B280000}"/>
            </a:ext>
          </a:extLst>
        </xdr:cNvPr>
        <xdr:cNvGrpSpPr>
          <a:grpSpLocks/>
        </xdr:cNvGrpSpPr>
      </xdr:nvGrpSpPr>
      <xdr:grpSpPr bwMode="auto">
        <a:xfrm>
          <a:off x="57150" y="0"/>
          <a:ext cx="1295400" cy="2105025"/>
          <a:chOff x="-6608" y="0"/>
          <a:chExt cx="24888" cy="19448"/>
        </a:xfrm>
      </xdr:grpSpPr>
      <xdr:grpSp>
        <xdr:nvGrpSpPr>
          <xdr:cNvPr id="10247" name="Group 7">
            <a:extLst>
              <a:ext uri="{FF2B5EF4-FFF2-40B4-BE49-F238E27FC236}">
                <a16:creationId xmlns:a16="http://schemas.microsoft.com/office/drawing/2014/main" id="{00000000-0008-0000-0B00-000007280000}"/>
              </a:ext>
            </a:extLst>
          </xdr:cNvPr>
          <xdr:cNvGrpSpPr>
            <a:grpSpLocks/>
          </xdr:cNvGrpSpPr>
        </xdr:nvGrpSpPr>
        <xdr:grpSpPr bwMode="auto">
          <a:xfrm>
            <a:off x="-6608" y="0"/>
            <a:ext cx="24888" cy="19448"/>
            <a:chOff x="120000" y="0"/>
            <a:chExt cx="2720000" cy="4420000"/>
          </a:xfrm>
        </xdr:grpSpPr>
        <xdr:sp macro="" textlink="">
          <xdr:nvSpPr>
            <xdr:cNvPr id="10248" name="Rectangle 8">
              <a:extLst>
                <a:ext uri="{FF2B5EF4-FFF2-40B4-BE49-F238E27FC236}">
                  <a16:creationId xmlns:a16="http://schemas.microsoft.com/office/drawing/2014/main" id="{00000000-0008-0000-0B00-0000082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0000" y="60000"/>
              <a:ext cx="2720000" cy="4260000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0249" name="Group 9">
              <a:extLst>
                <a:ext uri="{FF2B5EF4-FFF2-40B4-BE49-F238E27FC236}">
                  <a16:creationId xmlns:a16="http://schemas.microsoft.com/office/drawing/2014/main" id="{00000000-0008-0000-0B00-0000092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0000" y="0"/>
              <a:ext cx="2680000" cy="4420000"/>
              <a:chOff x="120000" y="0"/>
              <a:chExt cx="2680000" cy="4420000"/>
            </a:xfrm>
          </xdr:grpSpPr>
          <xdr:sp macro="" textlink="">
            <xdr:nvSpPr>
              <xdr:cNvPr id="10250" name="Объект 1679">
                <a:extLst>
                  <a:ext uri="{FF2B5EF4-FFF2-40B4-BE49-F238E27FC236}">
                    <a16:creationId xmlns:a16="http://schemas.microsoft.com/office/drawing/2014/main" id="{00000000-0008-0000-0B00-00000A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480000"/>
                <a:ext cx="1560000" cy="2940000"/>
              </a:xfrm>
              <a:custGeom>
                <a:avLst/>
                <a:gdLst/>
                <a:ahLst/>
                <a:cxnLst>
                  <a:cxn ang="0">
                    <a:pos x="15484" y="752"/>
                  </a:cxn>
                  <a:cxn ang="0">
                    <a:pos x="15988" y="646"/>
                  </a:cxn>
                  <a:cxn ang="0">
                    <a:pos x="16240" y="451"/>
                  </a:cxn>
                  <a:cxn ang="0">
                    <a:pos x="16312" y="165"/>
                  </a:cxn>
                  <a:cxn ang="0">
                    <a:pos x="0" y="0"/>
                  </a:cxn>
                  <a:cxn ang="0">
                    <a:pos x="108" y="316"/>
                  </a:cxn>
                  <a:cxn ang="0">
                    <a:pos x="324" y="541"/>
                  </a:cxn>
                  <a:cxn ang="0">
                    <a:pos x="684" y="721"/>
                  </a:cxn>
                  <a:cxn ang="0">
                    <a:pos x="1296" y="782"/>
                  </a:cxn>
                  <a:cxn ang="0">
                    <a:pos x="2485" y="857"/>
                  </a:cxn>
                  <a:cxn ang="0">
                    <a:pos x="3709" y="932"/>
                  </a:cxn>
                  <a:cxn ang="0">
                    <a:pos x="4897" y="1007"/>
                  </a:cxn>
                  <a:cxn ang="0">
                    <a:pos x="6085" y="1082"/>
                  </a:cxn>
                  <a:cxn ang="0">
                    <a:pos x="6698" y="1233"/>
                  </a:cxn>
                  <a:cxn ang="0">
                    <a:pos x="7166" y="1413"/>
                  </a:cxn>
                  <a:cxn ang="0">
                    <a:pos x="7382" y="1608"/>
                  </a:cxn>
                  <a:cxn ang="0">
                    <a:pos x="7490" y="1879"/>
                  </a:cxn>
                  <a:cxn ang="0">
                    <a:pos x="7490" y="5081"/>
                  </a:cxn>
                  <a:cxn ang="0">
                    <a:pos x="7490" y="8162"/>
                  </a:cxn>
                  <a:cxn ang="0">
                    <a:pos x="7490" y="11228"/>
                  </a:cxn>
                  <a:cxn ang="0">
                    <a:pos x="7490" y="14445"/>
                  </a:cxn>
                  <a:cxn ang="0">
                    <a:pos x="7490" y="14685"/>
                  </a:cxn>
                  <a:cxn ang="0">
                    <a:pos x="7382" y="14911"/>
                  </a:cxn>
                  <a:cxn ang="0">
                    <a:pos x="7022" y="15061"/>
                  </a:cxn>
                  <a:cxn ang="0">
                    <a:pos x="6374" y="15212"/>
                  </a:cxn>
                  <a:cxn ang="0">
                    <a:pos x="5077" y="15347"/>
                  </a:cxn>
                  <a:cxn ang="0">
                    <a:pos x="3709" y="15467"/>
                  </a:cxn>
                  <a:cxn ang="0">
                    <a:pos x="2305" y="15542"/>
                  </a:cxn>
                  <a:cxn ang="0">
                    <a:pos x="864" y="15617"/>
                  </a:cxn>
                  <a:cxn ang="0">
                    <a:pos x="432" y="15768"/>
                  </a:cxn>
                  <a:cxn ang="0">
                    <a:pos x="144" y="15918"/>
                  </a:cxn>
                  <a:cxn ang="0">
                    <a:pos x="36" y="16113"/>
                  </a:cxn>
                  <a:cxn ang="0">
                    <a:pos x="0" y="16384"/>
                  </a:cxn>
                  <a:cxn ang="0">
                    <a:pos x="16312" y="16234"/>
                  </a:cxn>
                  <a:cxn ang="0">
                    <a:pos x="16276" y="15978"/>
                  </a:cxn>
                  <a:cxn ang="0">
                    <a:pos x="16096" y="15813"/>
                  </a:cxn>
                  <a:cxn ang="0">
                    <a:pos x="15772" y="15693"/>
                  </a:cxn>
                  <a:cxn ang="0">
                    <a:pos x="14692" y="15572"/>
                  </a:cxn>
                  <a:cxn ang="0">
                    <a:pos x="13359" y="15497"/>
                  </a:cxn>
                  <a:cxn ang="0">
                    <a:pos x="12171" y="15407"/>
                  </a:cxn>
                  <a:cxn ang="0">
                    <a:pos x="10983" y="15287"/>
                  </a:cxn>
                  <a:cxn ang="0">
                    <a:pos x="9974" y="15136"/>
                  </a:cxn>
                  <a:cxn ang="0">
                    <a:pos x="9470" y="14986"/>
                  </a:cxn>
                  <a:cxn ang="0">
                    <a:pos x="9182" y="14806"/>
                  </a:cxn>
                  <a:cxn ang="0">
                    <a:pos x="9074" y="14580"/>
                  </a:cxn>
                  <a:cxn ang="0">
                    <a:pos x="9038" y="12852"/>
                  </a:cxn>
                  <a:cxn ang="0">
                    <a:pos x="9038" y="9710"/>
                  </a:cxn>
                  <a:cxn ang="0">
                    <a:pos x="9038" y="6614"/>
                  </a:cxn>
                  <a:cxn ang="0">
                    <a:pos x="9038" y="3472"/>
                  </a:cxn>
                  <a:cxn ang="0">
                    <a:pos x="9074" y="1714"/>
                  </a:cxn>
                  <a:cxn ang="0">
                    <a:pos x="9254" y="1488"/>
                  </a:cxn>
                  <a:cxn ang="0">
                    <a:pos x="9542" y="1308"/>
                  </a:cxn>
                  <a:cxn ang="0">
                    <a:pos x="10010" y="1157"/>
                  </a:cxn>
                  <a:cxn ang="0">
                    <a:pos x="15088" y="782"/>
                  </a:cxn>
                </a:cxnLst>
                <a:rect l="0" t="0" r="r" b="b"/>
                <a:pathLst>
                  <a:path w="16384" h="16384">
                    <a:moveTo>
                      <a:pt x="15088" y="782"/>
                    </a:moveTo>
                    <a:lnTo>
                      <a:pt x="15484" y="752"/>
                    </a:lnTo>
                    <a:lnTo>
                      <a:pt x="15772" y="691"/>
                    </a:lnTo>
                    <a:lnTo>
                      <a:pt x="15988" y="646"/>
                    </a:lnTo>
                    <a:lnTo>
                      <a:pt x="16132" y="541"/>
                    </a:lnTo>
                    <a:lnTo>
                      <a:pt x="16240" y="451"/>
                    </a:lnTo>
                    <a:lnTo>
                      <a:pt x="16312" y="316"/>
                    </a:lnTo>
                    <a:lnTo>
                      <a:pt x="16312" y="165"/>
                    </a:lnTo>
                    <a:lnTo>
                      <a:pt x="16384" y="0"/>
                    </a:lnTo>
                    <a:lnTo>
                      <a:pt x="0" y="0"/>
                    </a:lnTo>
                    <a:lnTo>
                      <a:pt x="36" y="165"/>
                    </a:lnTo>
                    <a:lnTo>
                      <a:pt x="108" y="316"/>
                    </a:lnTo>
                    <a:lnTo>
                      <a:pt x="180" y="436"/>
                    </a:lnTo>
                    <a:lnTo>
                      <a:pt x="324" y="541"/>
                    </a:lnTo>
                    <a:lnTo>
                      <a:pt x="468" y="646"/>
                    </a:lnTo>
                    <a:lnTo>
                      <a:pt x="684" y="721"/>
                    </a:lnTo>
                    <a:lnTo>
                      <a:pt x="972" y="752"/>
                    </a:lnTo>
                    <a:lnTo>
                      <a:pt x="1296" y="782"/>
                    </a:lnTo>
                    <a:lnTo>
                      <a:pt x="1908" y="812"/>
                    </a:lnTo>
                    <a:lnTo>
                      <a:pt x="2485" y="857"/>
                    </a:lnTo>
                    <a:lnTo>
                      <a:pt x="3097" y="887"/>
                    </a:lnTo>
                    <a:lnTo>
                      <a:pt x="3709" y="932"/>
                    </a:lnTo>
                    <a:lnTo>
                      <a:pt x="4285" y="962"/>
                    </a:lnTo>
                    <a:lnTo>
                      <a:pt x="4897" y="1007"/>
                    </a:lnTo>
                    <a:lnTo>
                      <a:pt x="5473" y="1052"/>
                    </a:lnTo>
                    <a:lnTo>
                      <a:pt x="6085" y="1082"/>
                    </a:lnTo>
                    <a:lnTo>
                      <a:pt x="6410" y="1157"/>
                    </a:lnTo>
                    <a:lnTo>
                      <a:pt x="6698" y="1233"/>
                    </a:lnTo>
                    <a:lnTo>
                      <a:pt x="6914" y="1308"/>
                    </a:lnTo>
                    <a:lnTo>
                      <a:pt x="7166" y="1413"/>
                    </a:lnTo>
                    <a:lnTo>
                      <a:pt x="7274" y="1503"/>
                    </a:lnTo>
                    <a:lnTo>
                      <a:pt x="7382" y="1608"/>
                    </a:lnTo>
                    <a:lnTo>
                      <a:pt x="7490" y="1714"/>
                    </a:lnTo>
                    <a:lnTo>
                      <a:pt x="7490" y="1879"/>
                    </a:lnTo>
                    <a:lnTo>
                      <a:pt x="7490" y="3502"/>
                    </a:lnTo>
                    <a:lnTo>
                      <a:pt x="7490" y="5081"/>
                    </a:lnTo>
                    <a:lnTo>
                      <a:pt x="7490" y="6629"/>
                    </a:lnTo>
                    <a:lnTo>
                      <a:pt x="7490" y="8162"/>
                    </a:lnTo>
                    <a:lnTo>
                      <a:pt x="7490" y="9695"/>
                    </a:lnTo>
                    <a:lnTo>
                      <a:pt x="7490" y="11228"/>
                    </a:lnTo>
                    <a:lnTo>
                      <a:pt x="7490" y="12807"/>
                    </a:lnTo>
                    <a:lnTo>
                      <a:pt x="7490" y="14445"/>
                    </a:lnTo>
                    <a:lnTo>
                      <a:pt x="7490" y="14580"/>
                    </a:lnTo>
                    <a:lnTo>
                      <a:pt x="7490" y="14685"/>
                    </a:lnTo>
                    <a:lnTo>
                      <a:pt x="7418" y="14806"/>
                    </a:lnTo>
                    <a:lnTo>
                      <a:pt x="7382" y="14911"/>
                    </a:lnTo>
                    <a:lnTo>
                      <a:pt x="7238" y="14986"/>
                    </a:lnTo>
                    <a:lnTo>
                      <a:pt x="7022" y="15061"/>
                    </a:lnTo>
                    <a:lnTo>
                      <a:pt x="6734" y="15136"/>
                    </a:lnTo>
                    <a:lnTo>
                      <a:pt x="6374" y="15212"/>
                    </a:lnTo>
                    <a:lnTo>
                      <a:pt x="5725" y="15287"/>
                    </a:lnTo>
                    <a:lnTo>
                      <a:pt x="5077" y="15347"/>
                    </a:lnTo>
                    <a:lnTo>
                      <a:pt x="4393" y="15407"/>
                    </a:lnTo>
                    <a:lnTo>
                      <a:pt x="3709" y="15467"/>
                    </a:lnTo>
                    <a:lnTo>
                      <a:pt x="2989" y="15497"/>
                    </a:lnTo>
                    <a:lnTo>
                      <a:pt x="2305" y="15542"/>
                    </a:lnTo>
                    <a:lnTo>
                      <a:pt x="1584" y="15572"/>
                    </a:lnTo>
                    <a:lnTo>
                      <a:pt x="864" y="15617"/>
                    </a:lnTo>
                    <a:lnTo>
                      <a:pt x="612" y="15693"/>
                    </a:lnTo>
                    <a:lnTo>
                      <a:pt x="432" y="15768"/>
                    </a:lnTo>
                    <a:lnTo>
                      <a:pt x="252" y="15828"/>
                    </a:lnTo>
                    <a:lnTo>
                      <a:pt x="144" y="15918"/>
                    </a:lnTo>
                    <a:lnTo>
                      <a:pt x="108" y="16023"/>
                    </a:lnTo>
                    <a:lnTo>
                      <a:pt x="36" y="16113"/>
                    </a:lnTo>
                    <a:lnTo>
                      <a:pt x="0" y="16234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12" y="16234"/>
                    </a:lnTo>
                    <a:lnTo>
                      <a:pt x="16276" y="16098"/>
                    </a:lnTo>
                    <a:lnTo>
                      <a:pt x="16276" y="15978"/>
                    </a:lnTo>
                    <a:lnTo>
                      <a:pt x="16168" y="15888"/>
                    </a:lnTo>
                    <a:lnTo>
                      <a:pt x="16096" y="15813"/>
                    </a:lnTo>
                    <a:lnTo>
                      <a:pt x="15952" y="15753"/>
                    </a:lnTo>
                    <a:lnTo>
                      <a:pt x="15772" y="15693"/>
                    </a:lnTo>
                    <a:lnTo>
                      <a:pt x="15484" y="15617"/>
                    </a:lnTo>
                    <a:lnTo>
                      <a:pt x="14692" y="15572"/>
                    </a:lnTo>
                    <a:lnTo>
                      <a:pt x="14007" y="15542"/>
                    </a:lnTo>
                    <a:lnTo>
                      <a:pt x="13359" y="15497"/>
                    </a:lnTo>
                    <a:lnTo>
                      <a:pt x="12783" y="15467"/>
                    </a:lnTo>
                    <a:lnTo>
                      <a:pt x="12171" y="15407"/>
                    </a:lnTo>
                    <a:lnTo>
                      <a:pt x="11559" y="15362"/>
                    </a:lnTo>
                    <a:lnTo>
                      <a:pt x="10983" y="15287"/>
                    </a:lnTo>
                    <a:lnTo>
                      <a:pt x="10335" y="15212"/>
                    </a:lnTo>
                    <a:lnTo>
                      <a:pt x="9974" y="15136"/>
                    </a:lnTo>
                    <a:lnTo>
                      <a:pt x="9650" y="15076"/>
                    </a:lnTo>
                    <a:lnTo>
                      <a:pt x="9470" y="14986"/>
                    </a:lnTo>
                    <a:lnTo>
                      <a:pt x="9326" y="14911"/>
                    </a:lnTo>
                    <a:lnTo>
                      <a:pt x="9182" y="14806"/>
                    </a:lnTo>
                    <a:lnTo>
                      <a:pt x="9146" y="14685"/>
                    </a:lnTo>
                    <a:lnTo>
                      <a:pt x="9074" y="14580"/>
                    </a:lnTo>
                    <a:lnTo>
                      <a:pt x="9038" y="14445"/>
                    </a:lnTo>
                    <a:lnTo>
                      <a:pt x="9038" y="12852"/>
                    </a:lnTo>
                    <a:lnTo>
                      <a:pt x="9038" y="11273"/>
                    </a:lnTo>
                    <a:lnTo>
                      <a:pt x="9038" y="9710"/>
                    </a:lnTo>
                    <a:lnTo>
                      <a:pt x="9038" y="8162"/>
                    </a:lnTo>
                    <a:lnTo>
                      <a:pt x="9038" y="6614"/>
                    </a:lnTo>
                    <a:lnTo>
                      <a:pt x="9038" y="5050"/>
                    </a:lnTo>
                    <a:lnTo>
                      <a:pt x="9038" y="3472"/>
                    </a:lnTo>
                    <a:lnTo>
                      <a:pt x="9038" y="1879"/>
                    </a:lnTo>
                    <a:lnTo>
                      <a:pt x="9074" y="1714"/>
                    </a:lnTo>
                    <a:lnTo>
                      <a:pt x="9182" y="1608"/>
                    </a:lnTo>
                    <a:lnTo>
                      <a:pt x="9254" y="1488"/>
                    </a:lnTo>
                    <a:lnTo>
                      <a:pt x="9398" y="1398"/>
                    </a:lnTo>
                    <a:lnTo>
                      <a:pt x="9542" y="1308"/>
                    </a:lnTo>
                    <a:lnTo>
                      <a:pt x="9758" y="1233"/>
                    </a:lnTo>
                    <a:lnTo>
                      <a:pt x="10010" y="1157"/>
                    </a:lnTo>
                    <a:lnTo>
                      <a:pt x="10335" y="1082"/>
                    </a:lnTo>
                    <a:lnTo>
                      <a:pt x="15088" y="782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51" name="Объект 1680">
                <a:extLst>
                  <a:ext uri="{FF2B5EF4-FFF2-40B4-BE49-F238E27FC236}">
                    <a16:creationId xmlns:a16="http://schemas.microsoft.com/office/drawing/2014/main" id="{00000000-0008-0000-0B00-00000B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480000"/>
                <a:ext cx="1560000" cy="2940000"/>
              </a:xfrm>
              <a:custGeom>
                <a:avLst/>
                <a:gdLst/>
                <a:ahLst/>
                <a:cxnLst>
                  <a:cxn ang="0">
                    <a:pos x="15484" y="752"/>
                  </a:cxn>
                  <a:cxn ang="0">
                    <a:pos x="15988" y="646"/>
                  </a:cxn>
                  <a:cxn ang="0">
                    <a:pos x="16240" y="451"/>
                  </a:cxn>
                  <a:cxn ang="0">
                    <a:pos x="16312" y="165"/>
                  </a:cxn>
                  <a:cxn ang="0">
                    <a:pos x="0" y="0"/>
                  </a:cxn>
                  <a:cxn ang="0">
                    <a:pos x="108" y="316"/>
                  </a:cxn>
                  <a:cxn ang="0">
                    <a:pos x="324" y="541"/>
                  </a:cxn>
                  <a:cxn ang="0">
                    <a:pos x="684" y="721"/>
                  </a:cxn>
                  <a:cxn ang="0">
                    <a:pos x="1296" y="782"/>
                  </a:cxn>
                  <a:cxn ang="0">
                    <a:pos x="2485" y="857"/>
                  </a:cxn>
                  <a:cxn ang="0">
                    <a:pos x="3709" y="932"/>
                  </a:cxn>
                  <a:cxn ang="0">
                    <a:pos x="4897" y="1007"/>
                  </a:cxn>
                  <a:cxn ang="0">
                    <a:pos x="6085" y="1082"/>
                  </a:cxn>
                  <a:cxn ang="0">
                    <a:pos x="6698" y="1233"/>
                  </a:cxn>
                  <a:cxn ang="0">
                    <a:pos x="7166" y="1413"/>
                  </a:cxn>
                  <a:cxn ang="0">
                    <a:pos x="7382" y="1608"/>
                  </a:cxn>
                  <a:cxn ang="0">
                    <a:pos x="7490" y="1879"/>
                  </a:cxn>
                  <a:cxn ang="0">
                    <a:pos x="7490" y="5081"/>
                  </a:cxn>
                  <a:cxn ang="0">
                    <a:pos x="7490" y="8162"/>
                  </a:cxn>
                  <a:cxn ang="0">
                    <a:pos x="7490" y="11228"/>
                  </a:cxn>
                  <a:cxn ang="0">
                    <a:pos x="7490" y="14445"/>
                  </a:cxn>
                  <a:cxn ang="0">
                    <a:pos x="7490" y="14685"/>
                  </a:cxn>
                  <a:cxn ang="0">
                    <a:pos x="7382" y="14911"/>
                  </a:cxn>
                  <a:cxn ang="0">
                    <a:pos x="7022" y="15061"/>
                  </a:cxn>
                  <a:cxn ang="0">
                    <a:pos x="6374" y="15212"/>
                  </a:cxn>
                  <a:cxn ang="0">
                    <a:pos x="5077" y="15347"/>
                  </a:cxn>
                  <a:cxn ang="0">
                    <a:pos x="3709" y="15467"/>
                  </a:cxn>
                  <a:cxn ang="0">
                    <a:pos x="2305" y="15542"/>
                  </a:cxn>
                  <a:cxn ang="0">
                    <a:pos x="864" y="15617"/>
                  </a:cxn>
                  <a:cxn ang="0">
                    <a:pos x="432" y="15768"/>
                  </a:cxn>
                  <a:cxn ang="0">
                    <a:pos x="144" y="15918"/>
                  </a:cxn>
                  <a:cxn ang="0">
                    <a:pos x="36" y="16113"/>
                  </a:cxn>
                  <a:cxn ang="0">
                    <a:pos x="0" y="16384"/>
                  </a:cxn>
                  <a:cxn ang="0">
                    <a:pos x="16312" y="16234"/>
                  </a:cxn>
                  <a:cxn ang="0">
                    <a:pos x="16276" y="15978"/>
                  </a:cxn>
                  <a:cxn ang="0">
                    <a:pos x="16096" y="15813"/>
                  </a:cxn>
                  <a:cxn ang="0">
                    <a:pos x="15772" y="15693"/>
                  </a:cxn>
                  <a:cxn ang="0">
                    <a:pos x="14692" y="15572"/>
                  </a:cxn>
                  <a:cxn ang="0">
                    <a:pos x="13359" y="15497"/>
                  </a:cxn>
                  <a:cxn ang="0">
                    <a:pos x="12171" y="15407"/>
                  </a:cxn>
                  <a:cxn ang="0">
                    <a:pos x="10983" y="15287"/>
                  </a:cxn>
                  <a:cxn ang="0">
                    <a:pos x="9974" y="15136"/>
                  </a:cxn>
                  <a:cxn ang="0">
                    <a:pos x="9470" y="14986"/>
                  </a:cxn>
                  <a:cxn ang="0">
                    <a:pos x="9182" y="14806"/>
                  </a:cxn>
                  <a:cxn ang="0">
                    <a:pos x="9074" y="14580"/>
                  </a:cxn>
                  <a:cxn ang="0">
                    <a:pos x="9038" y="12852"/>
                  </a:cxn>
                  <a:cxn ang="0">
                    <a:pos x="9038" y="9710"/>
                  </a:cxn>
                  <a:cxn ang="0">
                    <a:pos x="9038" y="6614"/>
                  </a:cxn>
                  <a:cxn ang="0">
                    <a:pos x="9038" y="3472"/>
                  </a:cxn>
                  <a:cxn ang="0">
                    <a:pos x="9074" y="1714"/>
                  </a:cxn>
                  <a:cxn ang="0">
                    <a:pos x="9254" y="1488"/>
                  </a:cxn>
                  <a:cxn ang="0">
                    <a:pos x="9542" y="1308"/>
                  </a:cxn>
                  <a:cxn ang="0">
                    <a:pos x="10010" y="1157"/>
                  </a:cxn>
                  <a:cxn ang="0">
                    <a:pos x="15088" y="782"/>
                  </a:cxn>
                </a:cxnLst>
                <a:rect l="0" t="0" r="r" b="b"/>
                <a:pathLst>
                  <a:path w="16384" h="16384">
                    <a:moveTo>
                      <a:pt x="15088" y="782"/>
                    </a:moveTo>
                    <a:lnTo>
                      <a:pt x="15484" y="752"/>
                    </a:lnTo>
                    <a:lnTo>
                      <a:pt x="15772" y="691"/>
                    </a:lnTo>
                    <a:lnTo>
                      <a:pt x="15988" y="646"/>
                    </a:lnTo>
                    <a:lnTo>
                      <a:pt x="16132" y="541"/>
                    </a:lnTo>
                    <a:lnTo>
                      <a:pt x="16240" y="451"/>
                    </a:lnTo>
                    <a:lnTo>
                      <a:pt x="16312" y="316"/>
                    </a:lnTo>
                    <a:lnTo>
                      <a:pt x="16312" y="165"/>
                    </a:lnTo>
                    <a:lnTo>
                      <a:pt x="16384" y="0"/>
                    </a:lnTo>
                    <a:lnTo>
                      <a:pt x="0" y="0"/>
                    </a:lnTo>
                    <a:lnTo>
                      <a:pt x="36" y="165"/>
                    </a:lnTo>
                    <a:lnTo>
                      <a:pt x="108" y="316"/>
                    </a:lnTo>
                    <a:lnTo>
                      <a:pt x="180" y="436"/>
                    </a:lnTo>
                    <a:lnTo>
                      <a:pt x="324" y="541"/>
                    </a:lnTo>
                    <a:lnTo>
                      <a:pt x="468" y="646"/>
                    </a:lnTo>
                    <a:lnTo>
                      <a:pt x="684" y="721"/>
                    </a:lnTo>
                    <a:lnTo>
                      <a:pt x="972" y="752"/>
                    </a:lnTo>
                    <a:lnTo>
                      <a:pt x="1296" y="782"/>
                    </a:lnTo>
                    <a:lnTo>
                      <a:pt x="1908" y="812"/>
                    </a:lnTo>
                    <a:lnTo>
                      <a:pt x="2485" y="857"/>
                    </a:lnTo>
                    <a:lnTo>
                      <a:pt x="3097" y="887"/>
                    </a:lnTo>
                    <a:lnTo>
                      <a:pt x="3709" y="932"/>
                    </a:lnTo>
                    <a:lnTo>
                      <a:pt x="4285" y="962"/>
                    </a:lnTo>
                    <a:lnTo>
                      <a:pt x="4897" y="1007"/>
                    </a:lnTo>
                    <a:lnTo>
                      <a:pt x="5473" y="1052"/>
                    </a:lnTo>
                    <a:lnTo>
                      <a:pt x="6085" y="1082"/>
                    </a:lnTo>
                    <a:lnTo>
                      <a:pt x="6410" y="1157"/>
                    </a:lnTo>
                    <a:lnTo>
                      <a:pt x="6698" y="1233"/>
                    </a:lnTo>
                    <a:lnTo>
                      <a:pt x="6914" y="1308"/>
                    </a:lnTo>
                    <a:lnTo>
                      <a:pt x="7166" y="1413"/>
                    </a:lnTo>
                    <a:lnTo>
                      <a:pt x="7274" y="1503"/>
                    </a:lnTo>
                    <a:lnTo>
                      <a:pt x="7382" y="1608"/>
                    </a:lnTo>
                    <a:lnTo>
                      <a:pt x="7490" y="1714"/>
                    </a:lnTo>
                    <a:lnTo>
                      <a:pt x="7490" y="1879"/>
                    </a:lnTo>
                    <a:lnTo>
                      <a:pt x="7490" y="3502"/>
                    </a:lnTo>
                    <a:lnTo>
                      <a:pt x="7490" y="5081"/>
                    </a:lnTo>
                    <a:lnTo>
                      <a:pt x="7490" y="6629"/>
                    </a:lnTo>
                    <a:lnTo>
                      <a:pt x="7490" y="8162"/>
                    </a:lnTo>
                    <a:lnTo>
                      <a:pt x="7490" y="9695"/>
                    </a:lnTo>
                    <a:lnTo>
                      <a:pt x="7490" y="11228"/>
                    </a:lnTo>
                    <a:lnTo>
                      <a:pt x="7490" y="12807"/>
                    </a:lnTo>
                    <a:lnTo>
                      <a:pt x="7490" y="14445"/>
                    </a:lnTo>
                    <a:lnTo>
                      <a:pt x="7490" y="14580"/>
                    </a:lnTo>
                    <a:lnTo>
                      <a:pt x="7490" y="14685"/>
                    </a:lnTo>
                    <a:lnTo>
                      <a:pt x="7418" y="14806"/>
                    </a:lnTo>
                    <a:lnTo>
                      <a:pt x="7382" y="14911"/>
                    </a:lnTo>
                    <a:lnTo>
                      <a:pt x="7238" y="14986"/>
                    </a:lnTo>
                    <a:lnTo>
                      <a:pt x="7022" y="15061"/>
                    </a:lnTo>
                    <a:lnTo>
                      <a:pt x="6734" y="15136"/>
                    </a:lnTo>
                    <a:lnTo>
                      <a:pt x="6374" y="15212"/>
                    </a:lnTo>
                    <a:lnTo>
                      <a:pt x="5725" y="15287"/>
                    </a:lnTo>
                    <a:lnTo>
                      <a:pt x="5077" y="15347"/>
                    </a:lnTo>
                    <a:lnTo>
                      <a:pt x="4393" y="15407"/>
                    </a:lnTo>
                    <a:lnTo>
                      <a:pt x="3709" y="15467"/>
                    </a:lnTo>
                    <a:lnTo>
                      <a:pt x="2989" y="15497"/>
                    </a:lnTo>
                    <a:lnTo>
                      <a:pt x="2305" y="15542"/>
                    </a:lnTo>
                    <a:lnTo>
                      <a:pt x="1584" y="15572"/>
                    </a:lnTo>
                    <a:lnTo>
                      <a:pt x="864" y="15617"/>
                    </a:lnTo>
                    <a:lnTo>
                      <a:pt x="612" y="15693"/>
                    </a:lnTo>
                    <a:lnTo>
                      <a:pt x="432" y="15768"/>
                    </a:lnTo>
                    <a:lnTo>
                      <a:pt x="252" y="15828"/>
                    </a:lnTo>
                    <a:lnTo>
                      <a:pt x="144" y="15918"/>
                    </a:lnTo>
                    <a:lnTo>
                      <a:pt x="108" y="16023"/>
                    </a:lnTo>
                    <a:lnTo>
                      <a:pt x="36" y="16113"/>
                    </a:lnTo>
                    <a:lnTo>
                      <a:pt x="0" y="16234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12" y="16234"/>
                    </a:lnTo>
                    <a:lnTo>
                      <a:pt x="16276" y="16098"/>
                    </a:lnTo>
                    <a:lnTo>
                      <a:pt x="16276" y="15978"/>
                    </a:lnTo>
                    <a:lnTo>
                      <a:pt x="16168" y="15888"/>
                    </a:lnTo>
                    <a:lnTo>
                      <a:pt x="16096" y="15813"/>
                    </a:lnTo>
                    <a:lnTo>
                      <a:pt x="15952" y="15753"/>
                    </a:lnTo>
                    <a:lnTo>
                      <a:pt x="15772" y="15693"/>
                    </a:lnTo>
                    <a:lnTo>
                      <a:pt x="15484" y="15617"/>
                    </a:lnTo>
                    <a:lnTo>
                      <a:pt x="14692" y="15572"/>
                    </a:lnTo>
                    <a:lnTo>
                      <a:pt x="14007" y="15542"/>
                    </a:lnTo>
                    <a:lnTo>
                      <a:pt x="13359" y="15497"/>
                    </a:lnTo>
                    <a:lnTo>
                      <a:pt x="12783" y="15467"/>
                    </a:lnTo>
                    <a:lnTo>
                      <a:pt x="12171" y="15407"/>
                    </a:lnTo>
                    <a:lnTo>
                      <a:pt x="11559" y="15362"/>
                    </a:lnTo>
                    <a:lnTo>
                      <a:pt x="10983" y="15287"/>
                    </a:lnTo>
                    <a:lnTo>
                      <a:pt x="10335" y="15212"/>
                    </a:lnTo>
                    <a:lnTo>
                      <a:pt x="9974" y="15136"/>
                    </a:lnTo>
                    <a:lnTo>
                      <a:pt x="9650" y="15076"/>
                    </a:lnTo>
                    <a:lnTo>
                      <a:pt x="9470" y="14986"/>
                    </a:lnTo>
                    <a:lnTo>
                      <a:pt x="9326" y="14911"/>
                    </a:lnTo>
                    <a:lnTo>
                      <a:pt x="9182" y="14806"/>
                    </a:lnTo>
                    <a:lnTo>
                      <a:pt x="9146" y="14685"/>
                    </a:lnTo>
                    <a:lnTo>
                      <a:pt x="9074" y="14580"/>
                    </a:lnTo>
                    <a:lnTo>
                      <a:pt x="9038" y="14445"/>
                    </a:lnTo>
                    <a:lnTo>
                      <a:pt x="9038" y="12852"/>
                    </a:lnTo>
                    <a:lnTo>
                      <a:pt x="9038" y="11273"/>
                    </a:lnTo>
                    <a:lnTo>
                      <a:pt x="9038" y="9710"/>
                    </a:lnTo>
                    <a:lnTo>
                      <a:pt x="9038" y="8162"/>
                    </a:lnTo>
                    <a:lnTo>
                      <a:pt x="9038" y="6614"/>
                    </a:lnTo>
                    <a:lnTo>
                      <a:pt x="9038" y="5050"/>
                    </a:lnTo>
                    <a:lnTo>
                      <a:pt x="9038" y="3472"/>
                    </a:lnTo>
                    <a:lnTo>
                      <a:pt x="9038" y="1879"/>
                    </a:lnTo>
                    <a:lnTo>
                      <a:pt x="9074" y="1714"/>
                    </a:lnTo>
                    <a:lnTo>
                      <a:pt x="9182" y="1608"/>
                    </a:lnTo>
                    <a:lnTo>
                      <a:pt x="9254" y="1488"/>
                    </a:lnTo>
                    <a:lnTo>
                      <a:pt x="9398" y="1398"/>
                    </a:lnTo>
                    <a:lnTo>
                      <a:pt x="9542" y="1308"/>
                    </a:lnTo>
                    <a:lnTo>
                      <a:pt x="9758" y="1233"/>
                    </a:lnTo>
                    <a:lnTo>
                      <a:pt x="10010" y="1157"/>
                    </a:lnTo>
                    <a:lnTo>
                      <a:pt x="10335" y="1082"/>
                    </a:lnTo>
                    <a:lnTo>
                      <a:pt x="15088" y="782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52" name="Текст 1681">
                <a:extLst>
                  <a:ext uri="{FF2B5EF4-FFF2-40B4-BE49-F238E27FC236}">
                    <a16:creationId xmlns:a16="http://schemas.microsoft.com/office/drawing/2014/main" id="{00000000-0008-0000-0B00-00000C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80000" y="52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10253" name="Объект 1683">
                <a:extLst>
                  <a:ext uri="{FF2B5EF4-FFF2-40B4-BE49-F238E27FC236}">
                    <a16:creationId xmlns:a16="http://schemas.microsoft.com/office/drawing/2014/main" id="{00000000-0008-0000-0B00-00000D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0000" y="520000"/>
                <a:ext cx="0" cy="28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99"/>
                  </a:cxn>
                  <a:cxn ang="0">
                    <a:pos x="0" y="9449"/>
                  </a:cxn>
                  <a:cxn ang="0">
                    <a:pos x="0" y="12381"/>
                  </a:cxn>
                  <a:cxn ang="0">
                    <a:pos x="0" y="14320"/>
                  </a:cxn>
                  <a:cxn ang="0">
                    <a:pos x="0" y="15515"/>
                  </a:cxn>
                  <a:cxn ang="0">
                    <a:pos x="0" y="16136"/>
                  </a:cxn>
                  <a:cxn ang="0">
                    <a:pos x="0" y="16353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99"/>
                    </a:lnTo>
                    <a:lnTo>
                      <a:pt x="0" y="9449"/>
                    </a:lnTo>
                    <a:lnTo>
                      <a:pt x="0" y="12381"/>
                    </a:lnTo>
                    <a:lnTo>
                      <a:pt x="0" y="14320"/>
                    </a:lnTo>
                    <a:lnTo>
                      <a:pt x="0" y="15515"/>
                    </a:lnTo>
                    <a:lnTo>
                      <a:pt x="0" y="16136"/>
                    </a:lnTo>
                    <a:lnTo>
                      <a:pt x="0" y="16353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54" name="Объект 1684">
                <a:extLst>
                  <a:ext uri="{FF2B5EF4-FFF2-40B4-BE49-F238E27FC236}">
                    <a16:creationId xmlns:a16="http://schemas.microsoft.com/office/drawing/2014/main" id="{00000000-0008-0000-0B00-00000E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0000" y="48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8192" y="0"/>
                  </a:cxn>
                  <a:cxn ang="0">
                    <a:pos x="16384" y="16384"/>
                  </a:cxn>
                  <a:cxn ang="0">
                    <a:pos x="15872" y="16384"/>
                  </a:cxn>
                  <a:cxn ang="0">
                    <a:pos x="15360" y="16384"/>
                  </a:cxn>
                  <a:cxn ang="0">
                    <a:pos x="14848" y="15498"/>
                  </a:cxn>
                  <a:cxn ang="0">
                    <a:pos x="13824" y="15498"/>
                  </a:cxn>
                  <a:cxn ang="0">
                    <a:pos x="13312" y="15056"/>
                  </a:cxn>
                  <a:cxn ang="0">
                    <a:pos x="12800" y="15056"/>
                  </a:cxn>
                  <a:cxn ang="0">
                    <a:pos x="11776" y="15056"/>
                  </a:cxn>
                  <a:cxn ang="0">
                    <a:pos x="11264" y="15056"/>
                  </a:cxn>
                  <a:cxn ang="0">
                    <a:pos x="10752" y="14613"/>
                  </a:cxn>
                  <a:cxn ang="0">
                    <a:pos x="10240" y="14613"/>
                  </a:cxn>
                  <a:cxn ang="0">
                    <a:pos x="9216" y="14613"/>
                  </a:cxn>
                  <a:cxn ang="0">
                    <a:pos x="8704" y="14613"/>
                  </a:cxn>
                  <a:cxn ang="0">
                    <a:pos x="8192" y="14613"/>
                  </a:cxn>
                  <a:cxn ang="0">
                    <a:pos x="7680" y="14613"/>
                  </a:cxn>
                  <a:cxn ang="0">
                    <a:pos x="6656" y="14613"/>
                  </a:cxn>
                  <a:cxn ang="0">
                    <a:pos x="6144" y="14613"/>
                  </a:cxn>
                  <a:cxn ang="0">
                    <a:pos x="5632" y="14613"/>
                  </a:cxn>
                  <a:cxn ang="0">
                    <a:pos x="4608" y="15056"/>
                  </a:cxn>
                  <a:cxn ang="0">
                    <a:pos x="4096" y="15056"/>
                  </a:cxn>
                  <a:cxn ang="0">
                    <a:pos x="3584" y="15056"/>
                  </a:cxn>
                  <a:cxn ang="0">
                    <a:pos x="3072" y="15056"/>
                  </a:cxn>
                  <a:cxn ang="0">
                    <a:pos x="2048" y="15498"/>
                  </a:cxn>
                  <a:cxn ang="0">
                    <a:pos x="1536" y="15498"/>
                  </a:cxn>
                  <a:cxn ang="0">
                    <a:pos x="1024" y="16384"/>
                  </a:cxn>
                  <a:cxn ang="0">
                    <a:pos x="0" y="16384"/>
                  </a:cxn>
                  <a:cxn ang="0">
                    <a:pos x="8192" y="0"/>
                  </a:cxn>
                </a:cxnLst>
                <a:rect l="0" t="0" r="r" b="b"/>
                <a:pathLst>
                  <a:path w="16384" h="16384">
                    <a:moveTo>
                      <a:pt x="8192" y="0"/>
                    </a:moveTo>
                    <a:lnTo>
                      <a:pt x="16384" y="16384"/>
                    </a:lnTo>
                    <a:lnTo>
                      <a:pt x="15872" y="16384"/>
                    </a:lnTo>
                    <a:lnTo>
                      <a:pt x="15360" y="16384"/>
                    </a:lnTo>
                    <a:lnTo>
                      <a:pt x="14848" y="15498"/>
                    </a:lnTo>
                    <a:lnTo>
                      <a:pt x="13824" y="15498"/>
                    </a:lnTo>
                    <a:lnTo>
                      <a:pt x="13312" y="15056"/>
                    </a:lnTo>
                    <a:lnTo>
                      <a:pt x="12800" y="15056"/>
                    </a:lnTo>
                    <a:lnTo>
                      <a:pt x="11776" y="15056"/>
                    </a:lnTo>
                    <a:lnTo>
                      <a:pt x="11264" y="15056"/>
                    </a:lnTo>
                    <a:lnTo>
                      <a:pt x="10752" y="14613"/>
                    </a:lnTo>
                    <a:lnTo>
                      <a:pt x="10240" y="14613"/>
                    </a:lnTo>
                    <a:lnTo>
                      <a:pt x="9216" y="14613"/>
                    </a:lnTo>
                    <a:lnTo>
                      <a:pt x="8704" y="14613"/>
                    </a:lnTo>
                    <a:lnTo>
                      <a:pt x="8192" y="14613"/>
                    </a:lnTo>
                    <a:lnTo>
                      <a:pt x="7680" y="14613"/>
                    </a:lnTo>
                    <a:lnTo>
                      <a:pt x="6656" y="14613"/>
                    </a:lnTo>
                    <a:lnTo>
                      <a:pt x="6144" y="14613"/>
                    </a:lnTo>
                    <a:lnTo>
                      <a:pt x="5632" y="14613"/>
                    </a:lnTo>
                    <a:lnTo>
                      <a:pt x="4608" y="15056"/>
                    </a:lnTo>
                    <a:lnTo>
                      <a:pt x="4096" y="15056"/>
                    </a:lnTo>
                    <a:lnTo>
                      <a:pt x="3584" y="15056"/>
                    </a:lnTo>
                    <a:lnTo>
                      <a:pt x="3072" y="15056"/>
                    </a:lnTo>
                    <a:lnTo>
                      <a:pt x="2048" y="15498"/>
                    </a:lnTo>
                    <a:lnTo>
                      <a:pt x="1536" y="15498"/>
                    </a:lnTo>
                    <a:lnTo>
                      <a:pt x="1024" y="16384"/>
                    </a:lnTo>
                    <a:lnTo>
                      <a:pt x="0" y="16384"/>
                    </a:lnTo>
                    <a:lnTo>
                      <a:pt x="8192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55" name="Объект 1685">
                <a:extLst>
                  <a:ext uri="{FF2B5EF4-FFF2-40B4-BE49-F238E27FC236}">
                    <a16:creationId xmlns:a16="http://schemas.microsoft.com/office/drawing/2014/main" id="{00000000-0008-0000-0B00-00000F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0000" y="332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8192" y="16384"/>
                  </a:cxn>
                  <a:cxn ang="0">
                    <a:pos x="16384" y="0"/>
                  </a:cxn>
                  <a:cxn ang="0">
                    <a:pos x="15872" y="0"/>
                  </a:cxn>
                  <a:cxn ang="0">
                    <a:pos x="15360" y="443"/>
                  </a:cxn>
                  <a:cxn ang="0">
                    <a:pos x="14848" y="443"/>
                  </a:cxn>
                  <a:cxn ang="0">
                    <a:pos x="13824" y="1328"/>
                  </a:cxn>
                  <a:cxn ang="0">
                    <a:pos x="13312" y="1328"/>
                  </a:cxn>
                  <a:cxn ang="0">
                    <a:pos x="12800" y="1328"/>
                  </a:cxn>
                  <a:cxn ang="0">
                    <a:pos x="11776" y="1328"/>
                  </a:cxn>
                  <a:cxn ang="0">
                    <a:pos x="11264" y="1771"/>
                  </a:cxn>
                  <a:cxn ang="0">
                    <a:pos x="10752" y="1771"/>
                  </a:cxn>
                  <a:cxn ang="0">
                    <a:pos x="10240" y="1771"/>
                  </a:cxn>
                  <a:cxn ang="0">
                    <a:pos x="9216" y="1771"/>
                  </a:cxn>
                  <a:cxn ang="0">
                    <a:pos x="8704" y="1771"/>
                  </a:cxn>
                  <a:cxn ang="0">
                    <a:pos x="8192" y="1771"/>
                  </a:cxn>
                  <a:cxn ang="0">
                    <a:pos x="7680" y="1771"/>
                  </a:cxn>
                  <a:cxn ang="0">
                    <a:pos x="6656" y="1771"/>
                  </a:cxn>
                  <a:cxn ang="0">
                    <a:pos x="6144" y="1771"/>
                  </a:cxn>
                  <a:cxn ang="0">
                    <a:pos x="5632" y="1771"/>
                  </a:cxn>
                  <a:cxn ang="0">
                    <a:pos x="4608" y="1771"/>
                  </a:cxn>
                  <a:cxn ang="0">
                    <a:pos x="4608" y="1328"/>
                  </a:cxn>
                  <a:cxn ang="0">
                    <a:pos x="4096" y="1328"/>
                  </a:cxn>
                  <a:cxn ang="0">
                    <a:pos x="3584" y="1328"/>
                  </a:cxn>
                  <a:cxn ang="0">
                    <a:pos x="3072" y="1328"/>
                  </a:cxn>
                  <a:cxn ang="0">
                    <a:pos x="2048" y="1328"/>
                  </a:cxn>
                  <a:cxn ang="0">
                    <a:pos x="2048" y="443"/>
                  </a:cxn>
                  <a:cxn ang="0">
                    <a:pos x="1536" y="443"/>
                  </a:cxn>
                  <a:cxn ang="0">
                    <a:pos x="1024" y="443"/>
                  </a:cxn>
                  <a:cxn ang="0">
                    <a:pos x="0" y="0"/>
                  </a:cxn>
                  <a:cxn ang="0">
                    <a:pos x="8192" y="16384"/>
                  </a:cxn>
                </a:cxnLst>
                <a:rect l="0" t="0" r="r" b="b"/>
                <a:pathLst>
                  <a:path w="16384" h="16384">
                    <a:moveTo>
                      <a:pt x="8192" y="16384"/>
                    </a:moveTo>
                    <a:lnTo>
                      <a:pt x="16384" y="0"/>
                    </a:lnTo>
                    <a:lnTo>
                      <a:pt x="15872" y="0"/>
                    </a:lnTo>
                    <a:lnTo>
                      <a:pt x="15360" y="443"/>
                    </a:lnTo>
                    <a:lnTo>
                      <a:pt x="14848" y="443"/>
                    </a:lnTo>
                    <a:lnTo>
                      <a:pt x="13824" y="1328"/>
                    </a:lnTo>
                    <a:lnTo>
                      <a:pt x="13312" y="1328"/>
                    </a:lnTo>
                    <a:lnTo>
                      <a:pt x="12800" y="1328"/>
                    </a:lnTo>
                    <a:lnTo>
                      <a:pt x="11776" y="1328"/>
                    </a:lnTo>
                    <a:lnTo>
                      <a:pt x="11264" y="1771"/>
                    </a:lnTo>
                    <a:lnTo>
                      <a:pt x="10752" y="1771"/>
                    </a:lnTo>
                    <a:lnTo>
                      <a:pt x="10240" y="1771"/>
                    </a:lnTo>
                    <a:lnTo>
                      <a:pt x="9216" y="1771"/>
                    </a:lnTo>
                    <a:lnTo>
                      <a:pt x="8704" y="1771"/>
                    </a:lnTo>
                    <a:lnTo>
                      <a:pt x="8192" y="1771"/>
                    </a:lnTo>
                    <a:lnTo>
                      <a:pt x="7680" y="1771"/>
                    </a:lnTo>
                    <a:lnTo>
                      <a:pt x="6656" y="1771"/>
                    </a:lnTo>
                    <a:lnTo>
                      <a:pt x="6144" y="1771"/>
                    </a:lnTo>
                    <a:lnTo>
                      <a:pt x="5632" y="1771"/>
                    </a:lnTo>
                    <a:lnTo>
                      <a:pt x="4608" y="1771"/>
                    </a:lnTo>
                    <a:lnTo>
                      <a:pt x="4608" y="1328"/>
                    </a:lnTo>
                    <a:lnTo>
                      <a:pt x="4096" y="1328"/>
                    </a:lnTo>
                    <a:lnTo>
                      <a:pt x="3584" y="1328"/>
                    </a:lnTo>
                    <a:lnTo>
                      <a:pt x="3072" y="1328"/>
                    </a:lnTo>
                    <a:lnTo>
                      <a:pt x="2048" y="1328"/>
                    </a:lnTo>
                    <a:lnTo>
                      <a:pt x="2048" y="443"/>
                    </a:lnTo>
                    <a:lnTo>
                      <a:pt x="1536" y="443"/>
                    </a:lnTo>
                    <a:lnTo>
                      <a:pt x="1024" y="443"/>
                    </a:lnTo>
                    <a:lnTo>
                      <a:pt x="0" y="0"/>
                    </a:lnTo>
                    <a:lnTo>
                      <a:pt x="8192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56" name="Текст 1687">
                <a:extLst>
                  <a:ext uri="{FF2B5EF4-FFF2-40B4-BE49-F238E27FC236}">
                    <a16:creationId xmlns:a16="http://schemas.microsoft.com/office/drawing/2014/main" id="{00000000-0008-0000-0B00-000010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0000" y="172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10257" name="Текст 1870">
                <a:extLst>
                  <a:ext uri="{FF2B5EF4-FFF2-40B4-BE49-F238E27FC236}">
                    <a16:creationId xmlns:a16="http://schemas.microsoft.com/office/drawing/2014/main" id="{00000000-0008-0000-0B00-000011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00000" y="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0258" name="Текст 1871">
                <a:extLst>
                  <a:ext uri="{FF2B5EF4-FFF2-40B4-BE49-F238E27FC236}">
                    <a16:creationId xmlns:a16="http://schemas.microsoft.com/office/drawing/2014/main" id="{00000000-0008-0000-0B00-000012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60000" y="338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0259" name="Текст 1872">
                <a:extLst>
                  <a:ext uri="{FF2B5EF4-FFF2-40B4-BE49-F238E27FC236}">
                    <a16:creationId xmlns:a16="http://schemas.microsoft.com/office/drawing/2014/main" id="{00000000-0008-0000-0B00-000013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40000" y="380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10260" name="Объект 1873">
                <a:extLst>
                  <a:ext uri="{FF2B5EF4-FFF2-40B4-BE49-F238E27FC236}">
                    <a16:creationId xmlns:a16="http://schemas.microsoft.com/office/drawing/2014/main" id="{00000000-0008-0000-0B00-000014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20000" y="3480000"/>
                <a:ext cx="0" cy="5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536"/>
                  </a:cxn>
                  <a:cxn ang="0">
                    <a:pos x="0" y="12396"/>
                  </a:cxn>
                  <a:cxn ang="0">
                    <a:pos x="0" y="14390"/>
                  </a:cxn>
                  <a:cxn ang="0">
                    <a:pos x="0" y="15517"/>
                  </a:cxn>
                  <a:cxn ang="0">
                    <a:pos x="0" y="16211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536"/>
                    </a:lnTo>
                    <a:lnTo>
                      <a:pt x="0" y="12396"/>
                    </a:lnTo>
                    <a:lnTo>
                      <a:pt x="0" y="14390"/>
                    </a:lnTo>
                    <a:lnTo>
                      <a:pt x="0" y="15517"/>
                    </a:lnTo>
                    <a:lnTo>
                      <a:pt x="0" y="16211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61" name="Объект 1874">
                <a:extLst>
                  <a:ext uri="{FF2B5EF4-FFF2-40B4-BE49-F238E27FC236}">
                    <a16:creationId xmlns:a16="http://schemas.microsoft.com/office/drawing/2014/main" id="{00000000-0008-0000-0B00-000015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0000" y="3860000"/>
                <a:ext cx="142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48" y="0"/>
                  </a:cxn>
                  <a:cxn ang="0">
                    <a:pos x="9544" y="0"/>
                  </a:cxn>
                  <a:cxn ang="0">
                    <a:pos x="12447" y="0"/>
                  </a:cxn>
                  <a:cxn ang="0">
                    <a:pos x="14356" y="0"/>
                  </a:cxn>
                  <a:cxn ang="0">
                    <a:pos x="15549" y="0"/>
                  </a:cxn>
                  <a:cxn ang="0">
                    <a:pos x="16145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48" y="0"/>
                    </a:lnTo>
                    <a:lnTo>
                      <a:pt x="9544" y="0"/>
                    </a:lnTo>
                    <a:lnTo>
                      <a:pt x="12447" y="0"/>
                    </a:lnTo>
                    <a:lnTo>
                      <a:pt x="14356" y="0"/>
                    </a:lnTo>
                    <a:lnTo>
                      <a:pt x="15549" y="0"/>
                    </a:lnTo>
                    <a:lnTo>
                      <a:pt x="16145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62" name="Объект 1875">
                <a:extLst>
                  <a:ext uri="{FF2B5EF4-FFF2-40B4-BE49-F238E27FC236}">
                    <a16:creationId xmlns:a16="http://schemas.microsoft.com/office/drawing/2014/main" id="{00000000-0008-0000-0B00-000016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380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0" y="8704"/>
                  </a:cxn>
                  <a:cxn ang="0">
                    <a:pos x="16384" y="0"/>
                  </a:cxn>
                  <a:cxn ang="0">
                    <a:pos x="16384" y="512"/>
                  </a:cxn>
                  <a:cxn ang="0">
                    <a:pos x="15522" y="1536"/>
                  </a:cxn>
                  <a:cxn ang="0">
                    <a:pos x="15522" y="2048"/>
                  </a:cxn>
                  <a:cxn ang="0">
                    <a:pos x="15091" y="2560"/>
                  </a:cxn>
                  <a:cxn ang="0">
                    <a:pos x="15091" y="3584"/>
                  </a:cxn>
                  <a:cxn ang="0">
                    <a:pos x="15091" y="4096"/>
                  </a:cxn>
                  <a:cxn ang="0">
                    <a:pos x="15091" y="4608"/>
                  </a:cxn>
                  <a:cxn ang="0">
                    <a:pos x="14659" y="5120"/>
                  </a:cxn>
                  <a:cxn ang="0">
                    <a:pos x="14659" y="6144"/>
                  </a:cxn>
                  <a:cxn ang="0">
                    <a:pos x="14659" y="6656"/>
                  </a:cxn>
                  <a:cxn ang="0">
                    <a:pos x="14659" y="7168"/>
                  </a:cxn>
                  <a:cxn ang="0">
                    <a:pos x="14659" y="8192"/>
                  </a:cxn>
                  <a:cxn ang="0">
                    <a:pos x="14659" y="8704"/>
                  </a:cxn>
                  <a:cxn ang="0">
                    <a:pos x="14659" y="9216"/>
                  </a:cxn>
                  <a:cxn ang="0">
                    <a:pos x="14659" y="9728"/>
                  </a:cxn>
                  <a:cxn ang="0">
                    <a:pos x="14659" y="10752"/>
                  </a:cxn>
                  <a:cxn ang="0">
                    <a:pos x="14659" y="11264"/>
                  </a:cxn>
                  <a:cxn ang="0">
                    <a:pos x="15091" y="11776"/>
                  </a:cxn>
                  <a:cxn ang="0">
                    <a:pos x="15091" y="12288"/>
                  </a:cxn>
                  <a:cxn ang="0">
                    <a:pos x="15091" y="13312"/>
                  </a:cxn>
                  <a:cxn ang="0">
                    <a:pos x="15091" y="13824"/>
                  </a:cxn>
                  <a:cxn ang="0">
                    <a:pos x="15522" y="14336"/>
                  </a:cxn>
                  <a:cxn ang="0">
                    <a:pos x="15522" y="15360"/>
                  </a:cxn>
                  <a:cxn ang="0">
                    <a:pos x="15522" y="15872"/>
                  </a:cxn>
                  <a:cxn ang="0">
                    <a:pos x="16384" y="16384"/>
                  </a:cxn>
                  <a:cxn ang="0">
                    <a:pos x="0" y="8704"/>
                  </a:cxn>
                </a:cxnLst>
                <a:rect l="0" t="0" r="r" b="b"/>
                <a:pathLst>
                  <a:path w="16384" h="16384">
                    <a:moveTo>
                      <a:pt x="0" y="8704"/>
                    </a:moveTo>
                    <a:lnTo>
                      <a:pt x="16384" y="0"/>
                    </a:lnTo>
                    <a:lnTo>
                      <a:pt x="16384" y="512"/>
                    </a:lnTo>
                    <a:lnTo>
                      <a:pt x="15522" y="1536"/>
                    </a:lnTo>
                    <a:lnTo>
                      <a:pt x="15522" y="2048"/>
                    </a:lnTo>
                    <a:lnTo>
                      <a:pt x="15091" y="2560"/>
                    </a:lnTo>
                    <a:lnTo>
                      <a:pt x="15091" y="3584"/>
                    </a:lnTo>
                    <a:lnTo>
                      <a:pt x="15091" y="4096"/>
                    </a:lnTo>
                    <a:lnTo>
                      <a:pt x="15091" y="4608"/>
                    </a:lnTo>
                    <a:lnTo>
                      <a:pt x="14659" y="5120"/>
                    </a:lnTo>
                    <a:lnTo>
                      <a:pt x="14659" y="6144"/>
                    </a:lnTo>
                    <a:lnTo>
                      <a:pt x="14659" y="6656"/>
                    </a:lnTo>
                    <a:lnTo>
                      <a:pt x="14659" y="7168"/>
                    </a:lnTo>
                    <a:lnTo>
                      <a:pt x="14659" y="8192"/>
                    </a:lnTo>
                    <a:lnTo>
                      <a:pt x="14659" y="8704"/>
                    </a:lnTo>
                    <a:lnTo>
                      <a:pt x="14659" y="9216"/>
                    </a:lnTo>
                    <a:lnTo>
                      <a:pt x="14659" y="9728"/>
                    </a:lnTo>
                    <a:lnTo>
                      <a:pt x="14659" y="10752"/>
                    </a:lnTo>
                    <a:lnTo>
                      <a:pt x="14659" y="11264"/>
                    </a:lnTo>
                    <a:lnTo>
                      <a:pt x="15091" y="11776"/>
                    </a:lnTo>
                    <a:lnTo>
                      <a:pt x="15091" y="12288"/>
                    </a:lnTo>
                    <a:lnTo>
                      <a:pt x="15091" y="13312"/>
                    </a:lnTo>
                    <a:lnTo>
                      <a:pt x="15091" y="13824"/>
                    </a:lnTo>
                    <a:lnTo>
                      <a:pt x="15522" y="14336"/>
                    </a:lnTo>
                    <a:lnTo>
                      <a:pt x="15522" y="15360"/>
                    </a:lnTo>
                    <a:lnTo>
                      <a:pt x="15522" y="15872"/>
                    </a:lnTo>
                    <a:lnTo>
                      <a:pt x="16384" y="16384"/>
                    </a:lnTo>
                    <a:lnTo>
                      <a:pt x="0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63" name="Объект 1876">
                <a:extLst>
                  <a:ext uri="{FF2B5EF4-FFF2-40B4-BE49-F238E27FC236}">
                    <a16:creationId xmlns:a16="http://schemas.microsoft.com/office/drawing/2014/main" id="{00000000-0008-0000-0B00-000017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80000" y="380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16384" y="8704"/>
                  </a:cxn>
                  <a:cxn ang="0">
                    <a:pos x="0" y="0"/>
                  </a:cxn>
                  <a:cxn ang="0">
                    <a:pos x="0" y="512"/>
                  </a:cxn>
                  <a:cxn ang="0">
                    <a:pos x="0" y="1536"/>
                  </a:cxn>
                  <a:cxn ang="0">
                    <a:pos x="443" y="2048"/>
                  </a:cxn>
                  <a:cxn ang="0">
                    <a:pos x="443" y="2560"/>
                  </a:cxn>
                  <a:cxn ang="0">
                    <a:pos x="886" y="3584"/>
                  </a:cxn>
                  <a:cxn ang="0">
                    <a:pos x="886" y="4096"/>
                  </a:cxn>
                  <a:cxn ang="0">
                    <a:pos x="886" y="4608"/>
                  </a:cxn>
                  <a:cxn ang="0">
                    <a:pos x="886" y="5120"/>
                  </a:cxn>
                  <a:cxn ang="0">
                    <a:pos x="1328" y="6144"/>
                  </a:cxn>
                  <a:cxn ang="0">
                    <a:pos x="1328" y="6656"/>
                  </a:cxn>
                  <a:cxn ang="0">
                    <a:pos x="1328" y="7168"/>
                  </a:cxn>
                  <a:cxn ang="0">
                    <a:pos x="1328" y="8192"/>
                  </a:cxn>
                  <a:cxn ang="0">
                    <a:pos x="1328" y="8704"/>
                  </a:cxn>
                  <a:cxn ang="0">
                    <a:pos x="1328" y="9216"/>
                  </a:cxn>
                  <a:cxn ang="0">
                    <a:pos x="1328" y="9728"/>
                  </a:cxn>
                  <a:cxn ang="0">
                    <a:pos x="1328" y="10752"/>
                  </a:cxn>
                  <a:cxn ang="0">
                    <a:pos x="1328" y="11264"/>
                  </a:cxn>
                  <a:cxn ang="0">
                    <a:pos x="886" y="11264"/>
                  </a:cxn>
                  <a:cxn ang="0">
                    <a:pos x="886" y="11776"/>
                  </a:cxn>
                  <a:cxn ang="0">
                    <a:pos x="886" y="12288"/>
                  </a:cxn>
                  <a:cxn ang="0">
                    <a:pos x="886" y="13312"/>
                  </a:cxn>
                  <a:cxn ang="0">
                    <a:pos x="886" y="13824"/>
                  </a:cxn>
                  <a:cxn ang="0">
                    <a:pos x="443" y="13824"/>
                  </a:cxn>
                  <a:cxn ang="0">
                    <a:pos x="443" y="14336"/>
                  </a:cxn>
                  <a:cxn ang="0">
                    <a:pos x="443" y="15360"/>
                  </a:cxn>
                  <a:cxn ang="0">
                    <a:pos x="0" y="15872"/>
                  </a:cxn>
                  <a:cxn ang="0">
                    <a:pos x="0" y="16384"/>
                  </a:cxn>
                  <a:cxn ang="0">
                    <a:pos x="16384" y="8704"/>
                  </a:cxn>
                </a:cxnLst>
                <a:rect l="0" t="0" r="r" b="b"/>
                <a:pathLst>
                  <a:path w="16384" h="16384">
                    <a:moveTo>
                      <a:pt x="16384" y="8704"/>
                    </a:moveTo>
                    <a:lnTo>
                      <a:pt x="0" y="0"/>
                    </a:lnTo>
                    <a:lnTo>
                      <a:pt x="0" y="512"/>
                    </a:lnTo>
                    <a:lnTo>
                      <a:pt x="0" y="1536"/>
                    </a:lnTo>
                    <a:lnTo>
                      <a:pt x="443" y="2048"/>
                    </a:lnTo>
                    <a:lnTo>
                      <a:pt x="443" y="2560"/>
                    </a:lnTo>
                    <a:lnTo>
                      <a:pt x="886" y="3584"/>
                    </a:lnTo>
                    <a:lnTo>
                      <a:pt x="886" y="4096"/>
                    </a:lnTo>
                    <a:lnTo>
                      <a:pt x="886" y="4608"/>
                    </a:lnTo>
                    <a:lnTo>
                      <a:pt x="886" y="5120"/>
                    </a:lnTo>
                    <a:lnTo>
                      <a:pt x="1328" y="6144"/>
                    </a:lnTo>
                    <a:lnTo>
                      <a:pt x="1328" y="6656"/>
                    </a:lnTo>
                    <a:lnTo>
                      <a:pt x="1328" y="7168"/>
                    </a:lnTo>
                    <a:lnTo>
                      <a:pt x="1328" y="8192"/>
                    </a:lnTo>
                    <a:lnTo>
                      <a:pt x="1328" y="8704"/>
                    </a:lnTo>
                    <a:lnTo>
                      <a:pt x="1328" y="9216"/>
                    </a:lnTo>
                    <a:lnTo>
                      <a:pt x="1328" y="9728"/>
                    </a:lnTo>
                    <a:lnTo>
                      <a:pt x="1328" y="10752"/>
                    </a:lnTo>
                    <a:lnTo>
                      <a:pt x="1328" y="11264"/>
                    </a:lnTo>
                    <a:lnTo>
                      <a:pt x="886" y="11264"/>
                    </a:lnTo>
                    <a:lnTo>
                      <a:pt x="886" y="11776"/>
                    </a:lnTo>
                    <a:lnTo>
                      <a:pt x="886" y="12288"/>
                    </a:lnTo>
                    <a:lnTo>
                      <a:pt x="886" y="13312"/>
                    </a:lnTo>
                    <a:lnTo>
                      <a:pt x="886" y="13824"/>
                    </a:lnTo>
                    <a:lnTo>
                      <a:pt x="443" y="13824"/>
                    </a:lnTo>
                    <a:lnTo>
                      <a:pt x="443" y="14336"/>
                    </a:lnTo>
                    <a:lnTo>
                      <a:pt x="443" y="15360"/>
                    </a:lnTo>
                    <a:lnTo>
                      <a:pt x="0" y="15872"/>
                    </a:lnTo>
                    <a:lnTo>
                      <a:pt x="0" y="16384"/>
                    </a:lnTo>
                    <a:lnTo>
                      <a:pt x="16384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64" name="Объект 1877">
                <a:extLst>
                  <a:ext uri="{FF2B5EF4-FFF2-40B4-BE49-F238E27FC236}">
                    <a16:creationId xmlns:a16="http://schemas.microsoft.com/office/drawing/2014/main" id="{00000000-0008-0000-0B00-000018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3480000"/>
                <a:ext cx="0" cy="5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536"/>
                  </a:cxn>
                  <a:cxn ang="0">
                    <a:pos x="0" y="12396"/>
                  </a:cxn>
                  <a:cxn ang="0">
                    <a:pos x="0" y="14390"/>
                  </a:cxn>
                  <a:cxn ang="0">
                    <a:pos x="0" y="15517"/>
                  </a:cxn>
                  <a:cxn ang="0">
                    <a:pos x="0" y="16211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536"/>
                    </a:lnTo>
                    <a:lnTo>
                      <a:pt x="0" y="12396"/>
                    </a:lnTo>
                    <a:lnTo>
                      <a:pt x="0" y="14390"/>
                    </a:lnTo>
                    <a:lnTo>
                      <a:pt x="0" y="15517"/>
                    </a:lnTo>
                    <a:lnTo>
                      <a:pt x="0" y="16211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65" name="Объект 1879">
                <a:extLst>
                  <a:ext uri="{FF2B5EF4-FFF2-40B4-BE49-F238E27FC236}">
                    <a16:creationId xmlns:a16="http://schemas.microsoft.com/office/drawing/2014/main" id="{00000000-0008-0000-0B00-000019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0000" y="312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7680" y="16384"/>
                  </a:cxn>
                  <a:cxn ang="0">
                    <a:pos x="0" y="0"/>
                  </a:cxn>
                  <a:cxn ang="0">
                    <a:pos x="512" y="0"/>
                  </a:cxn>
                  <a:cxn ang="0">
                    <a:pos x="512" y="431"/>
                  </a:cxn>
                  <a:cxn ang="0">
                    <a:pos x="1536" y="431"/>
                  </a:cxn>
                  <a:cxn ang="0">
                    <a:pos x="2048" y="431"/>
                  </a:cxn>
                  <a:cxn ang="0">
                    <a:pos x="2560" y="862"/>
                  </a:cxn>
                  <a:cxn ang="0">
                    <a:pos x="3072" y="862"/>
                  </a:cxn>
                  <a:cxn ang="0">
                    <a:pos x="4096" y="862"/>
                  </a:cxn>
                  <a:cxn ang="0">
                    <a:pos x="4608" y="1293"/>
                  </a:cxn>
                  <a:cxn ang="0">
                    <a:pos x="5120" y="1293"/>
                  </a:cxn>
                  <a:cxn ang="0">
                    <a:pos x="6144" y="1293"/>
                  </a:cxn>
                  <a:cxn ang="0">
                    <a:pos x="6656" y="1293"/>
                  </a:cxn>
                  <a:cxn ang="0">
                    <a:pos x="7168" y="1293"/>
                  </a:cxn>
                  <a:cxn ang="0">
                    <a:pos x="7680" y="1293"/>
                  </a:cxn>
                  <a:cxn ang="0">
                    <a:pos x="8704" y="1293"/>
                  </a:cxn>
                  <a:cxn ang="0">
                    <a:pos x="9216" y="1293"/>
                  </a:cxn>
                  <a:cxn ang="0">
                    <a:pos x="9728" y="1293"/>
                  </a:cxn>
                  <a:cxn ang="0">
                    <a:pos x="10240" y="1293"/>
                  </a:cxn>
                  <a:cxn ang="0">
                    <a:pos x="11264" y="1293"/>
                  </a:cxn>
                  <a:cxn ang="0">
                    <a:pos x="11776" y="1293"/>
                  </a:cxn>
                  <a:cxn ang="0">
                    <a:pos x="12288" y="862"/>
                  </a:cxn>
                  <a:cxn ang="0">
                    <a:pos x="13312" y="862"/>
                  </a:cxn>
                  <a:cxn ang="0">
                    <a:pos x="13824" y="862"/>
                  </a:cxn>
                  <a:cxn ang="0">
                    <a:pos x="14336" y="431"/>
                  </a:cxn>
                  <a:cxn ang="0">
                    <a:pos x="14848" y="431"/>
                  </a:cxn>
                  <a:cxn ang="0">
                    <a:pos x="15872" y="0"/>
                  </a:cxn>
                  <a:cxn ang="0">
                    <a:pos x="16384" y="0"/>
                  </a:cxn>
                  <a:cxn ang="0">
                    <a:pos x="7680" y="16384"/>
                  </a:cxn>
                </a:cxnLst>
                <a:rect l="0" t="0" r="r" b="b"/>
                <a:pathLst>
                  <a:path w="16384" h="16384">
                    <a:moveTo>
                      <a:pt x="7680" y="16384"/>
                    </a:moveTo>
                    <a:lnTo>
                      <a:pt x="0" y="0"/>
                    </a:lnTo>
                    <a:lnTo>
                      <a:pt x="512" y="0"/>
                    </a:lnTo>
                    <a:lnTo>
                      <a:pt x="512" y="431"/>
                    </a:lnTo>
                    <a:lnTo>
                      <a:pt x="1536" y="431"/>
                    </a:lnTo>
                    <a:lnTo>
                      <a:pt x="2048" y="431"/>
                    </a:lnTo>
                    <a:lnTo>
                      <a:pt x="2560" y="862"/>
                    </a:lnTo>
                    <a:lnTo>
                      <a:pt x="3072" y="862"/>
                    </a:lnTo>
                    <a:lnTo>
                      <a:pt x="4096" y="862"/>
                    </a:lnTo>
                    <a:lnTo>
                      <a:pt x="4608" y="1293"/>
                    </a:lnTo>
                    <a:lnTo>
                      <a:pt x="5120" y="1293"/>
                    </a:lnTo>
                    <a:lnTo>
                      <a:pt x="6144" y="1293"/>
                    </a:lnTo>
                    <a:lnTo>
                      <a:pt x="6656" y="1293"/>
                    </a:lnTo>
                    <a:lnTo>
                      <a:pt x="7168" y="1293"/>
                    </a:lnTo>
                    <a:lnTo>
                      <a:pt x="7680" y="1293"/>
                    </a:lnTo>
                    <a:lnTo>
                      <a:pt x="8704" y="1293"/>
                    </a:lnTo>
                    <a:lnTo>
                      <a:pt x="9216" y="1293"/>
                    </a:lnTo>
                    <a:lnTo>
                      <a:pt x="9728" y="1293"/>
                    </a:lnTo>
                    <a:lnTo>
                      <a:pt x="10240" y="1293"/>
                    </a:lnTo>
                    <a:lnTo>
                      <a:pt x="11264" y="1293"/>
                    </a:lnTo>
                    <a:lnTo>
                      <a:pt x="11776" y="1293"/>
                    </a:lnTo>
                    <a:lnTo>
                      <a:pt x="12288" y="862"/>
                    </a:lnTo>
                    <a:lnTo>
                      <a:pt x="13312" y="862"/>
                    </a:lnTo>
                    <a:lnTo>
                      <a:pt x="13824" y="862"/>
                    </a:lnTo>
                    <a:lnTo>
                      <a:pt x="14336" y="431"/>
                    </a:lnTo>
                    <a:lnTo>
                      <a:pt x="14848" y="431"/>
                    </a:lnTo>
                    <a:lnTo>
                      <a:pt x="15872" y="0"/>
                    </a:lnTo>
                    <a:lnTo>
                      <a:pt x="16384" y="0"/>
                    </a:lnTo>
                    <a:lnTo>
                      <a:pt x="768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66" name="Объект 1881">
                <a:extLst>
                  <a:ext uri="{FF2B5EF4-FFF2-40B4-BE49-F238E27FC236}">
                    <a16:creationId xmlns:a16="http://schemas.microsoft.com/office/drawing/2014/main" id="{00000000-0008-0000-0B00-00001A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0000" y="342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7680" y="0"/>
                  </a:cxn>
                  <a:cxn ang="0">
                    <a:pos x="0" y="16384"/>
                  </a:cxn>
                  <a:cxn ang="0">
                    <a:pos x="512" y="16384"/>
                  </a:cxn>
                  <a:cxn ang="0">
                    <a:pos x="1536" y="15941"/>
                  </a:cxn>
                  <a:cxn ang="0">
                    <a:pos x="2048" y="15941"/>
                  </a:cxn>
                  <a:cxn ang="0">
                    <a:pos x="2560" y="15941"/>
                  </a:cxn>
                  <a:cxn ang="0">
                    <a:pos x="3072" y="15941"/>
                  </a:cxn>
                  <a:cxn ang="0">
                    <a:pos x="3072" y="15056"/>
                  </a:cxn>
                  <a:cxn ang="0">
                    <a:pos x="4096" y="15056"/>
                  </a:cxn>
                  <a:cxn ang="0">
                    <a:pos x="4608" y="15056"/>
                  </a:cxn>
                  <a:cxn ang="0">
                    <a:pos x="5120" y="15056"/>
                  </a:cxn>
                  <a:cxn ang="0">
                    <a:pos x="6144" y="15056"/>
                  </a:cxn>
                  <a:cxn ang="0">
                    <a:pos x="6656" y="14613"/>
                  </a:cxn>
                  <a:cxn ang="0">
                    <a:pos x="7168" y="14613"/>
                  </a:cxn>
                  <a:cxn ang="0">
                    <a:pos x="7680" y="14613"/>
                  </a:cxn>
                  <a:cxn ang="0">
                    <a:pos x="8704" y="14613"/>
                  </a:cxn>
                  <a:cxn ang="0">
                    <a:pos x="9216" y="14613"/>
                  </a:cxn>
                  <a:cxn ang="0">
                    <a:pos x="9728" y="14613"/>
                  </a:cxn>
                  <a:cxn ang="0">
                    <a:pos x="10240" y="15056"/>
                  </a:cxn>
                  <a:cxn ang="0">
                    <a:pos x="11264" y="15056"/>
                  </a:cxn>
                  <a:cxn ang="0">
                    <a:pos x="11776" y="15056"/>
                  </a:cxn>
                  <a:cxn ang="0">
                    <a:pos x="12288" y="15056"/>
                  </a:cxn>
                  <a:cxn ang="0">
                    <a:pos x="13312" y="15056"/>
                  </a:cxn>
                  <a:cxn ang="0">
                    <a:pos x="13312" y="15941"/>
                  </a:cxn>
                  <a:cxn ang="0">
                    <a:pos x="13824" y="15941"/>
                  </a:cxn>
                  <a:cxn ang="0">
                    <a:pos x="14336" y="15941"/>
                  </a:cxn>
                  <a:cxn ang="0">
                    <a:pos x="14848" y="15941"/>
                  </a:cxn>
                  <a:cxn ang="0">
                    <a:pos x="14848" y="16384"/>
                  </a:cxn>
                  <a:cxn ang="0">
                    <a:pos x="15872" y="16384"/>
                  </a:cxn>
                  <a:cxn ang="0">
                    <a:pos x="16384" y="16384"/>
                  </a:cxn>
                  <a:cxn ang="0">
                    <a:pos x="7680" y="0"/>
                  </a:cxn>
                </a:cxnLst>
                <a:rect l="0" t="0" r="r" b="b"/>
                <a:pathLst>
                  <a:path w="16384" h="16384">
                    <a:moveTo>
                      <a:pt x="7680" y="0"/>
                    </a:moveTo>
                    <a:lnTo>
                      <a:pt x="0" y="16384"/>
                    </a:lnTo>
                    <a:lnTo>
                      <a:pt x="512" y="16384"/>
                    </a:lnTo>
                    <a:lnTo>
                      <a:pt x="1536" y="15941"/>
                    </a:lnTo>
                    <a:lnTo>
                      <a:pt x="2048" y="15941"/>
                    </a:lnTo>
                    <a:lnTo>
                      <a:pt x="2560" y="15941"/>
                    </a:lnTo>
                    <a:lnTo>
                      <a:pt x="3072" y="15941"/>
                    </a:lnTo>
                    <a:lnTo>
                      <a:pt x="3072" y="15056"/>
                    </a:lnTo>
                    <a:lnTo>
                      <a:pt x="4096" y="15056"/>
                    </a:lnTo>
                    <a:lnTo>
                      <a:pt x="4608" y="15056"/>
                    </a:lnTo>
                    <a:lnTo>
                      <a:pt x="5120" y="15056"/>
                    </a:lnTo>
                    <a:lnTo>
                      <a:pt x="6144" y="15056"/>
                    </a:lnTo>
                    <a:lnTo>
                      <a:pt x="6656" y="14613"/>
                    </a:lnTo>
                    <a:lnTo>
                      <a:pt x="7168" y="14613"/>
                    </a:lnTo>
                    <a:lnTo>
                      <a:pt x="7680" y="14613"/>
                    </a:lnTo>
                    <a:lnTo>
                      <a:pt x="8704" y="14613"/>
                    </a:lnTo>
                    <a:lnTo>
                      <a:pt x="9216" y="14613"/>
                    </a:lnTo>
                    <a:lnTo>
                      <a:pt x="9728" y="14613"/>
                    </a:lnTo>
                    <a:lnTo>
                      <a:pt x="10240" y="15056"/>
                    </a:lnTo>
                    <a:lnTo>
                      <a:pt x="11264" y="15056"/>
                    </a:lnTo>
                    <a:lnTo>
                      <a:pt x="11776" y="15056"/>
                    </a:lnTo>
                    <a:lnTo>
                      <a:pt x="12288" y="15056"/>
                    </a:lnTo>
                    <a:lnTo>
                      <a:pt x="13312" y="15056"/>
                    </a:lnTo>
                    <a:lnTo>
                      <a:pt x="13312" y="15941"/>
                    </a:lnTo>
                    <a:lnTo>
                      <a:pt x="13824" y="15941"/>
                    </a:lnTo>
                    <a:lnTo>
                      <a:pt x="14336" y="15941"/>
                    </a:lnTo>
                    <a:lnTo>
                      <a:pt x="14848" y="15941"/>
                    </a:lnTo>
                    <a:lnTo>
                      <a:pt x="14848" y="16384"/>
                    </a:lnTo>
                    <a:lnTo>
                      <a:pt x="15872" y="16384"/>
                    </a:lnTo>
                    <a:lnTo>
                      <a:pt x="16384" y="16384"/>
                    </a:lnTo>
                    <a:lnTo>
                      <a:pt x="768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67" name="Текст 1883">
                <a:extLst>
                  <a:ext uri="{FF2B5EF4-FFF2-40B4-BE49-F238E27FC236}">
                    <a16:creationId xmlns:a16="http://schemas.microsoft.com/office/drawing/2014/main" id="{00000000-0008-0000-0B00-00001B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60000" y="282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10268" name="Объект 1884">
                <a:extLst>
                  <a:ext uri="{FF2B5EF4-FFF2-40B4-BE49-F238E27FC236}">
                    <a16:creationId xmlns:a16="http://schemas.microsoft.com/office/drawing/2014/main" id="{00000000-0008-0000-0B00-00001C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20000" y="2740000"/>
                <a:ext cx="0" cy="5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61"/>
                  </a:cxn>
                  <a:cxn ang="0">
                    <a:pos x="0" y="9461"/>
                  </a:cxn>
                  <a:cxn ang="0">
                    <a:pos x="0" y="12461"/>
                  </a:cxn>
                  <a:cxn ang="0">
                    <a:pos x="0" y="14307"/>
                  </a:cxn>
                  <a:cxn ang="0">
                    <a:pos x="0" y="15538"/>
                  </a:cxn>
                  <a:cxn ang="0">
                    <a:pos x="0" y="16076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61"/>
                    </a:lnTo>
                    <a:lnTo>
                      <a:pt x="0" y="9461"/>
                    </a:lnTo>
                    <a:lnTo>
                      <a:pt x="0" y="12461"/>
                    </a:lnTo>
                    <a:lnTo>
                      <a:pt x="0" y="14307"/>
                    </a:lnTo>
                    <a:lnTo>
                      <a:pt x="0" y="15538"/>
                    </a:lnTo>
                    <a:lnTo>
                      <a:pt x="0" y="16076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69" name="Объект 1885">
                <a:extLst>
                  <a:ext uri="{FF2B5EF4-FFF2-40B4-BE49-F238E27FC236}">
                    <a16:creationId xmlns:a16="http://schemas.microsoft.com/office/drawing/2014/main" id="{00000000-0008-0000-0B00-00001D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80000" y="2860000"/>
                <a:ext cx="26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330" y="0"/>
                  </a:cxn>
                  <a:cxn ang="0">
                    <a:pos x="9278" y="0"/>
                  </a:cxn>
                  <a:cxn ang="0">
                    <a:pos x="12436" y="0"/>
                  </a:cxn>
                  <a:cxn ang="0">
                    <a:pos x="14410" y="0"/>
                  </a:cxn>
                  <a:cxn ang="0">
                    <a:pos x="15397" y="0"/>
                  </a:cxn>
                  <a:cxn ang="0">
                    <a:pos x="1618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330" y="0"/>
                    </a:lnTo>
                    <a:lnTo>
                      <a:pt x="9278" y="0"/>
                    </a:lnTo>
                    <a:lnTo>
                      <a:pt x="12436" y="0"/>
                    </a:lnTo>
                    <a:lnTo>
                      <a:pt x="14410" y="0"/>
                    </a:lnTo>
                    <a:lnTo>
                      <a:pt x="15397" y="0"/>
                    </a:lnTo>
                    <a:lnTo>
                      <a:pt x="1618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70" name="Объект 1886">
                <a:extLst>
                  <a:ext uri="{FF2B5EF4-FFF2-40B4-BE49-F238E27FC236}">
                    <a16:creationId xmlns:a16="http://schemas.microsoft.com/office/drawing/2014/main" id="{00000000-0008-0000-0B00-00001E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00000" y="282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0" y="8192"/>
                  </a:cxn>
                  <a:cxn ang="0">
                    <a:pos x="16384" y="0"/>
                  </a:cxn>
                  <a:cxn ang="0">
                    <a:pos x="16384" y="1024"/>
                  </a:cxn>
                  <a:cxn ang="0">
                    <a:pos x="15941" y="1536"/>
                  </a:cxn>
                  <a:cxn ang="0">
                    <a:pos x="15941" y="2048"/>
                  </a:cxn>
                  <a:cxn ang="0">
                    <a:pos x="15941" y="3072"/>
                  </a:cxn>
                  <a:cxn ang="0">
                    <a:pos x="15056" y="3584"/>
                  </a:cxn>
                  <a:cxn ang="0">
                    <a:pos x="15056" y="4096"/>
                  </a:cxn>
                  <a:cxn ang="0">
                    <a:pos x="15056" y="4608"/>
                  </a:cxn>
                  <a:cxn ang="0">
                    <a:pos x="15056" y="5632"/>
                  </a:cxn>
                  <a:cxn ang="0">
                    <a:pos x="14613" y="6144"/>
                  </a:cxn>
                  <a:cxn ang="0">
                    <a:pos x="14613" y="6656"/>
                  </a:cxn>
                  <a:cxn ang="0">
                    <a:pos x="14613" y="7680"/>
                  </a:cxn>
                  <a:cxn ang="0">
                    <a:pos x="14613" y="8192"/>
                  </a:cxn>
                  <a:cxn ang="0">
                    <a:pos x="14613" y="8704"/>
                  </a:cxn>
                  <a:cxn ang="0">
                    <a:pos x="14613" y="9216"/>
                  </a:cxn>
                  <a:cxn ang="0">
                    <a:pos x="14613" y="10240"/>
                  </a:cxn>
                  <a:cxn ang="0">
                    <a:pos x="15056" y="10752"/>
                  </a:cxn>
                  <a:cxn ang="0">
                    <a:pos x="15056" y="11264"/>
                  </a:cxn>
                  <a:cxn ang="0">
                    <a:pos x="15056" y="12288"/>
                  </a:cxn>
                  <a:cxn ang="0">
                    <a:pos x="15056" y="12800"/>
                  </a:cxn>
                  <a:cxn ang="0">
                    <a:pos x="15941" y="13312"/>
                  </a:cxn>
                  <a:cxn ang="0">
                    <a:pos x="15941" y="13824"/>
                  </a:cxn>
                  <a:cxn ang="0">
                    <a:pos x="15941" y="14848"/>
                  </a:cxn>
                  <a:cxn ang="0">
                    <a:pos x="16384" y="15360"/>
                  </a:cxn>
                  <a:cxn ang="0">
                    <a:pos x="16384" y="15872"/>
                  </a:cxn>
                  <a:cxn ang="0">
                    <a:pos x="16384" y="16384"/>
                  </a:cxn>
                  <a:cxn ang="0">
                    <a:pos x="0" y="8192"/>
                  </a:cxn>
                </a:cxnLst>
                <a:rect l="0" t="0" r="r" b="b"/>
                <a:pathLst>
                  <a:path w="16384" h="16384">
                    <a:moveTo>
                      <a:pt x="0" y="8192"/>
                    </a:moveTo>
                    <a:lnTo>
                      <a:pt x="16384" y="0"/>
                    </a:lnTo>
                    <a:lnTo>
                      <a:pt x="16384" y="1024"/>
                    </a:lnTo>
                    <a:lnTo>
                      <a:pt x="15941" y="1536"/>
                    </a:lnTo>
                    <a:lnTo>
                      <a:pt x="15941" y="2048"/>
                    </a:lnTo>
                    <a:lnTo>
                      <a:pt x="15941" y="3072"/>
                    </a:lnTo>
                    <a:lnTo>
                      <a:pt x="15056" y="3584"/>
                    </a:lnTo>
                    <a:lnTo>
                      <a:pt x="15056" y="4096"/>
                    </a:lnTo>
                    <a:lnTo>
                      <a:pt x="15056" y="4608"/>
                    </a:lnTo>
                    <a:lnTo>
                      <a:pt x="15056" y="5632"/>
                    </a:lnTo>
                    <a:lnTo>
                      <a:pt x="14613" y="6144"/>
                    </a:lnTo>
                    <a:lnTo>
                      <a:pt x="14613" y="6656"/>
                    </a:lnTo>
                    <a:lnTo>
                      <a:pt x="14613" y="7680"/>
                    </a:lnTo>
                    <a:lnTo>
                      <a:pt x="14613" y="8192"/>
                    </a:lnTo>
                    <a:lnTo>
                      <a:pt x="14613" y="8704"/>
                    </a:lnTo>
                    <a:lnTo>
                      <a:pt x="14613" y="9216"/>
                    </a:lnTo>
                    <a:lnTo>
                      <a:pt x="14613" y="10240"/>
                    </a:lnTo>
                    <a:lnTo>
                      <a:pt x="15056" y="10752"/>
                    </a:lnTo>
                    <a:lnTo>
                      <a:pt x="15056" y="11264"/>
                    </a:lnTo>
                    <a:lnTo>
                      <a:pt x="15056" y="12288"/>
                    </a:lnTo>
                    <a:lnTo>
                      <a:pt x="15056" y="12800"/>
                    </a:lnTo>
                    <a:lnTo>
                      <a:pt x="15941" y="13312"/>
                    </a:lnTo>
                    <a:lnTo>
                      <a:pt x="15941" y="13824"/>
                    </a:lnTo>
                    <a:lnTo>
                      <a:pt x="15941" y="14848"/>
                    </a:lnTo>
                    <a:lnTo>
                      <a:pt x="16384" y="15360"/>
                    </a:lnTo>
                    <a:lnTo>
                      <a:pt x="16384" y="15872"/>
                    </a:lnTo>
                    <a:lnTo>
                      <a:pt x="16384" y="16384"/>
                    </a:lnTo>
                    <a:lnTo>
                      <a:pt x="0" y="8192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71" name="Объект 1887">
                <a:extLst>
                  <a:ext uri="{FF2B5EF4-FFF2-40B4-BE49-F238E27FC236}">
                    <a16:creationId xmlns:a16="http://schemas.microsoft.com/office/drawing/2014/main" id="{00000000-0008-0000-0B00-00001F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00000" y="282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16384" y="8192"/>
                  </a:cxn>
                  <a:cxn ang="0">
                    <a:pos x="0" y="0"/>
                  </a:cxn>
                  <a:cxn ang="0">
                    <a:pos x="420" y="0"/>
                  </a:cxn>
                  <a:cxn ang="0">
                    <a:pos x="420" y="1024"/>
                  </a:cxn>
                  <a:cxn ang="0">
                    <a:pos x="420" y="1536"/>
                  </a:cxn>
                  <a:cxn ang="0">
                    <a:pos x="1260" y="2048"/>
                  </a:cxn>
                  <a:cxn ang="0">
                    <a:pos x="1260" y="3072"/>
                  </a:cxn>
                  <a:cxn ang="0">
                    <a:pos x="1260" y="3584"/>
                  </a:cxn>
                  <a:cxn ang="0">
                    <a:pos x="1680" y="4096"/>
                  </a:cxn>
                  <a:cxn ang="0">
                    <a:pos x="1680" y="4608"/>
                  </a:cxn>
                  <a:cxn ang="0">
                    <a:pos x="1680" y="5632"/>
                  </a:cxn>
                  <a:cxn ang="0">
                    <a:pos x="1680" y="6144"/>
                  </a:cxn>
                  <a:cxn ang="0">
                    <a:pos x="1680" y="6656"/>
                  </a:cxn>
                  <a:cxn ang="0">
                    <a:pos x="1680" y="7680"/>
                  </a:cxn>
                  <a:cxn ang="0">
                    <a:pos x="1680" y="8192"/>
                  </a:cxn>
                  <a:cxn ang="0">
                    <a:pos x="1680" y="8704"/>
                  </a:cxn>
                  <a:cxn ang="0">
                    <a:pos x="1680" y="9216"/>
                  </a:cxn>
                  <a:cxn ang="0">
                    <a:pos x="1680" y="10240"/>
                  </a:cxn>
                  <a:cxn ang="0">
                    <a:pos x="1680" y="10752"/>
                  </a:cxn>
                  <a:cxn ang="0">
                    <a:pos x="1680" y="11264"/>
                  </a:cxn>
                  <a:cxn ang="0">
                    <a:pos x="1680" y="12288"/>
                  </a:cxn>
                  <a:cxn ang="0">
                    <a:pos x="1260" y="12800"/>
                  </a:cxn>
                  <a:cxn ang="0">
                    <a:pos x="1260" y="13312"/>
                  </a:cxn>
                  <a:cxn ang="0">
                    <a:pos x="1260" y="13824"/>
                  </a:cxn>
                  <a:cxn ang="0">
                    <a:pos x="1260" y="14848"/>
                  </a:cxn>
                  <a:cxn ang="0">
                    <a:pos x="420" y="14848"/>
                  </a:cxn>
                  <a:cxn ang="0">
                    <a:pos x="420" y="15360"/>
                  </a:cxn>
                  <a:cxn ang="0">
                    <a:pos x="420" y="15872"/>
                  </a:cxn>
                  <a:cxn ang="0">
                    <a:pos x="0" y="16384"/>
                  </a:cxn>
                  <a:cxn ang="0">
                    <a:pos x="16384" y="8192"/>
                  </a:cxn>
                </a:cxnLst>
                <a:rect l="0" t="0" r="r" b="b"/>
                <a:pathLst>
                  <a:path w="16384" h="16384">
                    <a:moveTo>
                      <a:pt x="16384" y="8192"/>
                    </a:moveTo>
                    <a:lnTo>
                      <a:pt x="0" y="0"/>
                    </a:lnTo>
                    <a:lnTo>
                      <a:pt x="420" y="0"/>
                    </a:lnTo>
                    <a:lnTo>
                      <a:pt x="420" y="1024"/>
                    </a:lnTo>
                    <a:lnTo>
                      <a:pt x="420" y="1536"/>
                    </a:lnTo>
                    <a:lnTo>
                      <a:pt x="1260" y="2048"/>
                    </a:lnTo>
                    <a:lnTo>
                      <a:pt x="1260" y="3072"/>
                    </a:lnTo>
                    <a:lnTo>
                      <a:pt x="1260" y="3584"/>
                    </a:lnTo>
                    <a:lnTo>
                      <a:pt x="1680" y="4096"/>
                    </a:lnTo>
                    <a:lnTo>
                      <a:pt x="1680" y="4608"/>
                    </a:lnTo>
                    <a:lnTo>
                      <a:pt x="1680" y="5632"/>
                    </a:lnTo>
                    <a:lnTo>
                      <a:pt x="1680" y="6144"/>
                    </a:lnTo>
                    <a:lnTo>
                      <a:pt x="1680" y="6656"/>
                    </a:lnTo>
                    <a:lnTo>
                      <a:pt x="1680" y="7680"/>
                    </a:lnTo>
                    <a:lnTo>
                      <a:pt x="1680" y="8192"/>
                    </a:lnTo>
                    <a:lnTo>
                      <a:pt x="1680" y="8704"/>
                    </a:lnTo>
                    <a:lnTo>
                      <a:pt x="1680" y="9216"/>
                    </a:lnTo>
                    <a:lnTo>
                      <a:pt x="1680" y="10240"/>
                    </a:lnTo>
                    <a:lnTo>
                      <a:pt x="1680" y="10752"/>
                    </a:lnTo>
                    <a:lnTo>
                      <a:pt x="1680" y="11264"/>
                    </a:lnTo>
                    <a:lnTo>
                      <a:pt x="1680" y="12288"/>
                    </a:lnTo>
                    <a:lnTo>
                      <a:pt x="1260" y="12800"/>
                    </a:lnTo>
                    <a:lnTo>
                      <a:pt x="1260" y="13312"/>
                    </a:lnTo>
                    <a:lnTo>
                      <a:pt x="1260" y="13824"/>
                    </a:lnTo>
                    <a:lnTo>
                      <a:pt x="1260" y="14848"/>
                    </a:lnTo>
                    <a:lnTo>
                      <a:pt x="420" y="14848"/>
                    </a:lnTo>
                    <a:lnTo>
                      <a:pt x="420" y="15360"/>
                    </a:lnTo>
                    <a:lnTo>
                      <a:pt x="420" y="15872"/>
                    </a:lnTo>
                    <a:lnTo>
                      <a:pt x="0" y="16384"/>
                    </a:lnTo>
                    <a:lnTo>
                      <a:pt x="16384" y="8192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72" name="Объект 1890">
                <a:extLst>
                  <a:ext uri="{FF2B5EF4-FFF2-40B4-BE49-F238E27FC236}">
                    <a16:creationId xmlns:a16="http://schemas.microsoft.com/office/drawing/2014/main" id="{00000000-0008-0000-0B00-000020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40000" y="2680000"/>
                <a:ext cx="36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0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73" name="Текст 1959">
                <a:extLst>
                  <a:ext uri="{FF2B5EF4-FFF2-40B4-BE49-F238E27FC236}">
                    <a16:creationId xmlns:a16="http://schemas.microsoft.com/office/drawing/2014/main" id="{00000000-0008-0000-0B00-000021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380000" y="144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0274" name="Текст 1960">
                <a:extLst>
                  <a:ext uri="{FF2B5EF4-FFF2-40B4-BE49-F238E27FC236}">
                    <a16:creationId xmlns:a16="http://schemas.microsoft.com/office/drawing/2014/main" id="{00000000-0008-0000-0B00-000022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60000" y="144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0275" name="Объект 1962">
                <a:extLst>
                  <a:ext uri="{FF2B5EF4-FFF2-40B4-BE49-F238E27FC236}">
                    <a16:creationId xmlns:a16="http://schemas.microsoft.com/office/drawing/2014/main" id="{00000000-0008-0000-0B00-000023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20000" y="1420000"/>
                <a:ext cx="120000" cy="80000"/>
              </a:xfrm>
              <a:custGeom>
                <a:avLst/>
                <a:gdLst/>
                <a:ahLst/>
                <a:cxnLst>
                  <a:cxn ang="0">
                    <a:pos x="16384" y="8440"/>
                  </a:cxn>
                  <a:cxn ang="0">
                    <a:pos x="0" y="16384"/>
                  </a:cxn>
                  <a:cxn ang="0">
                    <a:pos x="0" y="15888"/>
                  </a:cxn>
                  <a:cxn ang="0">
                    <a:pos x="0" y="15391"/>
                  </a:cxn>
                  <a:cxn ang="0">
                    <a:pos x="443" y="14398"/>
                  </a:cxn>
                  <a:cxn ang="0">
                    <a:pos x="443" y="13902"/>
                  </a:cxn>
                  <a:cxn ang="0">
                    <a:pos x="886" y="13405"/>
                  </a:cxn>
                  <a:cxn ang="0">
                    <a:pos x="886" y="12909"/>
                  </a:cxn>
                  <a:cxn ang="0">
                    <a:pos x="886" y="11916"/>
                  </a:cxn>
                  <a:cxn ang="0">
                    <a:pos x="886" y="11419"/>
                  </a:cxn>
                  <a:cxn ang="0">
                    <a:pos x="1328" y="10923"/>
                  </a:cxn>
                  <a:cxn ang="0">
                    <a:pos x="1328" y="9930"/>
                  </a:cxn>
                  <a:cxn ang="0">
                    <a:pos x="1328" y="9433"/>
                  </a:cxn>
                  <a:cxn ang="0">
                    <a:pos x="1328" y="8937"/>
                  </a:cxn>
                  <a:cxn ang="0">
                    <a:pos x="1328" y="8440"/>
                  </a:cxn>
                  <a:cxn ang="0">
                    <a:pos x="1328" y="7447"/>
                  </a:cxn>
                  <a:cxn ang="0">
                    <a:pos x="1328" y="6951"/>
                  </a:cxn>
                  <a:cxn ang="0">
                    <a:pos x="1328" y="6454"/>
                  </a:cxn>
                  <a:cxn ang="0">
                    <a:pos x="1328" y="5958"/>
                  </a:cxn>
                  <a:cxn ang="0">
                    <a:pos x="886" y="4965"/>
                  </a:cxn>
                  <a:cxn ang="0">
                    <a:pos x="886" y="4468"/>
                  </a:cxn>
                  <a:cxn ang="0">
                    <a:pos x="886" y="3972"/>
                  </a:cxn>
                  <a:cxn ang="0">
                    <a:pos x="886" y="2979"/>
                  </a:cxn>
                  <a:cxn ang="0">
                    <a:pos x="443" y="2482"/>
                  </a:cxn>
                  <a:cxn ang="0">
                    <a:pos x="443" y="1986"/>
                  </a:cxn>
                  <a:cxn ang="0">
                    <a:pos x="0" y="1489"/>
                  </a:cxn>
                  <a:cxn ang="0">
                    <a:pos x="0" y="496"/>
                  </a:cxn>
                  <a:cxn ang="0">
                    <a:pos x="0" y="0"/>
                  </a:cxn>
                  <a:cxn ang="0">
                    <a:pos x="16384" y="8440"/>
                  </a:cxn>
                </a:cxnLst>
                <a:rect l="0" t="0" r="r" b="b"/>
                <a:pathLst>
                  <a:path w="16384" h="16384">
                    <a:moveTo>
                      <a:pt x="16384" y="8440"/>
                    </a:moveTo>
                    <a:lnTo>
                      <a:pt x="0" y="16384"/>
                    </a:lnTo>
                    <a:lnTo>
                      <a:pt x="0" y="15888"/>
                    </a:lnTo>
                    <a:lnTo>
                      <a:pt x="0" y="15391"/>
                    </a:lnTo>
                    <a:lnTo>
                      <a:pt x="443" y="14398"/>
                    </a:lnTo>
                    <a:lnTo>
                      <a:pt x="443" y="13902"/>
                    </a:lnTo>
                    <a:lnTo>
                      <a:pt x="886" y="13405"/>
                    </a:lnTo>
                    <a:lnTo>
                      <a:pt x="886" y="12909"/>
                    </a:lnTo>
                    <a:lnTo>
                      <a:pt x="886" y="11916"/>
                    </a:lnTo>
                    <a:lnTo>
                      <a:pt x="886" y="11419"/>
                    </a:lnTo>
                    <a:lnTo>
                      <a:pt x="1328" y="10923"/>
                    </a:lnTo>
                    <a:lnTo>
                      <a:pt x="1328" y="9930"/>
                    </a:lnTo>
                    <a:lnTo>
                      <a:pt x="1328" y="9433"/>
                    </a:lnTo>
                    <a:lnTo>
                      <a:pt x="1328" y="8937"/>
                    </a:lnTo>
                    <a:lnTo>
                      <a:pt x="1328" y="8440"/>
                    </a:lnTo>
                    <a:lnTo>
                      <a:pt x="1328" y="7447"/>
                    </a:lnTo>
                    <a:lnTo>
                      <a:pt x="1328" y="6951"/>
                    </a:lnTo>
                    <a:lnTo>
                      <a:pt x="1328" y="6454"/>
                    </a:lnTo>
                    <a:lnTo>
                      <a:pt x="1328" y="5958"/>
                    </a:lnTo>
                    <a:lnTo>
                      <a:pt x="886" y="4965"/>
                    </a:lnTo>
                    <a:lnTo>
                      <a:pt x="886" y="4468"/>
                    </a:lnTo>
                    <a:lnTo>
                      <a:pt x="886" y="3972"/>
                    </a:lnTo>
                    <a:lnTo>
                      <a:pt x="886" y="2979"/>
                    </a:lnTo>
                    <a:lnTo>
                      <a:pt x="443" y="2482"/>
                    </a:lnTo>
                    <a:lnTo>
                      <a:pt x="443" y="1986"/>
                    </a:lnTo>
                    <a:lnTo>
                      <a:pt x="0" y="1489"/>
                    </a:lnTo>
                    <a:lnTo>
                      <a:pt x="0" y="496"/>
                    </a:lnTo>
                    <a:lnTo>
                      <a:pt x="0" y="0"/>
                    </a:lnTo>
                    <a:lnTo>
                      <a:pt x="16384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76" name="Объект 1964">
                <a:extLst>
                  <a:ext uri="{FF2B5EF4-FFF2-40B4-BE49-F238E27FC236}">
                    <a16:creationId xmlns:a16="http://schemas.microsoft.com/office/drawing/2014/main" id="{00000000-0008-0000-0B00-000024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20000" y="142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8440"/>
                  </a:cxn>
                  <a:cxn ang="0">
                    <a:pos x="16384" y="16384"/>
                  </a:cxn>
                  <a:cxn ang="0">
                    <a:pos x="16384" y="15888"/>
                  </a:cxn>
                  <a:cxn ang="0">
                    <a:pos x="15498" y="15391"/>
                  </a:cxn>
                  <a:cxn ang="0">
                    <a:pos x="15498" y="14398"/>
                  </a:cxn>
                  <a:cxn ang="0">
                    <a:pos x="15498" y="13902"/>
                  </a:cxn>
                  <a:cxn ang="0">
                    <a:pos x="15056" y="13405"/>
                  </a:cxn>
                  <a:cxn ang="0">
                    <a:pos x="15056" y="12909"/>
                  </a:cxn>
                  <a:cxn ang="0">
                    <a:pos x="15056" y="11916"/>
                  </a:cxn>
                  <a:cxn ang="0">
                    <a:pos x="15056" y="11419"/>
                  </a:cxn>
                  <a:cxn ang="0">
                    <a:pos x="14613" y="10923"/>
                  </a:cxn>
                  <a:cxn ang="0">
                    <a:pos x="14613" y="9930"/>
                  </a:cxn>
                  <a:cxn ang="0">
                    <a:pos x="14613" y="9433"/>
                  </a:cxn>
                  <a:cxn ang="0">
                    <a:pos x="14613" y="8937"/>
                  </a:cxn>
                  <a:cxn ang="0">
                    <a:pos x="14613" y="8440"/>
                  </a:cxn>
                  <a:cxn ang="0">
                    <a:pos x="14613" y="7447"/>
                  </a:cxn>
                  <a:cxn ang="0">
                    <a:pos x="14613" y="6951"/>
                  </a:cxn>
                  <a:cxn ang="0">
                    <a:pos x="14613" y="6454"/>
                  </a:cxn>
                  <a:cxn ang="0">
                    <a:pos x="14613" y="5958"/>
                  </a:cxn>
                  <a:cxn ang="0">
                    <a:pos x="15056" y="4965"/>
                  </a:cxn>
                  <a:cxn ang="0">
                    <a:pos x="15056" y="4468"/>
                  </a:cxn>
                  <a:cxn ang="0">
                    <a:pos x="15056" y="3972"/>
                  </a:cxn>
                  <a:cxn ang="0">
                    <a:pos x="15056" y="2979"/>
                  </a:cxn>
                  <a:cxn ang="0">
                    <a:pos x="15498" y="2482"/>
                  </a:cxn>
                  <a:cxn ang="0">
                    <a:pos x="15498" y="1986"/>
                  </a:cxn>
                  <a:cxn ang="0">
                    <a:pos x="15498" y="1489"/>
                  </a:cxn>
                  <a:cxn ang="0">
                    <a:pos x="16384" y="496"/>
                  </a:cxn>
                  <a:cxn ang="0">
                    <a:pos x="16384" y="0"/>
                  </a:cxn>
                  <a:cxn ang="0">
                    <a:pos x="0" y="8440"/>
                  </a:cxn>
                </a:cxnLst>
                <a:rect l="0" t="0" r="r" b="b"/>
                <a:pathLst>
                  <a:path w="16384" h="16384">
                    <a:moveTo>
                      <a:pt x="0" y="8440"/>
                    </a:moveTo>
                    <a:lnTo>
                      <a:pt x="16384" y="16384"/>
                    </a:lnTo>
                    <a:lnTo>
                      <a:pt x="16384" y="15888"/>
                    </a:lnTo>
                    <a:lnTo>
                      <a:pt x="15498" y="15391"/>
                    </a:lnTo>
                    <a:lnTo>
                      <a:pt x="15498" y="14398"/>
                    </a:lnTo>
                    <a:lnTo>
                      <a:pt x="15498" y="13902"/>
                    </a:lnTo>
                    <a:lnTo>
                      <a:pt x="15056" y="13405"/>
                    </a:lnTo>
                    <a:lnTo>
                      <a:pt x="15056" y="12909"/>
                    </a:lnTo>
                    <a:lnTo>
                      <a:pt x="15056" y="11916"/>
                    </a:lnTo>
                    <a:lnTo>
                      <a:pt x="15056" y="11419"/>
                    </a:lnTo>
                    <a:lnTo>
                      <a:pt x="14613" y="10923"/>
                    </a:lnTo>
                    <a:lnTo>
                      <a:pt x="14613" y="9930"/>
                    </a:lnTo>
                    <a:lnTo>
                      <a:pt x="14613" y="9433"/>
                    </a:lnTo>
                    <a:lnTo>
                      <a:pt x="14613" y="8937"/>
                    </a:lnTo>
                    <a:lnTo>
                      <a:pt x="14613" y="8440"/>
                    </a:lnTo>
                    <a:lnTo>
                      <a:pt x="14613" y="7447"/>
                    </a:lnTo>
                    <a:lnTo>
                      <a:pt x="14613" y="6951"/>
                    </a:lnTo>
                    <a:lnTo>
                      <a:pt x="14613" y="6454"/>
                    </a:lnTo>
                    <a:lnTo>
                      <a:pt x="14613" y="5958"/>
                    </a:lnTo>
                    <a:lnTo>
                      <a:pt x="15056" y="4965"/>
                    </a:lnTo>
                    <a:lnTo>
                      <a:pt x="15056" y="4468"/>
                    </a:lnTo>
                    <a:lnTo>
                      <a:pt x="15056" y="3972"/>
                    </a:lnTo>
                    <a:lnTo>
                      <a:pt x="15056" y="2979"/>
                    </a:lnTo>
                    <a:lnTo>
                      <a:pt x="15498" y="2482"/>
                    </a:lnTo>
                    <a:lnTo>
                      <a:pt x="15498" y="1986"/>
                    </a:lnTo>
                    <a:lnTo>
                      <a:pt x="15498" y="1489"/>
                    </a:lnTo>
                    <a:lnTo>
                      <a:pt x="16384" y="496"/>
                    </a:lnTo>
                    <a:lnTo>
                      <a:pt x="16384" y="0"/>
                    </a:lnTo>
                    <a:lnTo>
                      <a:pt x="0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77" name="Текст 1966">
                <a:extLst>
                  <a:ext uri="{FF2B5EF4-FFF2-40B4-BE49-F238E27FC236}">
                    <a16:creationId xmlns:a16="http://schemas.microsoft.com/office/drawing/2014/main" id="{00000000-0008-0000-0B00-000025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00000" y="108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10278" name="Объект 1967">
                <a:extLst>
                  <a:ext uri="{FF2B5EF4-FFF2-40B4-BE49-F238E27FC236}">
                    <a16:creationId xmlns:a16="http://schemas.microsoft.com/office/drawing/2014/main" id="{00000000-0008-0000-0B00-000026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0000" y="720000"/>
                <a:ext cx="580000" cy="2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0478" y="1638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0478" y="1638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79" name="Объект 1968">
                <a:extLst>
                  <a:ext uri="{FF2B5EF4-FFF2-40B4-BE49-F238E27FC236}">
                    <a16:creationId xmlns:a16="http://schemas.microsoft.com/office/drawing/2014/main" id="{00000000-0008-0000-0B00-000027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80000" y="72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2288" y="16384"/>
                  </a:cxn>
                  <a:cxn ang="0">
                    <a:pos x="11833" y="16384"/>
                  </a:cxn>
                  <a:cxn ang="0">
                    <a:pos x="11833" y="15565"/>
                  </a:cxn>
                  <a:cxn ang="0">
                    <a:pos x="11833" y="15155"/>
                  </a:cxn>
                  <a:cxn ang="0">
                    <a:pos x="10923" y="14746"/>
                  </a:cxn>
                  <a:cxn ang="0">
                    <a:pos x="10468" y="14336"/>
                  </a:cxn>
                  <a:cxn ang="0">
                    <a:pos x="10468" y="13517"/>
                  </a:cxn>
                  <a:cxn ang="0">
                    <a:pos x="10012" y="13517"/>
                  </a:cxn>
                  <a:cxn ang="0">
                    <a:pos x="10012" y="13107"/>
                  </a:cxn>
                  <a:cxn ang="0">
                    <a:pos x="9557" y="13107"/>
                  </a:cxn>
                  <a:cxn ang="0">
                    <a:pos x="9557" y="12698"/>
                  </a:cxn>
                  <a:cxn ang="0">
                    <a:pos x="8647" y="11878"/>
                  </a:cxn>
                  <a:cxn ang="0">
                    <a:pos x="8192" y="11878"/>
                  </a:cxn>
                  <a:cxn ang="0">
                    <a:pos x="8192" y="11469"/>
                  </a:cxn>
                  <a:cxn ang="0">
                    <a:pos x="7737" y="11469"/>
                  </a:cxn>
                  <a:cxn ang="0">
                    <a:pos x="7737" y="11059"/>
                  </a:cxn>
                  <a:cxn ang="0">
                    <a:pos x="6827" y="11059"/>
                  </a:cxn>
                  <a:cxn ang="0">
                    <a:pos x="6372" y="11059"/>
                  </a:cxn>
                  <a:cxn ang="0">
                    <a:pos x="6372" y="10650"/>
                  </a:cxn>
                  <a:cxn ang="0">
                    <a:pos x="5916" y="10650"/>
                  </a:cxn>
                  <a:cxn ang="0">
                    <a:pos x="5461" y="9830"/>
                  </a:cxn>
                  <a:cxn ang="0">
                    <a:pos x="4551" y="9830"/>
                  </a:cxn>
                  <a:cxn ang="0">
                    <a:pos x="4096" y="9421"/>
                  </a:cxn>
                  <a:cxn ang="0">
                    <a:pos x="3641" y="9421"/>
                  </a:cxn>
                  <a:cxn ang="0">
                    <a:pos x="2731" y="9421"/>
                  </a:cxn>
                  <a:cxn ang="0">
                    <a:pos x="2276" y="9011"/>
                  </a:cxn>
                  <a:cxn ang="0">
                    <a:pos x="1820" y="9011"/>
                  </a:cxn>
                  <a:cxn ang="0">
                    <a:pos x="1365" y="9011"/>
                  </a:cxn>
                  <a:cxn ang="0">
                    <a:pos x="455" y="9011"/>
                  </a:cxn>
                  <a:cxn ang="0">
                    <a:pos x="0" y="9011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2288" y="16384"/>
                    </a:lnTo>
                    <a:lnTo>
                      <a:pt x="11833" y="16384"/>
                    </a:lnTo>
                    <a:lnTo>
                      <a:pt x="11833" y="15565"/>
                    </a:lnTo>
                    <a:lnTo>
                      <a:pt x="11833" y="15155"/>
                    </a:lnTo>
                    <a:lnTo>
                      <a:pt x="10923" y="14746"/>
                    </a:lnTo>
                    <a:lnTo>
                      <a:pt x="10468" y="14336"/>
                    </a:lnTo>
                    <a:lnTo>
                      <a:pt x="10468" y="13517"/>
                    </a:lnTo>
                    <a:lnTo>
                      <a:pt x="10012" y="13517"/>
                    </a:lnTo>
                    <a:lnTo>
                      <a:pt x="10012" y="13107"/>
                    </a:lnTo>
                    <a:lnTo>
                      <a:pt x="9557" y="13107"/>
                    </a:lnTo>
                    <a:lnTo>
                      <a:pt x="9557" y="12698"/>
                    </a:lnTo>
                    <a:lnTo>
                      <a:pt x="8647" y="11878"/>
                    </a:lnTo>
                    <a:lnTo>
                      <a:pt x="8192" y="11878"/>
                    </a:lnTo>
                    <a:lnTo>
                      <a:pt x="8192" y="11469"/>
                    </a:lnTo>
                    <a:lnTo>
                      <a:pt x="7737" y="11469"/>
                    </a:lnTo>
                    <a:lnTo>
                      <a:pt x="7737" y="11059"/>
                    </a:lnTo>
                    <a:lnTo>
                      <a:pt x="6827" y="11059"/>
                    </a:lnTo>
                    <a:lnTo>
                      <a:pt x="6372" y="11059"/>
                    </a:lnTo>
                    <a:lnTo>
                      <a:pt x="6372" y="10650"/>
                    </a:lnTo>
                    <a:lnTo>
                      <a:pt x="5916" y="10650"/>
                    </a:lnTo>
                    <a:lnTo>
                      <a:pt x="5461" y="9830"/>
                    </a:lnTo>
                    <a:lnTo>
                      <a:pt x="4551" y="9830"/>
                    </a:lnTo>
                    <a:lnTo>
                      <a:pt x="4096" y="9421"/>
                    </a:lnTo>
                    <a:lnTo>
                      <a:pt x="3641" y="9421"/>
                    </a:lnTo>
                    <a:lnTo>
                      <a:pt x="2731" y="9421"/>
                    </a:lnTo>
                    <a:lnTo>
                      <a:pt x="2276" y="9011"/>
                    </a:lnTo>
                    <a:lnTo>
                      <a:pt x="1820" y="9011"/>
                    </a:lnTo>
                    <a:lnTo>
                      <a:pt x="1365" y="9011"/>
                    </a:lnTo>
                    <a:lnTo>
                      <a:pt x="455" y="9011"/>
                    </a:lnTo>
                    <a:lnTo>
                      <a:pt x="0" y="9011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80" name="Объект 1969">
                <a:extLst>
                  <a:ext uri="{FF2B5EF4-FFF2-40B4-BE49-F238E27FC236}">
                    <a16:creationId xmlns:a16="http://schemas.microsoft.com/office/drawing/2014/main" id="{00000000-0008-0000-0B00-000028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0000" y="600000"/>
                <a:ext cx="460000" cy="2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8755" y="1638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8755" y="1638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81" name="Объект 1970">
                <a:extLst>
                  <a:ext uri="{FF2B5EF4-FFF2-40B4-BE49-F238E27FC236}">
                    <a16:creationId xmlns:a16="http://schemas.microsoft.com/office/drawing/2014/main" id="{00000000-0008-0000-0B00-0000292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0000" y="60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1703" y="16384"/>
                  </a:cxn>
                  <a:cxn ang="0">
                    <a:pos x="11703" y="15585"/>
                  </a:cxn>
                  <a:cxn ang="0">
                    <a:pos x="11703" y="15185"/>
                  </a:cxn>
                  <a:cxn ang="0">
                    <a:pos x="11235" y="14786"/>
                  </a:cxn>
                  <a:cxn ang="0">
                    <a:pos x="10767" y="14386"/>
                  </a:cxn>
                  <a:cxn ang="0">
                    <a:pos x="10767" y="13587"/>
                  </a:cxn>
                  <a:cxn ang="0">
                    <a:pos x="9830" y="13587"/>
                  </a:cxn>
                  <a:cxn ang="0">
                    <a:pos x="9830" y="13187"/>
                  </a:cxn>
                  <a:cxn ang="0">
                    <a:pos x="9362" y="12788"/>
                  </a:cxn>
                  <a:cxn ang="0">
                    <a:pos x="8894" y="11988"/>
                  </a:cxn>
                  <a:cxn ang="0">
                    <a:pos x="7958" y="11988"/>
                  </a:cxn>
                  <a:cxn ang="0">
                    <a:pos x="7958" y="11589"/>
                  </a:cxn>
                  <a:cxn ang="0">
                    <a:pos x="7490" y="11589"/>
                  </a:cxn>
                  <a:cxn ang="0">
                    <a:pos x="7490" y="11189"/>
                  </a:cxn>
                  <a:cxn ang="0">
                    <a:pos x="7022" y="11189"/>
                  </a:cxn>
                  <a:cxn ang="0">
                    <a:pos x="6554" y="10789"/>
                  </a:cxn>
                  <a:cxn ang="0">
                    <a:pos x="5617" y="9990"/>
                  </a:cxn>
                  <a:cxn ang="0">
                    <a:pos x="5149" y="9990"/>
                  </a:cxn>
                  <a:cxn ang="0">
                    <a:pos x="4681" y="9591"/>
                  </a:cxn>
                  <a:cxn ang="0">
                    <a:pos x="4213" y="9591"/>
                  </a:cxn>
                  <a:cxn ang="0">
                    <a:pos x="3277" y="9591"/>
                  </a:cxn>
                  <a:cxn ang="0">
                    <a:pos x="3277" y="9191"/>
                  </a:cxn>
                  <a:cxn ang="0">
                    <a:pos x="2809" y="9191"/>
                  </a:cxn>
                  <a:cxn ang="0">
                    <a:pos x="2341" y="9191"/>
                  </a:cxn>
                  <a:cxn ang="0">
                    <a:pos x="1404" y="9191"/>
                  </a:cxn>
                  <a:cxn ang="0">
                    <a:pos x="1404" y="8791"/>
                  </a:cxn>
                  <a:cxn ang="0">
                    <a:pos x="936" y="8791"/>
                  </a:cxn>
                  <a:cxn ang="0">
                    <a:pos x="468" y="8791"/>
                  </a:cxn>
                  <a:cxn ang="0">
                    <a:pos x="0" y="8791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1703" y="16384"/>
                    </a:lnTo>
                    <a:lnTo>
                      <a:pt x="11703" y="15585"/>
                    </a:lnTo>
                    <a:lnTo>
                      <a:pt x="11703" y="15185"/>
                    </a:lnTo>
                    <a:lnTo>
                      <a:pt x="11235" y="14786"/>
                    </a:lnTo>
                    <a:lnTo>
                      <a:pt x="10767" y="14386"/>
                    </a:lnTo>
                    <a:lnTo>
                      <a:pt x="10767" y="13587"/>
                    </a:lnTo>
                    <a:lnTo>
                      <a:pt x="9830" y="13587"/>
                    </a:lnTo>
                    <a:lnTo>
                      <a:pt x="9830" y="13187"/>
                    </a:lnTo>
                    <a:lnTo>
                      <a:pt x="9362" y="12788"/>
                    </a:lnTo>
                    <a:lnTo>
                      <a:pt x="8894" y="11988"/>
                    </a:lnTo>
                    <a:lnTo>
                      <a:pt x="7958" y="11988"/>
                    </a:lnTo>
                    <a:lnTo>
                      <a:pt x="7958" y="11589"/>
                    </a:lnTo>
                    <a:lnTo>
                      <a:pt x="7490" y="11589"/>
                    </a:lnTo>
                    <a:lnTo>
                      <a:pt x="7490" y="11189"/>
                    </a:lnTo>
                    <a:lnTo>
                      <a:pt x="7022" y="11189"/>
                    </a:lnTo>
                    <a:lnTo>
                      <a:pt x="6554" y="10789"/>
                    </a:lnTo>
                    <a:lnTo>
                      <a:pt x="5617" y="9990"/>
                    </a:lnTo>
                    <a:lnTo>
                      <a:pt x="5149" y="9990"/>
                    </a:lnTo>
                    <a:lnTo>
                      <a:pt x="4681" y="9591"/>
                    </a:lnTo>
                    <a:lnTo>
                      <a:pt x="4213" y="9591"/>
                    </a:lnTo>
                    <a:lnTo>
                      <a:pt x="3277" y="9591"/>
                    </a:lnTo>
                    <a:lnTo>
                      <a:pt x="3277" y="9191"/>
                    </a:lnTo>
                    <a:lnTo>
                      <a:pt x="2809" y="9191"/>
                    </a:lnTo>
                    <a:lnTo>
                      <a:pt x="2341" y="9191"/>
                    </a:lnTo>
                    <a:lnTo>
                      <a:pt x="1404" y="9191"/>
                    </a:lnTo>
                    <a:lnTo>
                      <a:pt x="1404" y="8791"/>
                    </a:lnTo>
                    <a:lnTo>
                      <a:pt x="936" y="8791"/>
                    </a:lnTo>
                    <a:lnTo>
                      <a:pt x="468" y="8791"/>
                    </a:lnTo>
                    <a:lnTo>
                      <a:pt x="0" y="8791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0282" name="Текст 1971">
                <a:extLst>
                  <a:ext uri="{FF2B5EF4-FFF2-40B4-BE49-F238E27FC236}">
                    <a16:creationId xmlns:a16="http://schemas.microsoft.com/office/drawing/2014/main" id="{00000000-0008-0000-0B00-00002A2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80000" y="580000"/>
                <a:ext cx="42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10283" name="Line 43">
                <a:extLst>
                  <a:ext uri="{FF2B5EF4-FFF2-40B4-BE49-F238E27FC236}">
                    <a16:creationId xmlns:a16="http://schemas.microsoft.com/office/drawing/2014/main" id="{00000000-0008-0000-0B00-00002B2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40000" y="260000"/>
                <a:ext cx="0" cy="342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0284" name="Line 44">
                <a:extLst>
                  <a:ext uri="{FF2B5EF4-FFF2-40B4-BE49-F238E27FC236}">
                    <a16:creationId xmlns:a16="http://schemas.microsoft.com/office/drawing/2014/main" id="{00000000-0008-0000-0B00-00002C2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40000" y="1820000"/>
                <a:ext cx="164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0285" name="Line 45">
                <a:extLst>
                  <a:ext uri="{FF2B5EF4-FFF2-40B4-BE49-F238E27FC236}">
                    <a16:creationId xmlns:a16="http://schemas.microsoft.com/office/drawing/2014/main" id="{00000000-0008-0000-0B00-00002D2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280000" y="1460000"/>
                <a:ext cx="28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286" name="Line 46">
                <a:extLst>
                  <a:ext uri="{FF2B5EF4-FFF2-40B4-BE49-F238E27FC236}">
                    <a16:creationId xmlns:a16="http://schemas.microsoft.com/office/drawing/2014/main" id="{00000000-0008-0000-0B00-00002E2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20000" y="1460000"/>
                <a:ext cx="20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287" name="Line 47">
                <a:extLst>
                  <a:ext uri="{FF2B5EF4-FFF2-40B4-BE49-F238E27FC236}">
                    <a16:creationId xmlns:a16="http://schemas.microsoft.com/office/drawing/2014/main" id="{00000000-0008-0000-0B00-00002F2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00000" y="3420000"/>
                <a:ext cx="6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288" name="Line 48">
                <a:extLst>
                  <a:ext uri="{FF2B5EF4-FFF2-40B4-BE49-F238E27FC236}">
                    <a16:creationId xmlns:a16="http://schemas.microsoft.com/office/drawing/2014/main" id="{00000000-0008-0000-0B00-0000302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00000" y="480000"/>
                <a:ext cx="6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289" name="Line 49">
                <a:extLst>
                  <a:ext uri="{FF2B5EF4-FFF2-40B4-BE49-F238E27FC236}">
                    <a16:creationId xmlns:a16="http://schemas.microsoft.com/office/drawing/2014/main" id="{00000000-0008-0000-0B00-0000312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2080000" y="2720000"/>
                <a:ext cx="0" cy="42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290" name="Line 50">
                <a:extLst>
                  <a:ext uri="{FF2B5EF4-FFF2-40B4-BE49-F238E27FC236}">
                    <a16:creationId xmlns:a16="http://schemas.microsoft.com/office/drawing/2014/main" id="{00000000-0008-0000-0B00-0000322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080000" y="3500000"/>
                <a:ext cx="0" cy="18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grpSp>
            <xdr:nvGrpSpPr>
              <xdr:cNvPr id="10291" name="Group 51">
                <a:extLst>
                  <a:ext uri="{FF2B5EF4-FFF2-40B4-BE49-F238E27FC236}">
                    <a16:creationId xmlns:a16="http://schemas.microsoft.com/office/drawing/2014/main" id="{00000000-0008-0000-0B00-00003328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40000" y="2260000"/>
                <a:ext cx="2540000" cy="2040000"/>
                <a:chOff x="140000" y="2260000"/>
                <a:chExt cx="2540000" cy="2040000"/>
              </a:xfrm>
            </xdr:grpSpPr>
            <xdr:sp macro="" textlink="">
              <xdr:nvSpPr>
                <xdr:cNvPr id="10292" name="Текст 1888">
                  <a:extLst>
                    <a:ext uri="{FF2B5EF4-FFF2-40B4-BE49-F238E27FC236}">
                      <a16:creationId xmlns:a16="http://schemas.microsoft.com/office/drawing/2014/main" id="{00000000-0008-0000-0B00-00003428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2000000" y="2260000"/>
                  <a:ext cx="680000" cy="420000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18288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000" b="0" i="0" u="none" strike="noStrike" baseline="0">
                      <a:solidFill>
                        <a:srgbClr val="0000FF"/>
                      </a:solidFill>
                      <a:latin typeface="Arial Cyr"/>
                      <a:cs typeface="Arial Cyr"/>
                    </a:rPr>
                    <a:t>b - s</a:t>
                  </a:r>
                </a:p>
              </xdr:txBody>
            </xdr:sp>
            <xdr:sp macro="" textlink="">
              <xdr:nvSpPr>
                <xdr:cNvPr id="10293" name="Текст 1889">
                  <a:extLst>
                    <a:ext uri="{FF2B5EF4-FFF2-40B4-BE49-F238E27FC236}">
                      <a16:creationId xmlns:a16="http://schemas.microsoft.com/office/drawing/2014/main" id="{00000000-0008-0000-0B00-00003528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2180000" y="2540000"/>
                  <a:ext cx="300000" cy="420000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18288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000" b="0" i="0" u="none" strike="noStrike" baseline="0">
                      <a:solidFill>
                        <a:srgbClr val="0000FF"/>
                      </a:solidFill>
                      <a:latin typeface="Arial Cyr"/>
                      <a:cs typeface="Arial Cyr"/>
                    </a:rPr>
                    <a:t>4</a:t>
                  </a:r>
                </a:p>
              </xdr:txBody>
            </xdr:sp>
            <xdr:sp macro="" textlink="">
              <xdr:nvSpPr>
                <xdr:cNvPr id="10294" name="Line 54">
                  <a:extLst>
                    <a:ext uri="{FF2B5EF4-FFF2-40B4-BE49-F238E27FC236}">
                      <a16:creationId xmlns:a16="http://schemas.microsoft.com/office/drawing/2014/main" id="{00000000-0008-0000-0B00-00003628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2040000" y="2560000"/>
                  <a:ext cx="560000" cy="0"/>
                </a:xfrm>
                <a:prstGeom prst="line">
                  <a:avLst/>
                </a:prstGeom>
                <a:noFill/>
                <a:ln w="9525">
                  <a:solidFill>
                    <a:srgbClr val="00008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0298" name="Текст 58">
                  <a:extLst>
                    <a:ext uri="{FF2B5EF4-FFF2-40B4-BE49-F238E27FC236}">
                      <a16:creationId xmlns:a16="http://schemas.microsoft.com/office/drawing/2014/main" id="{00000000-0008-0000-0B00-00003A28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40000" y="3800000"/>
                  <a:ext cx="380000" cy="500000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200" b="1" i="0" u="none" strike="noStrike" baseline="0">
                      <a:solidFill>
                        <a:srgbClr val="800000"/>
                      </a:solidFill>
                      <a:latin typeface="Arial Cyr"/>
                      <a:cs typeface="Arial Cyr"/>
                    </a:rPr>
                    <a:t>6</a:t>
                  </a:r>
                </a:p>
              </xdr:txBody>
            </xdr:sp>
          </xdr:grp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2</xdr:row>
          <xdr:rowOff>19050</xdr:rowOff>
        </xdr:from>
        <xdr:to>
          <xdr:col>20</xdr:col>
          <xdr:colOff>57150</xdr:colOff>
          <xdr:row>3</xdr:row>
          <xdr:rowOff>38100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3</xdr:row>
          <xdr:rowOff>114300</xdr:rowOff>
        </xdr:from>
        <xdr:to>
          <xdr:col>16</xdr:col>
          <xdr:colOff>95250</xdr:colOff>
          <xdr:row>4</xdr:row>
          <xdr:rowOff>133350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17</xdr:col>
          <xdr:colOff>333375</xdr:colOff>
          <xdr:row>0</xdr:row>
          <xdr:rowOff>171450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B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0</xdr:rowOff>
    </xdr:from>
    <xdr:to>
      <xdr:col>3</xdr:col>
      <xdr:colOff>133350</xdr:colOff>
      <xdr:row>11</xdr:row>
      <xdr:rowOff>0</xdr:rowOff>
    </xdr:to>
    <xdr:grpSp>
      <xdr:nvGrpSpPr>
        <xdr:cNvPr id="11318" name="Group 54">
          <a:extLst>
            <a:ext uri="{FF2B5EF4-FFF2-40B4-BE49-F238E27FC236}">
              <a16:creationId xmlns:a16="http://schemas.microsoft.com/office/drawing/2014/main" id="{00000000-0008-0000-0D00-0000362C0000}"/>
            </a:ext>
          </a:extLst>
        </xdr:cNvPr>
        <xdr:cNvGrpSpPr>
          <a:grpSpLocks/>
        </xdr:cNvGrpSpPr>
      </xdr:nvGrpSpPr>
      <xdr:grpSpPr bwMode="auto">
        <a:xfrm>
          <a:off x="47625" y="0"/>
          <a:ext cx="1238250" cy="2219325"/>
          <a:chOff x="-6093" y="0"/>
          <a:chExt cx="24830" cy="2097"/>
        </a:xfrm>
      </xdr:grpSpPr>
      <xdr:grpSp>
        <xdr:nvGrpSpPr>
          <xdr:cNvPr id="11271" name="Group 7">
            <a:extLst>
              <a:ext uri="{FF2B5EF4-FFF2-40B4-BE49-F238E27FC236}">
                <a16:creationId xmlns:a16="http://schemas.microsoft.com/office/drawing/2014/main" id="{00000000-0008-0000-0D00-0000072C0000}"/>
              </a:ext>
            </a:extLst>
          </xdr:cNvPr>
          <xdr:cNvGrpSpPr>
            <a:grpSpLocks/>
          </xdr:cNvGrpSpPr>
        </xdr:nvGrpSpPr>
        <xdr:grpSpPr bwMode="auto">
          <a:xfrm>
            <a:off x="-6093" y="0"/>
            <a:ext cx="24830" cy="2097"/>
            <a:chOff x="100000" y="0"/>
            <a:chExt cx="2600000" cy="4660000"/>
          </a:xfrm>
        </xdr:grpSpPr>
        <xdr:sp macro="" textlink="">
          <xdr:nvSpPr>
            <xdr:cNvPr id="11272" name="Rectangle 8">
              <a:extLst>
                <a:ext uri="{FF2B5EF4-FFF2-40B4-BE49-F238E27FC236}">
                  <a16:creationId xmlns:a16="http://schemas.microsoft.com/office/drawing/2014/main" id="{00000000-0008-0000-0D00-0000082C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0000" y="100000"/>
              <a:ext cx="2600000" cy="4440000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273" name="Group 9">
              <a:extLst>
                <a:ext uri="{FF2B5EF4-FFF2-40B4-BE49-F238E27FC236}">
                  <a16:creationId xmlns:a16="http://schemas.microsoft.com/office/drawing/2014/main" id="{00000000-0008-0000-0D00-0000092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0000" y="0"/>
              <a:ext cx="2520000" cy="4660000"/>
              <a:chOff x="100000" y="0"/>
              <a:chExt cx="2520000" cy="4660000"/>
            </a:xfrm>
          </xdr:grpSpPr>
          <xdr:sp macro="" textlink="">
            <xdr:nvSpPr>
              <xdr:cNvPr id="11274" name="Объект 1972">
                <a:extLst>
                  <a:ext uri="{FF2B5EF4-FFF2-40B4-BE49-F238E27FC236}">
                    <a16:creationId xmlns:a16="http://schemas.microsoft.com/office/drawing/2014/main" id="{00000000-0008-0000-0D00-00000A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0000" y="480000"/>
                <a:ext cx="1700000" cy="3140000"/>
              </a:xfrm>
              <a:custGeom>
                <a:avLst/>
                <a:gdLst/>
                <a:ahLst/>
                <a:cxnLst>
                  <a:cxn ang="0">
                    <a:pos x="16384" y="767"/>
                  </a:cxn>
                  <a:cxn ang="0">
                    <a:pos x="16384" y="0"/>
                  </a:cxn>
                  <a:cxn ang="0">
                    <a:pos x="0" y="0"/>
                  </a:cxn>
                  <a:cxn ang="0">
                    <a:pos x="0" y="767"/>
                  </a:cxn>
                  <a:cxn ang="0">
                    <a:pos x="6076" y="767"/>
                  </a:cxn>
                  <a:cxn ang="0">
                    <a:pos x="6510" y="782"/>
                  </a:cxn>
                  <a:cxn ang="0">
                    <a:pos x="6836" y="827"/>
                  </a:cxn>
                  <a:cxn ang="0">
                    <a:pos x="7125" y="887"/>
                  </a:cxn>
                  <a:cxn ang="0">
                    <a:pos x="7270" y="962"/>
                  </a:cxn>
                  <a:cxn ang="0">
                    <a:pos x="7414" y="1037"/>
                  </a:cxn>
                  <a:cxn ang="0">
                    <a:pos x="7451" y="1157"/>
                  </a:cxn>
                  <a:cxn ang="0">
                    <a:pos x="7487" y="1293"/>
                  </a:cxn>
                  <a:cxn ang="0">
                    <a:pos x="7487" y="1428"/>
                  </a:cxn>
                  <a:cxn ang="0">
                    <a:pos x="7487" y="3096"/>
                  </a:cxn>
                  <a:cxn ang="0">
                    <a:pos x="7487" y="4795"/>
                  </a:cxn>
                  <a:cxn ang="0">
                    <a:pos x="7487" y="6478"/>
                  </a:cxn>
                  <a:cxn ang="0">
                    <a:pos x="7487" y="8177"/>
                  </a:cxn>
                  <a:cxn ang="0">
                    <a:pos x="7487" y="9875"/>
                  </a:cxn>
                  <a:cxn ang="0">
                    <a:pos x="7487" y="11559"/>
                  </a:cxn>
                  <a:cxn ang="0">
                    <a:pos x="7487" y="13242"/>
                  </a:cxn>
                  <a:cxn ang="0">
                    <a:pos x="7487" y="14911"/>
                  </a:cxn>
                  <a:cxn ang="0">
                    <a:pos x="7487" y="15046"/>
                  </a:cxn>
                  <a:cxn ang="0">
                    <a:pos x="7451" y="15182"/>
                  </a:cxn>
                  <a:cxn ang="0">
                    <a:pos x="7414" y="15302"/>
                  </a:cxn>
                  <a:cxn ang="0">
                    <a:pos x="7306" y="15392"/>
                  </a:cxn>
                  <a:cxn ang="0">
                    <a:pos x="7161" y="15497"/>
                  </a:cxn>
                  <a:cxn ang="0">
                    <a:pos x="6944" y="15557"/>
                  </a:cxn>
                  <a:cxn ang="0">
                    <a:pos x="6691" y="15602"/>
                  </a:cxn>
                  <a:cxn ang="0">
                    <a:pos x="6402" y="15602"/>
                  </a:cxn>
                  <a:cxn ang="0">
                    <a:pos x="0" y="15602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15602"/>
                  </a:cxn>
                  <a:cxn ang="0">
                    <a:pos x="10380" y="15602"/>
                  </a:cxn>
                  <a:cxn ang="0">
                    <a:pos x="9946" y="15602"/>
                  </a:cxn>
                  <a:cxn ang="0">
                    <a:pos x="9657" y="15572"/>
                  </a:cxn>
                  <a:cxn ang="0">
                    <a:pos x="9440" y="15497"/>
                  </a:cxn>
                  <a:cxn ang="0">
                    <a:pos x="9259" y="15422"/>
                  </a:cxn>
                  <a:cxn ang="0">
                    <a:pos x="9150" y="15302"/>
                  </a:cxn>
                  <a:cxn ang="0">
                    <a:pos x="9114" y="15182"/>
                  </a:cxn>
                  <a:cxn ang="0">
                    <a:pos x="9078" y="15046"/>
                  </a:cxn>
                  <a:cxn ang="0">
                    <a:pos x="9078" y="14911"/>
                  </a:cxn>
                  <a:cxn ang="0">
                    <a:pos x="9078" y="13273"/>
                  </a:cxn>
                  <a:cxn ang="0">
                    <a:pos x="9078" y="11589"/>
                  </a:cxn>
                  <a:cxn ang="0">
                    <a:pos x="9078" y="9891"/>
                  </a:cxn>
                  <a:cxn ang="0">
                    <a:pos x="9078" y="8177"/>
                  </a:cxn>
                  <a:cxn ang="0">
                    <a:pos x="9078" y="6463"/>
                  </a:cxn>
                  <a:cxn ang="0">
                    <a:pos x="9078" y="4750"/>
                  </a:cxn>
                  <a:cxn ang="0">
                    <a:pos x="9078" y="3081"/>
                  </a:cxn>
                  <a:cxn ang="0">
                    <a:pos x="9078" y="1428"/>
                  </a:cxn>
                  <a:cxn ang="0">
                    <a:pos x="9078" y="1263"/>
                  </a:cxn>
                  <a:cxn ang="0">
                    <a:pos x="9114" y="1127"/>
                  </a:cxn>
                  <a:cxn ang="0">
                    <a:pos x="9150" y="1037"/>
                  </a:cxn>
                  <a:cxn ang="0">
                    <a:pos x="9259" y="947"/>
                  </a:cxn>
                  <a:cxn ang="0">
                    <a:pos x="9404" y="857"/>
                  </a:cxn>
                  <a:cxn ang="0">
                    <a:pos x="9621" y="827"/>
                  </a:cxn>
                  <a:cxn ang="0">
                    <a:pos x="9946" y="782"/>
                  </a:cxn>
                  <a:cxn ang="0">
                    <a:pos x="10380" y="767"/>
                  </a:cxn>
                  <a:cxn ang="0">
                    <a:pos x="16384" y="767"/>
                  </a:cxn>
                </a:cxnLst>
                <a:rect l="0" t="0" r="r" b="b"/>
                <a:pathLst>
                  <a:path w="16384" h="16384">
                    <a:moveTo>
                      <a:pt x="16384" y="767"/>
                    </a:moveTo>
                    <a:lnTo>
                      <a:pt x="16384" y="0"/>
                    </a:lnTo>
                    <a:lnTo>
                      <a:pt x="0" y="0"/>
                    </a:lnTo>
                    <a:lnTo>
                      <a:pt x="0" y="767"/>
                    </a:lnTo>
                    <a:lnTo>
                      <a:pt x="6076" y="767"/>
                    </a:lnTo>
                    <a:lnTo>
                      <a:pt x="6510" y="782"/>
                    </a:lnTo>
                    <a:lnTo>
                      <a:pt x="6836" y="827"/>
                    </a:lnTo>
                    <a:lnTo>
                      <a:pt x="7125" y="887"/>
                    </a:lnTo>
                    <a:lnTo>
                      <a:pt x="7270" y="962"/>
                    </a:lnTo>
                    <a:lnTo>
                      <a:pt x="7414" y="1037"/>
                    </a:lnTo>
                    <a:lnTo>
                      <a:pt x="7451" y="1157"/>
                    </a:lnTo>
                    <a:lnTo>
                      <a:pt x="7487" y="1293"/>
                    </a:lnTo>
                    <a:lnTo>
                      <a:pt x="7487" y="1428"/>
                    </a:lnTo>
                    <a:lnTo>
                      <a:pt x="7487" y="3096"/>
                    </a:lnTo>
                    <a:lnTo>
                      <a:pt x="7487" y="4795"/>
                    </a:lnTo>
                    <a:lnTo>
                      <a:pt x="7487" y="6478"/>
                    </a:lnTo>
                    <a:lnTo>
                      <a:pt x="7487" y="8177"/>
                    </a:lnTo>
                    <a:lnTo>
                      <a:pt x="7487" y="9875"/>
                    </a:lnTo>
                    <a:lnTo>
                      <a:pt x="7487" y="11559"/>
                    </a:lnTo>
                    <a:lnTo>
                      <a:pt x="7487" y="13242"/>
                    </a:lnTo>
                    <a:lnTo>
                      <a:pt x="7487" y="14911"/>
                    </a:lnTo>
                    <a:lnTo>
                      <a:pt x="7487" y="15046"/>
                    </a:lnTo>
                    <a:lnTo>
                      <a:pt x="7451" y="15182"/>
                    </a:lnTo>
                    <a:lnTo>
                      <a:pt x="7414" y="15302"/>
                    </a:lnTo>
                    <a:lnTo>
                      <a:pt x="7306" y="15392"/>
                    </a:lnTo>
                    <a:lnTo>
                      <a:pt x="7161" y="15497"/>
                    </a:lnTo>
                    <a:lnTo>
                      <a:pt x="6944" y="15557"/>
                    </a:lnTo>
                    <a:lnTo>
                      <a:pt x="6691" y="15602"/>
                    </a:lnTo>
                    <a:lnTo>
                      <a:pt x="6402" y="15602"/>
                    </a:lnTo>
                    <a:lnTo>
                      <a:pt x="0" y="15602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15602"/>
                    </a:lnTo>
                    <a:lnTo>
                      <a:pt x="10380" y="15602"/>
                    </a:lnTo>
                    <a:lnTo>
                      <a:pt x="9946" y="15602"/>
                    </a:lnTo>
                    <a:lnTo>
                      <a:pt x="9657" y="15572"/>
                    </a:lnTo>
                    <a:lnTo>
                      <a:pt x="9440" y="15497"/>
                    </a:lnTo>
                    <a:lnTo>
                      <a:pt x="9259" y="15422"/>
                    </a:lnTo>
                    <a:lnTo>
                      <a:pt x="9150" y="15302"/>
                    </a:lnTo>
                    <a:lnTo>
                      <a:pt x="9114" y="15182"/>
                    </a:lnTo>
                    <a:lnTo>
                      <a:pt x="9078" y="15046"/>
                    </a:lnTo>
                    <a:lnTo>
                      <a:pt x="9078" y="14911"/>
                    </a:lnTo>
                    <a:lnTo>
                      <a:pt x="9078" y="13273"/>
                    </a:lnTo>
                    <a:lnTo>
                      <a:pt x="9078" y="11589"/>
                    </a:lnTo>
                    <a:lnTo>
                      <a:pt x="9078" y="9891"/>
                    </a:lnTo>
                    <a:lnTo>
                      <a:pt x="9078" y="8177"/>
                    </a:lnTo>
                    <a:lnTo>
                      <a:pt x="9078" y="6463"/>
                    </a:lnTo>
                    <a:lnTo>
                      <a:pt x="9078" y="4750"/>
                    </a:lnTo>
                    <a:lnTo>
                      <a:pt x="9078" y="3081"/>
                    </a:lnTo>
                    <a:lnTo>
                      <a:pt x="9078" y="1428"/>
                    </a:lnTo>
                    <a:lnTo>
                      <a:pt x="9078" y="1263"/>
                    </a:lnTo>
                    <a:lnTo>
                      <a:pt x="9114" y="1127"/>
                    </a:lnTo>
                    <a:lnTo>
                      <a:pt x="9150" y="1037"/>
                    </a:lnTo>
                    <a:lnTo>
                      <a:pt x="9259" y="947"/>
                    </a:lnTo>
                    <a:lnTo>
                      <a:pt x="9404" y="857"/>
                    </a:lnTo>
                    <a:lnTo>
                      <a:pt x="9621" y="827"/>
                    </a:lnTo>
                    <a:lnTo>
                      <a:pt x="9946" y="782"/>
                    </a:lnTo>
                    <a:lnTo>
                      <a:pt x="10380" y="767"/>
                    </a:lnTo>
                    <a:lnTo>
                      <a:pt x="16384" y="767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75" name="Объект 1973">
                <a:extLst>
                  <a:ext uri="{FF2B5EF4-FFF2-40B4-BE49-F238E27FC236}">
                    <a16:creationId xmlns:a16="http://schemas.microsoft.com/office/drawing/2014/main" id="{00000000-0008-0000-0D00-00000B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0000" y="480000"/>
                <a:ext cx="1700000" cy="3140000"/>
              </a:xfrm>
              <a:custGeom>
                <a:avLst/>
                <a:gdLst/>
                <a:ahLst/>
                <a:cxnLst>
                  <a:cxn ang="0">
                    <a:pos x="16384" y="767"/>
                  </a:cxn>
                  <a:cxn ang="0">
                    <a:pos x="16384" y="0"/>
                  </a:cxn>
                  <a:cxn ang="0">
                    <a:pos x="0" y="0"/>
                  </a:cxn>
                  <a:cxn ang="0">
                    <a:pos x="0" y="767"/>
                  </a:cxn>
                  <a:cxn ang="0">
                    <a:pos x="6076" y="767"/>
                  </a:cxn>
                  <a:cxn ang="0">
                    <a:pos x="6510" y="782"/>
                  </a:cxn>
                  <a:cxn ang="0">
                    <a:pos x="6836" y="827"/>
                  </a:cxn>
                  <a:cxn ang="0">
                    <a:pos x="7125" y="887"/>
                  </a:cxn>
                  <a:cxn ang="0">
                    <a:pos x="7270" y="962"/>
                  </a:cxn>
                  <a:cxn ang="0">
                    <a:pos x="7414" y="1037"/>
                  </a:cxn>
                  <a:cxn ang="0">
                    <a:pos x="7451" y="1157"/>
                  </a:cxn>
                  <a:cxn ang="0">
                    <a:pos x="7487" y="1293"/>
                  </a:cxn>
                  <a:cxn ang="0">
                    <a:pos x="7487" y="1428"/>
                  </a:cxn>
                  <a:cxn ang="0">
                    <a:pos x="7487" y="3096"/>
                  </a:cxn>
                  <a:cxn ang="0">
                    <a:pos x="7487" y="4795"/>
                  </a:cxn>
                  <a:cxn ang="0">
                    <a:pos x="7487" y="6478"/>
                  </a:cxn>
                  <a:cxn ang="0">
                    <a:pos x="7487" y="8177"/>
                  </a:cxn>
                  <a:cxn ang="0">
                    <a:pos x="7487" y="9875"/>
                  </a:cxn>
                  <a:cxn ang="0">
                    <a:pos x="7487" y="11559"/>
                  </a:cxn>
                  <a:cxn ang="0">
                    <a:pos x="7487" y="13242"/>
                  </a:cxn>
                  <a:cxn ang="0">
                    <a:pos x="7487" y="14911"/>
                  </a:cxn>
                  <a:cxn ang="0">
                    <a:pos x="7487" y="15046"/>
                  </a:cxn>
                  <a:cxn ang="0">
                    <a:pos x="7451" y="15182"/>
                  </a:cxn>
                  <a:cxn ang="0">
                    <a:pos x="7414" y="15302"/>
                  </a:cxn>
                  <a:cxn ang="0">
                    <a:pos x="7306" y="15392"/>
                  </a:cxn>
                  <a:cxn ang="0">
                    <a:pos x="7161" y="15497"/>
                  </a:cxn>
                  <a:cxn ang="0">
                    <a:pos x="6944" y="15557"/>
                  </a:cxn>
                  <a:cxn ang="0">
                    <a:pos x="6691" y="15602"/>
                  </a:cxn>
                  <a:cxn ang="0">
                    <a:pos x="6402" y="15602"/>
                  </a:cxn>
                  <a:cxn ang="0">
                    <a:pos x="0" y="15602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15602"/>
                  </a:cxn>
                  <a:cxn ang="0">
                    <a:pos x="10380" y="15602"/>
                  </a:cxn>
                  <a:cxn ang="0">
                    <a:pos x="9946" y="15602"/>
                  </a:cxn>
                  <a:cxn ang="0">
                    <a:pos x="9657" y="15572"/>
                  </a:cxn>
                  <a:cxn ang="0">
                    <a:pos x="9440" y="15497"/>
                  </a:cxn>
                  <a:cxn ang="0">
                    <a:pos x="9259" y="15422"/>
                  </a:cxn>
                  <a:cxn ang="0">
                    <a:pos x="9150" y="15302"/>
                  </a:cxn>
                  <a:cxn ang="0">
                    <a:pos x="9114" y="15182"/>
                  </a:cxn>
                  <a:cxn ang="0">
                    <a:pos x="9078" y="15046"/>
                  </a:cxn>
                  <a:cxn ang="0">
                    <a:pos x="9078" y="14911"/>
                  </a:cxn>
                  <a:cxn ang="0">
                    <a:pos x="9078" y="13273"/>
                  </a:cxn>
                  <a:cxn ang="0">
                    <a:pos x="9078" y="11589"/>
                  </a:cxn>
                  <a:cxn ang="0">
                    <a:pos x="9078" y="9891"/>
                  </a:cxn>
                  <a:cxn ang="0">
                    <a:pos x="9078" y="8177"/>
                  </a:cxn>
                  <a:cxn ang="0">
                    <a:pos x="9078" y="6463"/>
                  </a:cxn>
                  <a:cxn ang="0">
                    <a:pos x="9078" y="4750"/>
                  </a:cxn>
                  <a:cxn ang="0">
                    <a:pos x="9078" y="3081"/>
                  </a:cxn>
                  <a:cxn ang="0">
                    <a:pos x="9078" y="1428"/>
                  </a:cxn>
                  <a:cxn ang="0">
                    <a:pos x="9078" y="1263"/>
                  </a:cxn>
                  <a:cxn ang="0">
                    <a:pos x="9114" y="1127"/>
                  </a:cxn>
                  <a:cxn ang="0">
                    <a:pos x="9150" y="1037"/>
                  </a:cxn>
                  <a:cxn ang="0">
                    <a:pos x="9259" y="947"/>
                  </a:cxn>
                  <a:cxn ang="0">
                    <a:pos x="9404" y="857"/>
                  </a:cxn>
                  <a:cxn ang="0">
                    <a:pos x="9621" y="827"/>
                  </a:cxn>
                  <a:cxn ang="0">
                    <a:pos x="9946" y="782"/>
                  </a:cxn>
                  <a:cxn ang="0">
                    <a:pos x="10380" y="767"/>
                  </a:cxn>
                  <a:cxn ang="0">
                    <a:pos x="16384" y="767"/>
                  </a:cxn>
                </a:cxnLst>
                <a:rect l="0" t="0" r="r" b="b"/>
                <a:pathLst>
                  <a:path w="16384" h="16384">
                    <a:moveTo>
                      <a:pt x="16384" y="767"/>
                    </a:moveTo>
                    <a:lnTo>
                      <a:pt x="16384" y="0"/>
                    </a:lnTo>
                    <a:lnTo>
                      <a:pt x="0" y="0"/>
                    </a:lnTo>
                    <a:lnTo>
                      <a:pt x="0" y="767"/>
                    </a:lnTo>
                    <a:lnTo>
                      <a:pt x="6076" y="767"/>
                    </a:lnTo>
                    <a:lnTo>
                      <a:pt x="6510" y="782"/>
                    </a:lnTo>
                    <a:lnTo>
                      <a:pt x="6836" y="827"/>
                    </a:lnTo>
                    <a:lnTo>
                      <a:pt x="7125" y="887"/>
                    </a:lnTo>
                    <a:lnTo>
                      <a:pt x="7270" y="962"/>
                    </a:lnTo>
                    <a:lnTo>
                      <a:pt x="7414" y="1037"/>
                    </a:lnTo>
                    <a:lnTo>
                      <a:pt x="7451" y="1157"/>
                    </a:lnTo>
                    <a:lnTo>
                      <a:pt x="7487" y="1293"/>
                    </a:lnTo>
                    <a:lnTo>
                      <a:pt x="7487" y="1428"/>
                    </a:lnTo>
                    <a:lnTo>
                      <a:pt x="7487" y="3096"/>
                    </a:lnTo>
                    <a:lnTo>
                      <a:pt x="7487" y="4795"/>
                    </a:lnTo>
                    <a:lnTo>
                      <a:pt x="7487" y="6478"/>
                    </a:lnTo>
                    <a:lnTo>
                      <a:pt x="7487" y="8177"/>
                    </a:lnTo>
                    <a:lnTo>
                      <a:pt x="7487" y="9875"/>
                    </a:lnTo>
                    <a:lnTo>
                      <a:pt x="7487" y="11559"/>
                    </a:lnTo>
                    <a:lnTo>
                      <a:pt x="7487" y="13242"/>
                    </a:lnTo>
                    <a:lnTo>
                      <a:pt x="7487" y="14911"/>
                    </a:lnTo>
                    <a:lnTo>
                      <a:pt x="7487" y="15046"/>
                    </a:lnTo>
                    <a:lnTo>
                      <a:pt x="7451" y="15182"/>
                    </a:lnTo>
                    <a:lnTo>
                      <a:pt x="7414" y="15302"/>
                    </a:lnTo>
                    <a:lnTo>
                      <a:pt x="7306" y="15392"/>
                    </a:lnTo>
                    <a:lnTo>
                      <a:pt x="7161" y="15497"/>
                    </a:lnTo>
                    <a:lnTo>
                      <a:pt x="6944" y="15557"/>
                    </a:lnTo>
                    <a:lnTo>
                      <a:pt x="6691" y="15602"/>
                    </a:lnTo>
                    <a:lnTo>
                      <a:pt x="6402" y="15602"/>
                    </a:lnTo>
                    <a:lnTo>
                      <a:pt x="0" y="15602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15602"/>
                    </a:lnTo>
                    <a:lnTo>
                      <a:pt x="10380" y="15602"/>
                    </a:lnTo>
                    <a:lnTo>
                      <a:pt x="9946" y="15602"/>
                    </a:lnTo>
                    <a:lnTo>
                      <a:pt x="9657" y="15572"/>
                    </a:lnTo>
                    <a:lnTo>
                      <a:pt x="9440" y="15497"/>
                    </a:lnTo>
                    <a:lnTo>
                      <a:pt x="9259" y="15422"/>
                    </a:lnTo>
                    <a:lnTo>
                      <a:pt x="9150" y="15302"/>
                    </a:lnTo>
                    <a:lnTo>
                      <a:pt x="9114" y="15182"/>
                    </a:lnTo>
                    <a:lnTo>
                      <a:pt x="9078" y="15046"/>
                    </a:lnTo>
                    <a:lnTo>
                      <a:pt x="9078" y="14911"/>
                    </a:lnTo>
                    <a:lnTo>
                      <a:pt x="9078" y="13273"/>
                    </a:lnTo>
                    <a:lnTo>
                      <a:pt x="9078" y="11589"/>
                    </a:lnTo>
                    <a:lnTo>
                      <a:pt x="9078" y="9891"/>
                    </a:lnTo>
                    <a:lnTo>
                      <a:pt x="9078" y="8177"/>
                    </a:lnTo>
                    <a:lnTo>
                      <a:pt x="9078" y="6463"/>
                    </a:lnTo>
                    <a:lnTo>
                      <a:pt x="9078" y="4750"/>
                    </a:lnTo>
                    <a:lnTo>
                      <a:pt x="9078" y="3081"/>
                    </a:lnTo>
                    <a:lnTo>
                      <a:pt x="9078" y="1428"/>
                    </a:lnTo>
                    <a:lnTo>
                      <a:pt x="9078" y="1263"/>
                    </a:lnTo>
                    <a:lnTo>
                      <a:pt x="9114" y="1127"/>
                    </a:lnTo>
                    <a:lnTo>
                      <a:pt x="9150" y="1037"/>
                    </a:lnTo>
                    <a:lnTo>
                      <a:pt x="9259" y="947"/>
                    </a:lnTo>
                    <a:lnTo>
                      <a:pt x="9404" y="857"/>
                    </a:lnTo>
                    <a:lnTo>
                      <a:pt x="9621" y="827"/>
                    </a:lnTo>
                    <a:lnTo>
                      <a:pt x="9946" y="782"/>
                    </a:lnTo>
                    <a:lnTo>
                      <a:pt x="10380" y="767"/>
                    </a:lnTo>
                    <a:lnTo>
                      <a:pt x="16384" y="767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76" name="Текст 1974">
                <a:extLst>
                  <a:ext uri="{FF2B5EF4-FFF2-40B4-BE49-F238E27FC236}">
                    <a16:creationId xmlns:a16="http://schemas.microsoft.com/office/drawing/2014/main" id="{00000000-0008-0000-0D00-00000C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20000" y="62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11277" name="Объект 1976">
                <a:extLst>
                  <a:ext uri="{FF2B5EF4-FFF2-40B4-BE49-F238E27FC236}">
                    <a16:creationId xmlns:a16="http://schemas.microsoft.com/office/drawing/2014/main" id="{00000000-0008-0000-0D00-00000D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60000" y="520000"/>
                <a:ext cx="0" cy="30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94"/>
                  </a:cxn>
                  <a:cxn ang="0">
                    <a:pos x="0" y="9471"/>
                  </a:cxn>
                  <a:cxn ang="0">
                    <a:pos x="0" y="12369"/>
                  </a:cxn>
                  <a:cxn ang="0">
                    <a:pos x="0" y="14338"/>
                  </a:cxn>
                  <a:cxn ang="0">
                    <a:pos x="0" y="15500"/>
                  </a:cxn>
                  <a:cxn ang="0">
                    <a:pos x="0" y="16120"/>
                  </a:cxn>
                  <a:cxn ang="0">
                    <a:pos x="0" y="16337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94"/>
                    </a:lnTo>
                    <a:lnTo>
                      <a:pt x="0" y="9471"/>
                    </a:lnTo>
                    <a:lnTo>
                      <a:pt x="0" y="12369"/>
                    </a:lnTo>
                    <a:lnTo>
                      <a:pt x="0" y="14338"/>
                    </a:lnTo>
                    <a:lnTo>
                      <a:pt x="0" y="15500"/>
                    </a:lnTo>
                    <a:lnTo>
                      <a:pt x="0" y="16120"/>
                    </a:lnTo>
                    <a:lnTo>
                      <a:pt x="0" y="16337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78" name="Объект 1977">
                <a:extLst>
                  <a:ext uri="{FF2B5EF4-FFF2-40B4-BE49-F238E27FC236}">
                    <a16:creationId xmlns:a16="http://schemas.microsoft.com/office/drawing/2014/main" id="{00000000-0008-0000-0D00-00000E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00000" y="48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440" y="0"/>
                  </a:cxn>
                  <a:cxn ang="0">
                    <a:pos x="16384" y="16384"/>
                  </a:cxn>
                  <a:cxn ang="0">
                    <a:pos x="15888" y="15953"/>
                  </a:cxn>
                  <a:cxn ang="0">
                    <a:pos x="15391" y="15953"/>
                  </a:cxn>
                  <a:cxn ang="0">
                    <a:pos x="14398" y="15522"/>
                  </a:cxn>
                  <a:cxn ang="0">
                    <a:pos x="13902" y="15522"/>
                  </a:cxn>
                  <a:cxn ang="0">
                    <a:pos x="13405" y="15522"/>
                  </a:cxn>
                  <a:cxn ang="0">
                    <a:pos x="12412" y="15091"/>
                  </a:cxn>
                  <a:cxn ang="0">
                    <a:pos x="11916" y="15091"/>
                  </a:cxn>
                  <a:cxn ang="0">
                    <a:pos x="11419" y="15091"/>
                  </a:cxn>
                  <a:cxn ang="0">
                    <a:pos x="10923" y="15091"/>
                  </a:cxn>
                  <a:cxn ang="0">
                    <a:pos x="9930" y="15091"/>
                  </a:cxn>
                  <a:cxn ang="0">
                    <a:pos x="9433" y="15091"/>
                  </a:cxn>
                  <a:cxn ang="0">
                    <a:pos x="9433" y="14228"/>
                  </a:cxn>
                  <a:cxn ang="0">
                    <a:pos x="8937" y="14228"/>
                  </a:cxn>
                  <a:cxn ang="0">
                    <a:pos x="8440" y="14228"/>
                  </a:cxn>
                  <a:cxn ang="0">
                    <a:pos x="7447" y="14228"/>
                  </a:cxn>
                  <a:cxn ang="0">
                    <a:pos x="6951" y="14228"/>
                  </a:cxn>
                  <a:cxn ang="0">
                    <a:pos x="6951" y="15091"/>
                  </a:cxn>
                  <a:cxn ang="0">
                    <a:pos x="6454" y="15091"/>
                  </a:cxn>
                  <a:cxn ang="0">
                    <a:pos x="5461" y="15091"/>
                  </a:cxn>
                  <a:cxn ang="0">
                    <a:pos x="4965" y="15091"/>
                  </a:cxn>
                  <a:cxn ang="0">
                    <a:pos x="4468" y="15091"/>
                  </a:cxn>
                  <a:cxn ang="0">
                    <a:pos x="3972" y="15091"/>
                  </a:cxn>
                  <a:cxn ang="0">
                    <a:pos x="2979" y="15522"/>
                  </a:cxn>
                  <a:cxn ang="0">
                    <a:pos x="2482" y="15522"/>
                  </a:cxn>
                  <a:cxn ang="0">
                    <a:pos x="1986" y="15522"/>
                  </a:cxn>
                  <a:cxn ang="0">
                    <a:pos x="993" y="15953"/>
                  </a:cxn>
                  <a:cxn ang="0">
                    <a:pos x="496" y="15953"/>
                  </a:cxn>
                  <a:cxn ang="0">
                    <a:pos x="0" y="16384"/>
                  </a:cxn>
                  <a:cxn ang="0">
                    <a:pos x="8440" y="0"/>
                  </a:cxn>
                </a:cxnLst>
                <a:rect l="0" t="0" r="r" b="b"/>
                <a:pathLst>
                  <a:path w="16384" h="16384">
                    <a:moveTo>
                      <a:pt x="8440" y="0"/>
                    </a:moveTo>
                    <a:lnTo>
                      <a:pt x="16384" y="16384"/>
                    </a:lnTo>
                    <a:lnTo>
                      <a:pt x="15888" y="15953"/>
                    </a:lnTo>
                    <a:lnTo>
                      <a:pt x="15391" y="15953"/>
                    </a:lnTo>
                    <a:lnTo>
                      <a:pt x="14398" y="15522"/>
                    </a:lnTo>
                    <a:lnTo>
                      <a:pt x="13902" y="15522"/>
                    </a:lnTo>
                    <a:lnTo>
                      <a:pt x="13405" y="15522"/>
                    </a:lnTo>
                    <a:lnTo>
                      <a:pt x="12412" y="15091"/>
                    </a:lnTo>
                    <a:lnTo>
                      <a:pt x="11916" y="15091"/>
                    </a:lnTo>
                    <a:lnTo>
                      <a:pt x="11419" y="15091"/>
                    </a:lnTo>
                    <a:lnTo>
                      <a:pt x="10923" y="15091"/>
                    </a:lnTo>
                    <a:lnTo>
                      <a:pt x="9930" y="15091"/>
                    </a:lnTo>
                    <a:lnTo>
                      <a:pt x="9433" y="15091"/>
                    </a:lnTo>
                    <a:lnTo>
                      <a:pt x="9433" y="14228"/>
                    </a:lnTo>
                    <a:lnTo>
                      <a:pt x="8937" y="14228"/>
                    </a:lnTo>
                    <a:lnTo>
                      <a:pt x="8440" y="14228"/>
                    </a:lnTo>
                    <a:lnTo>
                      <a:pt x="7447" y="14228"/>
                    </a:lnTo>
                    <a:lnTo>
                      <a:pt x="6951" y="14228"/>
                    </a:lnTo>
                    <a:lnTo>
                      <a:pt x="6951" y="15091"/>
                    </a:lnTo>
                    <a:lnTo>
                      <a:pt x="6454" y="15091"/>
                    </a:lnTo>
                    <a:lnTo>
                      <a:pt x="5461" y="15091"/>
                    </a:lnTo>
                    <a:lnTo>
                      <a:pt x="4965" y="15091"/>
                    </a:lnTo>
                    <a:lnTo>
                      <a:pt x="4468" y="15091"/>
                    </a:lnTo>
                    <a:lnTo>
                      <a:pt x="3972" y="15091"/>
                    </a:lnTo>
                    <a:lnTo>
                      <a:pt x="2979" y="15522"/>
                    </a:lnTo>
                    <a:lnTo>
                      <a:pt x="2482" y="15522"/>
                    </a:lnTo>
                    <a:lnTo>
                      <a:pt x="1986" y="15522"/>
                    </a:lnTo>
                    <a:lnTo>
                      <a:pt x="993" y="15953"/>
                    </a:lnTo>
                    <a:lnTo>
                      <a:pt x="496" y="15953"/>
                    </a:lnTo>
                    <a:lnTo>
                      <a:pt x="0" y="16384"/>
                    </a:lnTo>
                    <a:lnTo>
                      <a:pt x="844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79" name="Объект 1978">
                <a:extLst>
                  <a:ext uri="{FF2B5EF4-FFF2-40B4-BE49-F238E27FC236}">
                    <a16:creationId xmlns:a16="http://schemas.microsoft.com/office/drawing/2014/main" id="{00000000-0008-0000-0D00-00000F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00000" y="350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440" y="16384"/>
                  </a:cxn>
                  <a:cxn ang="0">
                    <a:pos x="16384" y="0"/>
                  </a:cxn>
                  <a:cxn ang="0">
                    <a:pos x="15888" y="840"/>
                  </a:cxn>
                  <a:cxn ang="0">
                    <a:pos x="15391" y="840"/>
                  </a:cxn>
                  <a:cxn ang="0">
                    <a:pos x="14398" y="840"/>
                  </a:cxn>
                  <a:cxn ang="0">
                    <a:pos x="13902" y="1260"/>
                  </a:cxn>
                  <a:cxn ang="0">
                    <a:pos x="13405" y="1260"/>
                  </a:cxn>
                  <a:cxn ang="0">
                    <a:pos x="12412" y="1260"/>
                  </a:cxn>
                  <a:cxn ang="0">
                    <a:pos x="11916" y="1680"/>
                  </a:cxn>
                  <a:cxn ang="0">
                    <a:pos x="11419" y="1680"/>
                  </a:cxn>
                  <a:cxn ang="0">
                    <a:pos x="10923" y="1680"/>
                  </a:cxn>
                  <a:cxn ang="0">
                    <a:pos x="9930" y="1680"/>
                  </a:cxn>
                  <a:cxn ang="0">
                    <a:pos x="9433" y="1680"/>
                  </a:cxn>
                  <a:cxn ang="0">
                    <a:pos x="8937" y="1680"/>
                  </a:cxn>
                  <a:cxn ang="0">
                    <a:pos x="8440" y="1680"/>
                  </a:cxn>
                  <a:cxn ang="0">
                    <a:pos x="7447" y="1680"/>
                  </a:cxn>
                  <a:cxn ang="0">
                    <a:pos x="6951" y="1680"/>
                  </a:cxn>
                  <a:cxn ang="0">
                    <a:pos x="6454" y="1680"/>
                  </a:cxn>
                  <a:cxn ang="0">
                    <a:pos x="5461" y="1680"/>
                  </a:cxn>
                  <a:cxn ang="0">
                    <a:pos x="4965" y="1680"/>
                  </a:cxn>
                  <a:cxn ang="0">
                    <a:pos x="4468" y="1680"/>
                  </a:cxn>
                  <a:cxn ang="0">
                    <a:pos x="3972" y="1260"/>
                  </a:cxn>
                  <a:cxn ang="0">
                    <a:pos x="2979" y="1260"/>
                  </a:cxn>
                  <a:cxn ang="0">
                    <a:pos x="2482" y="1260"/>
                  </a:cxn>
                  <a:cxn ang="0">
                    <a:pos x="1986" y="840"/>
                  </a:cxn>
                  <a:cxn ang="0">
                    <a:pos x="993" y="840"/>
                  </a:cxn>
                  <a:cxn ang="0">
                    <a:pos x="496" y="840"/>
                  </a:cxn>
                  <a:cxn ang="0">
                    <a:pos x="0" y="0"/>
                  </a:cxn>
                  <a:cxn ang="0">
                    <a:pos x="8440" y="16384"/>
                  </a:cxn>
                </a:cxnLst>
                <a:rect l="0" t="0" r="r" b="b"/>
                <a:pathLst>
                  <a:path w="16384" h="16384">
                    <a:moveTo>
                      <a:pt x="8440" y="16384"/>
                    </a:moveTo>
                    <a:lnTo>
                      <a:pt x="16384" y="0"/>
                    </a:lnTo>
                    <a:lnTo>
                      <a:pt x="15888" y="840"/>
                    </a:lnTo>
                    <a:lnTo>
                      <a:pt x="15391" y="840"/>
                    </a:lnTo>
                    <a:lnTo>
                      <a:pt x="14398" y="840"/>
                    </a:lnTo>
                    <a:lnTo>
                      <a:pt x="13902" y="1260"/>
                    </a:lnTo>
                    <a:lnTo>
                      <a:pt x="13405" y="1260"/>
                    </a:lnTo>
                    <a:lnTo>
                      <a:pt x="12412" y="1260"/>
                    </a:lnTo>
                    <a:lnTo>
                      <a:pt x="11916" y="1680"/>
                    </a:lnTo>
                    <a:lnTo>
                      <a:pt x="11419" y="1680"/>
                    </a:lnTo>
                    <a:lnTo>
                      <a:pt x="10923" y="1680"/>
                    </a:lnTo>
                    <a:lnTo>
                      <a:pt x="9930" y="1680"/>
                    </a:lnTo>
                    <a:lnTo>
                      <a:pt x="9433" y="1680"/>
                    </a:lnTo>
                    <a:lnTo>
                      <a:pt x="8937" y="1680"/>
                    </a:lnTo>
                    <a:lnTo>
                      <a:pt x="8440" y="1680"/>
                    </a:lnTo>
                    <a:lnTo>
                      <a:pt x="7447" y="1680"/>
                    </a:lnTo>
                    <a:lnTo>
                      <a:pt x="6951" y="1680"/>
                    </a:lnTo>
                    <a:lnTo>
                      <a:pt x="6454" y="1680"/>
                    </a:lnTo>
                    <a:lnTo>
                      <a:pt x="5461" y="1680"/>
                    </a:lnTo>
                    <a:lnTo>
                      <a:pt x="4965" y="1680"/>
                    </a:lnTo>
                    <a:lnTo>
                      <a:pt x="4468" y="1680"/>
                    </a:lnTo>
                    <a:lnTo>
                      <a:pt x="3972" y="1260"/>
                    </a:lnTo>
                    <a:lnTo>
                      <a:pt x="2979" y="1260"/>
                    </a:lnTo>
                    <a:lnTo>
                      <a:pt x="2482" y="1260"/>
                    </a:lnTo>
                    <a:lnTo>
                      <a:pt x="1986" y="840"/>
                    </a:lnTo>
                    <a:lnTo>
                      <a:pt x="993" y="840"/>
                    </a:lnTo>
                    <a:lnTo>
                      <a:pt x="496" y="840"/>
                    </a:lnTo>
                    <a:lnTo>
                      <a:pt x="0" y="0"/>
                    </a:lnTo>
                    <a:lnTo>
                      <a:pt x="844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80" name="Текст 1980">
                <a:extLst>
                  <a:ext uri="{FF2B5EF4-FFF2-40B4-BE49-F238E27FC236}">
                    <a16:creationId xmlns:a16="http://schemas.microsoft.com/office/drawing/2014/main" id="{00000000-0008-0000-0D00-000010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0000" y="184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11281" name="Текст 2163">
                <a:extLst>
                  <a:ext uri="{FF2B5EF4-FFF2-40B4-BE49-F238E27FC236}">
                    <a16:creationId xmlns:a16="http://schemas.microsoft.com/office/drawing/2014/main" id="{00000000-0008-0000-0D00-000011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60000" y="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1282" name="Текст 2164">
                <a:extLst>
                  <a:ext uri="{FF2B5EF4-FFF2-40B4-BE49-F238E27FC236}">
                    <a16:creationId xmlns:a16="http://schemas.microsoft.com/office/drawing/2014/main" id="{00000000-0008-0000-0D00-000012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20000" y="362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1283" name="Текст 2165">
                <a:extLst>
                  <a:ext uri="{FF2B5EF4-FFF2-40B4-BE49-F238E27FC236}">
                    <a16:creationId xmlns:a16="http://schemas.microsoft.com/office/drawing/2014/main" id="{00000000-0008-0000-0D00-000013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40000" y="404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11284" name="Объект 2166">
                <a:extLst>
                  <a:ext uri="{FF2B5EF4-FFF2-40B4-BE49-F238E27FC236}">
                    <a16:creationId xmlns:a16="http://schemas.microsoft.com/office/drawing/2014/main" id="{00000000-0008-0000-0D00-000014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60000" y="3660000"/>
                <a:ext cx="20000" cy="56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449"/>
                  </a:cxn>
                  <a:cxn ang="0">
                    <a:pos x="0" y="12310"/>
                  </a:cxn>
                  <a:cxn ang="0">
                    <a:pos x="0" y="14390"/>
                  </a:cxn>
                  <a:cxn ang="0">
                    <a:pos x="0" y="15604"/>
                  </a:cxn>
                  <a:cxn ang="0">
                    <a:pos x="0" y="1612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449"/>
                    </a:lnTo>
                    <a:lnTo>
                      <a:pt x="0" y="12310"/>
                    </a:lnTo>
                    <a:lnTo>
                      <a:pt x="0" y="14390"/>
                    </a:lnTo>
                    <a:lnTo>
                      <a:pt x="0" y="15604"/>
                    </a:lnTo>
                    <a:lnTo>
                      <a:pt x="0" y="1612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85" name="Объект 2167">
                <a:extLst>
                  <a:ext uri="{FF2B5EF4-FFF2-40B4-BE49-F238E27FC236}">
                    <a16:creationId xmlns:a16="http://schemas.microsoft.com/office/drawing/2014/main" id="{00000000-0008-0000-0D00-000015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4080000"/>
                <a:ext cx="154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08" y="0"/>
                  </a:cxn>
                  <a:cxn ang="0">
                    <a:pos x="9465" y="0"/>
                  </a:cxn>
                  <a:cxn ang="0">
                    <a:pos x="12407" y="0"/>
                  </a:cxn>
                  <a:cxn ang="0">
                    <a:pos x="14356" y="0"/>
                  </a:cxn>
                  <a:cxn ang="0">
                    <a:pos x="15509" y="0"/>
                  </a:cxn>
                  <a:cxn ang="0">
                    <a:pos x="16145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08" y="0"/>
                    </a:lnTo>
                    <a:lnTo>
                      <a:pt x="9465" y="0"/>
                    </a:lnTo>
                    <a:lnTo>
                      <a:pt x="12407" y="0"/>
                    </a:lnTo>
                    <a:lnTo>
                      <a:pt x="14356" y="0"/>
                    </a:lnTo>
                    <a:lnTo>
                      <a:pt x="15509" y="0"/>
                    </a:lnTo>
                    <a:lnTo>
                      <a:pt x="16145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86" name="Объект 2168">
                <a:extLst>
                  <a:ext uri="{FF2B5EF4-FFF2-40B4-BE49-F238E27FC236}">
                    <a16:creationId xmlns:a16="http://schemas.microsoft.com/office/drawing/2014/main" id="{00000000-0008-0000-0D00-000016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0000" y="4040000"/>
                <a:ext cx="160000" cy="80000"/>
              </a:xfrm>
              <a:custGeom>
                <a:avLst/>
                <a:gdLst/>
                <a:ahLst/>
                <a:cxnLst>
                  <a:cxn ang="0">
                    <a:pos x="0" y="7944"/>
                  </a:cxn>
                  <a:cxn ang="0">
                    <a:pos x="16384" y="0"/>
                  </a:cxn>
                  <a:cxn ang="0">
                    <a:pos x="16384" y="496"/>
                  </a:cxn>
                  <a:cxn ang="0">
                    <a:pos x="15953" y="993"/>
                  </a:cxn>
                  <a:cxn ang="0">
                    <a:pos x="15953" y="1489"/>
                  </a:cxn>
                  <a:cxn ang="0">
                    <a:pos x="15953" y="2482"/>
                  </a:cxn>
                  <a:cxn ang="0">
                    <a:pos x="15522" y="2482"/>
                  </a:cxn>
                  <a:cxn ang="0">
                    <a:pos x="15522" y="2979"/>
                  </a:cxn>
                  <a:cxn ang="0">
                    <a:pos x="15522" y="3475"/>
                  </a:cxn>
                  <a:cxn ang="0">
                    <a:pos x="15522" y="4468"/>
                  </a:cxn>
                  <a:cxn ang="0">
                    <a:pos x="14659" y="4468"/>
                  </a:cxn>
                  <a:cxn ang="0">
                    <a:pos x="14659" y="4965"/>
                  </a:cxn>
                  <a:cxn ang="0">
                    <a:pos x="14659" y="5461"/>
                  </a:cxn>
                  <a:cxn ang="0">
                    <a:pos x="14659" y="5958"/>
                  </a:cxn>
                  <a:cxn ang="0">
                    <a:pos x="14659" y="6951"/>
                  </a:cxn>
                  <a:cxn ang="0">
                    <a:pos x="14659" y="7447"/>
                  </a:cxn>
                  <a:cxn ang="0">
                    <a:pos x="14659" y="7944"/>
                  </a:cxn>
                  <a:cxn ang="0">
                    <a:pos x="14659" y="8440"/>
                  </a:cxn>
                  <a:cxn ang="0">
                    <a:pos x="14659" y="9433"/>
                  </a:cxn>
                  <a:cxn ang="0">
                    <a:pos x="14659" y="9930"/>
                  </a:cxn>
                  <a:cxn ang="0">
                    <a:pos x="14659" y="10426"/>
                  </a:cxn>
                  <a:cxn ang="0">
                    <a:pos x="14659" y="11419"/>
                  </a:cxn>
                  <a:cxn ang="0">
                    <a:pos x="14659" y="11916"/>
                  </a:cxn>
                  <a:cxn ang="0">
                    <a:pos x="15522" y="11916"/>
                  </a:cxn>
                  <a:cxn ang="0">
                    <a:pos x="15522" y="12412"/>
                  </a:cxn>
                  <a:cxn ang="0">
                    <a:pos x="15522" y="12909"/>
                  </a:cxn>
                  <a:cxn ang="0">
                    <a:pos x="15522" y="13902"/>
                  </a:cxn>
                  <a:cxn ang="0">
                    <a:pos x="15953" y="13902"/>
                  </a:cxn>
                  <a:cxn ang="0">
                    <a:pos x="15953" y="14398"/>
                  </a:cxn>
                  <a:cxn ang="0">
                    <a:pos x="15953" y="14895"/>
                  </a:cxn>
                  <a:cxn ang="0">
                    <a:pos x="16384" y="15888"/>
                  </a:cxn>
                  <a:cxn ang="0">
                    <a:pos x="16384" y="16384"/>
                  </a:cxn>
                  <a:cxn ang="0">
                    <a:pos x="0" y="7944"/>
                  </a:cxn>
                </a:cxnLst>
                <a:rect l="0" t="0" r="r" b="b"/>
                <a:pathLst>
                  <a:path w="16384" h="16384">
                    <a:moveTo>
                      <a:pt x="0" y="7944"/>
                    </a:moveTo>
                    <a:lnTo>
                      <a:pt x="16384" y="0"/>
                    </a:lnTo>
                    <a:lnTo>
                      <a:pt x="16384" y="496"/>
                    </a:lnTo>
                    <a:lnTo>
                      <a:pt x="15953" y="993"/>
                    </a:lnTo>
                    <a:lnTo>
                      <a:pt x="15953" y="1489"/>
                    </a:lnTo>
                    <a:lnTo>
                      <a:pt x="15953" y="2482"/>
                    </a:lnTo>
                    <a:lnTo>
                      <a:pt x="15522" y="2482"/>
                    </a:lnTo>
                    <a:lnTo>
                      <a:pt x="15522" y="2979"/>
                    </a:lnTo>
                    <a:lnTo>
                      <a:pt x="15522" y="3475"/>
                    </a:lnTo>
                    <a:lnTo>
                      <a:pt x="15522" y="4468"/>
                    </a:lnTo>
                    <a:lnTo>
                      <a:pt x="14659" y="4468"/>
                    </a:lnTo>
                    <a:lnTo>
                      <a:pt x="14659" y="4965"/>
                    </a:lnTo>
                    <a:lnTo>
                      <a:pt x="14659" y="5461"/>
                    </a:lnTo>
                    <a:lnTo>
                      <a:pt x="14659" y="5958"/>
                    </a:lnTo>
                    <a:lnTo>
                      <a:pt x="14659" y="6951"/>
                    </a:lnTo>
                    <a:lnTo>
                      <a:pt x="14659" y="7447"/>
                    </a:lnTo>
                    <a:lnTo>
                      <a:pt x="14659" y="7944"/>
                    </a:lnTo>
                    <a:lnTo>
                      <a:pt x="14659" y="8440"/>
                    </a:lnTo>
                    <a:lnTo>
                      <a:pt x="14659" y="9433"/>
                    </a:lnTo>
                    <a:lnTo>
                      <a:pt x="14659" y="9930"/>
                    </a:lnTo>
                    <a:lnTo>
                      <a:pt x="14659" y="10426"/>
                    </a:lnTo>
                    <a:lnTo>
                      <a:pt x="14659" y="11419"/>
                    </a:lnTo>
                    <a:lnTo>
                      <a:pt x="14659" y="11916"/>
                    </a:lnTo>
                    <a:lnTo>
                      <a:pt x="15522" y="11916"/>
                    </a:lnTo>
                    <a:lnTo>
                      <a:pt x="15522" y="12412"/>
                    </a:lnTo>
                    <a:lnTo>
                      <a:pt x="15522" y="12909"/>
                    </a:lnTo>
                    <a:lnTo>
                      <a:pt x="15522" y="13902"/>
                    </a:lnTo>
                    <a:lnTo>
                      <a:pt x="15953" y="13902"/>
                    </a:lnTo>
                    <a:lnTo>
                      <a:pt x="15953" y="14398"/>
                    </a:lnTo>
                    <a:lnTo>
                      <a:pt x="15953" y="14895"/>
                    </a:lnTo>
                    <a:lnTo>
                      <a:pt x="16384" y="15888"/>
                    </a:lnTo>
                    <a:lnTo>
                      <a:pt x="16384" y="16384"/>
                    </a:lnTo>
                    <a:lnTo>
                      <a:pt x="0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87" name="Объект 2169">
                <a:extLst>
                  <a:ext uri="{FF2B5EF4-FFF2-40B4-BE49-F238E27FC236}">
                    <a16:creationId xmlns:a16="http://schemas.microsoft.com/office/drawing/2014/main" id="{00000000-0008-0000-0D00-000017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20000" y="4040000"/>
                <a:ext cx="140000" cy="80000"/>
              </a:xfrm>
              <a:custGeom>
                <a:avLst/>
                <a:gdLst/>
                <a:ahLst/>
                <a:cxnLst>
                  <a:cxn ang="0">
                    <a:pos x="16384" y="7944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993"/>
                  </a:cxn>
                  <a:cxn ang="0">
                    <a:pos x="886" y="1489"/>
                  </a:cxn>
                  <a:cxn ang="0">
                    <a:pos x="886" y="2482"/>
                  </a:cxn>
                  <a:cxn ang="0">
                    <a:pos x="886" y="2979"/>
                  </a:cxn>
                  <a:cxn ang="0">
                    <a:pos x="1328" y="3475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461"/>
                  </a:cxn>
                  <a:cxn ang="0">
                    <a:pos x="1328" y="5958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7944"/>
                  </a:cxn>
                  <a:cxn ang="0">
                    <a:pos x="1771" y="8440"/>
                  </a:cxn>
                  <a:cxn ang="0">
                    <a:pos x="1771" y="9433"/>
                  </a:cxn>
                  <a:cxn ang="0">
                    <a:pos x="1328" y="9930"/>
                  </a:cxn>
                  <a:cxn ang="0">
                    <a:pos x="1328" y="10426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412"/>
                  </a:cxn>
                  <a:cxn ang="0">
                    <a:pos x="886" y="12909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4895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7944"/>
                  </a:cxn>
                </a:cxnLst>
                <a:rect l="0" t="0" r="r" b="b"/>
                <a:pathLst>
                  <a:path w="16384" h="16384">
                    <a:moveTo>
                      <a:pt x="16384" y="7944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993"/>
                    </a:lnTo>
                    <a:lnTo>
                      <a:pt x="886" y="1489"/>
                    </a:lnTo>
                    <a:lnTo>
                      <a:pt x="886" y="2482"/>
                    </a:lnTo>
                    <a:lnTo>
                      <a:pt x="886" y="2979"/>
                    </a:lnTo>
                    <a:lnTo>
                      <a:pt x="1328" y="3475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461"/>
                    </a:lnTo>
                    <a:lnTo>
                      <a:pt x="1328" y="5958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7944"/>
                    </a:lnTo>
                    <a:lnTo>
                      <a:pt x="1771" y="8440"/>
                    </a:lnTo>
                    <a:lnTo>
                      <a:pt x="1771" y="9433"/>
                    </a:lnTo>
                    <a:lnTo>
                      <a:pt x="1328" y="9930"/>
                    </a:lnTo>
                    <a:lnTo>
                      <a:pt x="1328" y="10426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412"/>
                    </a:lnTo>
                    <a:lnTo>
                      <a:pt x="886" y="12909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4895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88" name="Объект 2170">
                <a:extLst>
                  <a:ext uri="{FF2B5EF4-FFF2-40B4-BE49-F238E27FC236}">
                    <a16:creationId xmlns:a16="http://schemas.microsoft.com/office/drawing/2014/main" id="{00000000-0008-0000-0D00-000018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0000" y="3660000"/>
                <a:ext cx="20000" cy="56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449"/>
                  </a:cxn>
                  <a:cxn ang="0">
                    <a:pos x="0" y="12310"/>
                  </a:cxn>
                  <a:cxn ang="0">
                    <a:pos x="0" y="14390"/>
                  </a:cxn>
                  <a:cxn ang="0">
                    <a:pos x="0" y="15604"/>
                  </a:cxn>
                  <a:cxn ang="0">
                    <a:pos x="0" y="1612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449"/>
                    </a:lnTo>
                    <a:lnTo>
                      <a:pt x="0" y="12310"/>
                    </a:lnTo>
                    <a:lnTo>
                      <a:pt x="0" y="14390"/>
                    </a:lnTo>
                    <a:lnTo>
                      <a:pt x="0" y="15604"/>
                    </a:lnTo>
                    <a:lnTo>
                      <a:pt x="0" y="1612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89" name="Объект 2172">
                <a:extLst>
                  <a:ext uri="{FF2B5EF4-FFF2-40B4-BE49-F238E27FC236}">
                    <a16:creationId xmlns:a16="http://schemas.microsoft.com/office/drawing/2014/main" id="{00000000-0008-0000-0D00-000019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0000" y="334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16384"/>
                  </a:cxn>
                  <a:cxn ang="0">
                    <a:pos x="0" y="0"/>
                  </a:cxn>
                  <a:cxn ang="0">
                    <a:pos x="0" y="431"/>
                  </a:cxn>
                  <a:cxn ang="0">
                    <a:pos x="512" y="431"/>
                  </a:cxn>
                  <a:cxn ang="0">
                    <a:pos x="1024" y="431"/>
                  </a:cxn>
                  <a:cxn ang="0">
                    <a:pos x="2048" y="862"/>
                  </a:cxn>
                  <a:cxn ang="0">
                    <a:pos x="2560" y="862"/>
                  </a:cxn>
                  <a:cxn ang="0">
                    <a:pos x="3072" y="862"/>
                  </a:cxn>
                  <a:cxn ang="0">
                    <a:pos x="3584" y="1293"/>
                  </a:cxn>
                  <a:cxn ang="0">
                    <a:pos x="4608" y="1293"/>
                  </a:cxn>
                  <a:cxn ang="0">
                    <a:pos x="5120" y="1293"/>
                  </a:cxn>
                  <a:cxn ang="0">
                    <a:pos x="5632" y="1293"/>
                  </a:cxn>
                  <a:cxn ang="0">
                    <a:pos x="6656" y="1293"/>
                  </a:cxn>
                  <a:cxn ang="0">
                    <a:pos x="7168" y="1293"/>
                  </a:cxn>
                  <a:cxn ang="0">
                    <a:pos x="7680" y="1293"/>
                  </a:cxn>
                  <a:cxn ang="0">
                    <a:pos x="8192" y="1293"/>
                  </a:cxn>
                  <a:cxn ang="0">
                    <a:pos x="9216" y="1293"/>
                  </a:cxn>
                  <a:cxn ang="0">
                    <a:pos x="9728" y="1293"/>
                  </a:cxn>
                  <a:cxn ang="0">
                    <a:pos x="10240" y="1293"/>
                  </a:cxn>
                  <a:cxn ang="0">
                    <a:pos x="10752" y="1293"/>
                  </a:cxn>
                  <a:cxn ang="0">
                    <a:pos x="11776" y="1293"/>
                  </a:cxn>
                  <a:cxn ang="0">
                    <a:pos x="12288" y="1293"/>
                  </a:cxn>
                  <a:cxn ang="0">
                    <a:pos x="12288" y="862"/>
                  </a:cxn>
                  <a:cxn ang="0">
                    <a:pos x="12800" y="862"/>
                  </a:cxn>
                  <a:cxn ang="0">
                    <a:pos x="13824" y="862"/>
                  </a:cxn>
                  <a:cxn ang="0">
                    <a:pos x="14336" y="862"/>
                  </a:cxn>
                  <a:cxn ang="0">
                    <a:pos x="14848" y="431"/>
                  </a:cxn>
                  <a:cxn ang="0">
                    <a:pos x="15360" y="431"/>
                  </a:cxn>
                  <a:cxn ang="0">
                    <a:pos x="16384" y="0"/>
                  </a:cxn>
                  <a:cxn ang="0">
                    <a:pos x="7680" y="16384"/>
                  </a:cxn>
                </a:cxnLst>
                <a:rect l="0" t="0" r="r" b="b"/>
                <a:pathLst>
                  <a:path w="16384" h="16384">
                    <a:moveTo>
                      <a:pt x="7680" y="16384"/>
                    </a:moveTo>
                    <a:lnTo>
                      <a:pt x="0" y="0"/>
                    </a:lnTo>
                    <a:lnTo>
                      <a:pt x="0" y="431"/>
                    </a:lnTo>
                    <a:lnTo>
                      <a:pt x="512" y="431"/>
                    </a:lnTo>
                    <a:lnTo>
                      <a:pt x="1024" y="431"/>
                    </a:lnTo>
                    <a:lnTo>
                      <a:pt x="2048" y="862"/>
                    </a:lnTo>
                    <a:lnTo>
                      <a:pt x="2560" y="862"/>
                    </a:lnTo>
                    <a:lnTo>
                      <a:pt x="3072" y="862"/>
                    </a:lnTo>
                    <a:lnTo>
                      <a:pt x="3584" y="1293"/>
                    </a:lnTo>
                    <a:lnTo>
                      <a:pt x="4608" y="1293"/>
                    </a:lnTo>
                    <a:lnTo>
                      <a:pt x="5120" y="1293"/>
                    </a:lnTo>
                    <a:lnTo>
                      <a:pt x="5632" y="1293"/>
                    </a:lnTo>
                    <a:lnTo>
                      <a:pt x="6656" y="1293"/>
                    </a:lnTo>
                    <a:lnTo>
                      <a:pt x="7168" y="1293"/>
                    </a:lnTo>
                    <a:lnTo>
                      <a:pt x="7680" y="1293"/>
                    </a:lnTo>
                    <a:lnTo>
                      <a:pt x="8192" y="1293"/>
                    </a:lnTo>
                    <a:lnTo>
                      <a:pt x="9216" y="1293"/>
                    </a:lnTo>
                    <a:lnTo>
                      <a:pt x="9728" y="1293"/>
                    </a:lnTo>
                    <a:lnTo>
                      <a:pt x="10240" y="1293"/>
                    </a:lnTo>
                    <a:lnTo>
                      <a:pt x="10752" y="1293"/>
                    </a:lnTo>
                    <a:lnTo>
                      <a:pt x="11776" y="1293"/>
                    </a:lnTo>
                    <a:lnTo>
                      <a:pt x="12288" y="1293"/>
                    </a:lnTo>
                    <a:lnTo>
                      <a:pt x="12288" y="862"/>
                    </a:lnTo>
                    <a:lnTo>
                      <a:pt x="12800" y="862"/>
                    </a:lnTo>
                    <a:lnTo>
                      <a:pt x="13824" y="862"/>
                    </a:lnTo>
                    <a:lnTo>
                      <a:pt x="14336" y="862"/>
                    </a:lnTo>
                    <a:lnTo>
                      <a:pt x="14848" y="431"/>
                    </a:lnTo>
                    <a:lnTo>
                      <a:pt x="15360" y="431"/>
                    </a:lnTo>
                    <a:lnTo>
                      <a:pt x="16384" y="0"/>
                    </a:lnTo>
                    <a:lnTo>
                      <a:pt x="768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90" name="Объект 2174">
                <a:extLst>
                  <a:ext uri="{FF2B5EF4-FFF2-40B4-BE49-F238E27FC236}">
                    <a16:creationId xmlns:a16="http://schemas.microsoft.com/office/drawing/2014/main" id="{00000000-0008-0000-0D00-00001A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0000" y="362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0"/>
                  </a:cxn>
                  <a:cxn ang="0">
                    <a:pos x="0" y="16384"/>
                  </a:cxn>
                  <a:cxn ang="0">
                    <a:pos x="0" y="15544"/>
                  </a:cxn>
                  <a:cxn ang="0">
                    <a:pos x="512" y="15544"/>
                  </a:cxn>
                  <a:cxn ang="0">
                    <a:pos x="1024" y="15544"/>
                  </a:cxn>
                  <a:cxn ang="0">
                    <a:pos x="2048" y="15124"/>
                  </a:cxn>
                  <a:cxn ang="0">
                    <a:pos x="2560" y="15124"/>
                  </a:cxn>
                  <a:cxn ang="0">
                    <a:pos x="3072" y="15124"/>
                  </a:cxn>
                  <a:cxn ang="0">
                    <a:pos x="3584" y="14704"/>
                  </a:cxn>
                  <a:cxn ang="0">
                    <a:pos x="4608" y="14704"/>
                  </a:cxn>
                  <a:cxn ang="0">
                    <a:pos x="5120" y="14704"/>
                  </a:cxn>
                  <a:cxn ang="0">
                    <a:pos x="5632" y="14704"/>
                  </a:cxn>
                  <a:cxn ang="0">
                    <a:pos x="6656" y="14704"/>
                  </a:cxn>
                  <a:cxn ang="0">
                    <a:pos x="7168" y="14704"/>
                  </a:cxn>
                  <a:cxn ang="0">
                    <a:pos x="7680" y="14704"/>
                  </a:cxn>
                  <a:cxn ang="0">
                    <a:pos x="8192" y="14704"/>
                  </a:cxn>
                  <a:cxn ang="0">
                    <a:pos x="9216" y="14704"/>
                  </a:cxn>
                  <a:cxn ang="0">
                    <a:pos x="9728" y="14704"/>
                  </a:cxn>
                  <a:cxn ang="0">
                    <a:pos x="10240" y="14704"/>
                  </a:cxn>
                  <a:cxn ang="0">
                    <a:pos x="10752" y="14704"/>
                  </a:cxn>
                  <a:cxn ang="0">
                    <a:pos x="11776" y="14704"/>
                  </a:cxn>
                  <a:cxn ang="0">
                    <a:pos x="12288" y="14704"/>
                  </a:cxn>
                  <a:cxn ang="0">
                    <a:pos x="12288" y="15124"/>
                  </a:cxn>
                  <a:cxn ang="0">
                    <a:pos x="12800" y="15124"/>
                  </a:cxn>
                  <a:cxn ang="0">
                    <a:pos x="13824" y="15124"/>
                  </a:cxn>
                  <a:cxn ang="0">
                    <a:pos x="14336" y="15124"/>
                  </a:cxn>
                  <a:cxn ang="0">
                    <a:pos x="14848" y="15544"/>
                  </a:cxn>
                  <a:cxn ang="0">
                    <a:pos x="15360" y="15544"/>
                  </a:cxn>
                  <a:cxn ang="0">
                    <a:pos x="16384" y="16384"/>
                  </a:cxn>
                  <a:cxn ang="0">
                    <a:pos x="7680" y="0"/>
                  </a:cxn>
                </a:cxnLst>
                <a:rect l="0" t="0" r="r" b="b"/>
                <a:pathLst>
                  <a:path w="16384" h="16384">
                    <a:moveTo>
                      <a:pt x="7680" y="0"/>
                    </a:moveTo>
                    <a:lnTo>
                      <a:pt x="0" y="16384"/>
                    </a:lnTo>
                    <a:lnTo>
                      <a:pt x="0" y="15544"/>
                    </a:lnTo>
                    <a:lnTo>
                      <a:pt x="512" y="15544"/>
                    </a:lnTo>
                    <a:lnTo>
                      <a:pt x="1024" y="15544"/>
                    </a:lnTo>
                    <a:lnTo>
                      <a:pt x="2048" y="15124"/>
                    </a:lnTo>
                    <a:lnTo>
                      <a:pt x="2560" y="15124"/>
                    </a:lnTo>
                    <a:lnTo>
                      <a:pt x="3072" y="15124"/>
                    </a:lnTo>
                    <a:lnTo>
                      <a:pt x="3584" y="14704"/>
                    </a:lnTo>
                    <a:lnTo>
                      <a:pt x="4608" y="14704"/>
                    </a:lnTo>
                    <a:lnTo>
                      <a:pt x="5120" y="14704"/>
                    </a:lnTo>
                    <a:lnTo>
                      <a:pt x="5632" y="14704"/>
                    </a:lnTo>
                    <a:lnTo>
                      <a:pt x="6656" y="14704"/>
                    </a:lnTo>
                    <a:lnTo>
                      <a:pt x="7168" y="14704"/>
                    </a:lnTo>
                    <a:lnTo>
                      <a:pt x="7680" y="14704"/>
                    </a:lnTo>
                    <a:lnTo>
                      <a:pt x="8192" y="14704"/>
                    </a:lnTo>
                    <a:lnTo>
                      <a:pt x="9216" y="14704"/>
                    </a:lnTo>
                    <a:lnTo>
                      <a:pt x="9728" y="14704"/>
                    </a:lnTo>
                    <a:lnTo>
                      <a:pt x="10240" y="14704"/>
                    </a:lnTo>
                    <a:lnTo>
                      <a:pt x="10752" y="14704"/>
                    </a:lnTo>
                    <a:lnTo>
                      <a:pt x="11776" y="14704"/>
                    </a:lnTo>
                    <a:lnTo>
                      <a:pt x="12288" y="14704"/>
                    </a:lnTo>
                    <a:lnTo>
                      <a:pt x="12288" y="15124"/>
                    </a:lnTo>
                    <a:lnTo>
                      <a:pt x="12800" y="15124"/>
                    </a:lnTo>
                    <a:lnTo>
                      <a:pt x="13824" y="15124"/>
                    </a:lnTo>
                    <a:lnTo>
                      <a:pt x="14336" y="15124"/>
                    </a:lnTo>
                    <a:lnTo>
                      <a:pt x="14848" y="15544"/>
                    </a:lnTo>
                    <a:lnTo>
                      <a:pt x="15360" y="15544"/>
                    </a:lnTo>
                    <a:lnTo>
                      <a:pt x="16384" y="16384"/>
                    </a:lnTo>
                    <a:lnTo>
                      <a:pt x="768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91" name="Текст 2176">
                <a:extLst>
                  <a:ext uri="{FF2B5EF4-FFF2-40B4-BE49-F238E27FC236}">
                    <a16:creationId xmlns:a16="http://schemas.microsoft.com/office/drawing/2014/main" id="{00000000-0008-0000-0D00-00001B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40000" y="310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11292" name="Объект 2177">
                <a:extLst>
                  <a:ext uri="{FF2B5EF4-FFF2-40B4-BE49-F238E27FC236}">
                    <a16:creationId xmlns:a16="http://schemas.microsoft.com/office/drawing/2014/main" id="{00000000-0008-0000-0D00-00001C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60000" y="2900000"/>
                <a:ext cx="20000" cy="6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58"/>
                  </a:cxn>
                  <a:cxn ang="0">
                    <a:pos x="0" y="9473"/>
                  </a:cxn>
                  <a:cxn ang="0">
                    <a:pos x="0" y="12424"/>
                  </a:cxn>
                  <a:cxn ang="0">
                    <a:pos x="0" y="14365"/>
                  </a:cxn>
                  <a:cxn ang="0">
                    <a:pos x="0" y="15530"/>
                  </a:cxn>
                  <a:cxn ang="0">
                    <a:pos x="0" y="16229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58"/>
                    </a:lnTo>
                    <a:lnTo>
                      <a:pt x="0" y="9473"/>
                    </a:lnTo>
                    <a:lnTo>
                      <a:pt x="0" y="12424"/>
                    </a:lnTo>
                    <a:lnTo>
                      <a:pt x="0" y="14365"/>
                    </a:lnTo>
                    <a:lnTo>
                      <a:pt x="0" y="15530"/>
                    </a:lnTo>
                    <a:lnTo>
                      <a:pt x="0" y="16229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93" name="Объект 2178">
                <a:extLst>
                  <a:ext uri="{FF2B5EF4-FFF2-40B4-BE49-F238E27FC236}">
                    <a16:creationId xmlns:a16="http://schemas.microsoft.com/office/drawing/2014/main" id="{00000000-0008-0000-0D00-00001D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80000" y="3020000"/>
                <a:ext cx="3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330" y="0"/>
                  </a:cxn>
                  <a:cxn ang="0">
                    <a:pos x="9278" y="0"/>
                  </a:cxn>
                  <a:cxn ang="0">
                    <a:pos x="12436" y="0"/>
                  </a:cxn>
                  <a:cxn ang="0">
                    <a:pos x="14410" y="0"/>
                  </a:cxn>
                  <a:cxn ang="0">
                    <a:pos x="15397" y="0"/>
                  </a:cxn>
                  <a:cxn ang="0">
                    <a:pos x="1618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330" y="0"/>
                    </a:lnTo>
                    <a:lnTo>
                      <a:pt x="9278" y="0"/>
                    </a:lnTo>
                    <a:lnTo>
                      <a:pt x="12436" y="0"/>
                    </a:lnTo>
                    <a:lnTo>
                      <a:pt x="14410" y="0"/>
                    </a:lnTo>
                    <a:lnTo>
                      <a:pt x="15397" y="0"/>
                    </a:lnTo>
                    <a:lnTo>
                      <a:pt x="1618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94" name="Объект 2179">
                <a:extLst>
                  <a:ext uri="{FF2B5EF4-FFF2-40B4-BE49-F238E27FC236}">
                    <a16:creationId xmlns:a16="http://schemas.microsoft.com/office/drawing/2014/main" id="{00000000-0008-0000-0D00-00001E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00000" y="2980000"/>
                <a:ext cx="160000" cy="8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0"/>
                  </a:cxn>
                  <a:cxn ang="0">
                    <a:pos x="16384" y="512"/>
                  </a:cxn>
                  <a:cxn ang="0">
                    <a:pos x="15498" y="1024"/>
                  </a:cxn>
                  <a:cxn ang="0">
                    <a:pos x="15498" y="2048"/>
                  </a:cxn>
                  <a:cxn ang="0">
                    <a:pos x="15498" y="2560"/>
                  </a:cxn>
                  <a:cxn ang="0">
                    <a:pos x="15056" y="3072"/>
                  </a:cxn>
                  <a:cxn ang="0">
                    <a:pos x="15056" y="4096"/>
                  </a:cxn>
                  <a:cxn ang="0">
                    <a:pos x="15056" y="4608"/>
                  </a:cxn>
                  <a:cxn ang="0">
                    <a:pos x="15056" y="5120"/>
                  </a:cxn>
                  <a:cxn ang="0">
                    <a:pos x="14613" y="5120"/>
                  </a:cxn>
                  <a:cxn ang="0">
                    <a:pos x="14613" y="5632"/>
                  </a:cxn>
                  <a:cxn ang="0">
                    <a:pos x="14613" y="6656"/>
                  </a:cxn>
                  <a:cxn ang="0">
                    <a:pos x="14613" y="7168"/>
                  </a:cxn>
                  <a:cxn ang="0">
                    <a:pos x="14613" y="7680"/>
                  </a:cxn>
                  <a:cxn ang="0">
                    <a:pos x="14613" y="8704"/>
                  </a:cxn>
                  <a:cxn ang="0">
                    <a:pos x="14613" y="9216"/>
                  </a:cxn>
                  <a:cxn ang="0">
                    <a:pos x="14613" y="9728"/>
                  </a:cxn>
                  <a:cxn ang="0">
                    <a:pos x="14613" y="10240"/>
                  </a:cxn>
                  <a:cxn ang="0">
                    <a:pos x="15056" y="11264"/>
                  </a:cxn>
                  <a:cxn ang="0">
                    <a:pos x="15056" y="11776"/>
                  </a:cxn>
                  <a:cxn ang="0">
                    <a:pos x="15056" y="12288"/>
                  </a:cxn>
                  <a:cxn ang="0">
                    <a:pos x="15056" y="12800"/>
                  </a:cxn>
                  <a:cxn ang="0">
                    <a:pos x="15498" y="13824"/>
                  </a:cxn>
                  <a:cxn ang="0">
                    <a:pos x="15498" y="14336"/>
                  </a:cxn>
                  <a:cxn ang="0">
                    <a:pos x="15498" y="14848"/>
                  </a:cxn>
                  <a:cxn ang="0">
                    <a:pos x="16384" y="14848"/>
                  </a:cxn>
                  <a:cxn ang="0">
                    <a:pos x="16384" y="15872"/>
                  </a:cxn>
                  <a:cxn ang="0">
                    <a:pos x="16384" y="16384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0"/>
                    </a:lnTo>
                    <a:lnTo>
                      <a:pt x="16384" y="512"/>
                    </a:lnTo>
                    <a:lnTo>
                      <a:pt x="15498" y="1024"/>
                    </a:lnTo>
                    <a:lnTo>
                      <a:pt x="15498" y="2048"/>
                    </a:lnTo>
                    <a:lnTo>
                      <a:pt x="15498" y="2560"/>
                    </a:lnTo>
                    <a:lnTo>
                      <a:pt x="15056" y="3072"/>
                    </a:lnTo>
                    <a:lnTo>
                      <a:pt x="15056" y="4096"/>
                    </a:lnTo>
                    <a:lnTo>
                      <a:pt x="15056" y="4608"/>
                    </a:lnTo>
                    <a:lnTo>
                      <a:pt x="15056" y="5120"/>
                    </a:lnTo>
                    <a:lnTo>
                      <a:pt x="14613" y="5120"/>
                    </a:lnTo>
                    <a:lnTo>
                      <a:pt x="14613" y="5632"/>
                    </a:lnTo>
                    <a:lnTo>
                      <a:pt x="14613" y="6656"/>
                    </a:lnTo>
                    <a:lnTo>
                      <a:pt x="14613" y="7168"/>
                    </a:lnTo>
                    <a:lnTo>
                      <a:pt x="14613" y="7680"/>
                    </a:lnTo>
                    <a:lnTo>
                      <a:pt x="14613" y="8704"/>
                    </a:lnTo>
                    <a:lnTo>
                      <a:pt x="14613" y="9216"/>
                    </a:lnTo>
                    <a:lnTo>
                      <a:pt x="14613" y="9728"/>
                    </a:lnTo>
                    <a:lnTo>
                      <a:pt x="14613" y="10240"/>
                    </a:lnTo>
                    <a:lnTo>
                      <a:pt x="15056" y="11264"/>
                    </a:lnTo>
                    <a:lnTo>
                      <a:pt x="15056" y="11776"/>
                    </a:lnTo>
                    <a:lnTo>
                      <a:pt x="15056" y="12288"/>
                    </a:lnTo>
                    <a:lnTo>
                      <a:pt x="15056" y="12800"/>
                    </a:lnTo>
                    <a:lnTo>
                      <a:pt x="15498" y="13824"/>
                    </a:lnTo>
                    <a:lnTo>
                      <a:pt x="15498" y="14336"/>
                    </a:lnTo>
                    <a:lnTo>
                      <a:pt x="15498" y="14848"/>
                    </a:lnTo>
                    <a:lnTo>
                      <a:pt x="16384" y="14848"/>
                    </a:lnTo>
                    <a:lnTo>
                      <a:pt x="16384" y="15872"/>
                    </a:lnTo>
                    <a:lnTo>
                      <a:pt x="16384" y="16384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95" name="Объект 2180">
                <a:extLst>
                  <a:ext uri="{FF2B5EF4-FFF2-40B4-BE49-F238E27FC236}">
                    <a16:creationId xmlns:a16="http://schemas.microsoft.com/office/drawing/2014/main" id="{00000000-0008-0000-0D00-00001F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20000" y="2980000"/>
                <a:ext cx="140000" cy="8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0"/>
                  </a:cxn>
                  <a:cxn ang="0">
                    <a:pos x="0" y="512"/>
                  </a:cxn>
                  <a:cxn ang="0">
                    <a:pos x="443" y="512"/>
                  </a:cxn>
                  <a:cxn ang="0">
                    <a:pos x="443" y="1024"/>
                  </a:cxn>
                  <a:cxn ang="0">
                    <a:pos x="443" y="2048"/>
                  </a:cxn>
                  <a:cxn ang="0">
                    <a:pos x="886" y="2560"/>
                  </a:cxn>
                  <a:cxn ang="0">
                    <a:pos x="886" y="3072"/>
                  </a:cxn>
                  <a:cxn ang="0">
                    <a:pos x="886" y="4096"/>
                  </a:cxn>
                  <a:cxn ang="0">
                    <a:pos x="1771" y="4608"/>
                  </a:cxn>
                  <a:cxn ang="0">
                    <a:pos x="1771" y="5120"/>
                  </a:cxn>
                  <a:cxn ang="0">
                    <a:pos x="1771" y="5632"/>
                  </a:cxn>
                  <a:cxn ang="0">
                    <a:pos x="1771" y="6656"/>
                  </a:cxn>
                  <a:cxn ang="0">
                    <a:pos x="1771" y="7168"/>
                  </a:cxn>
                  <a:cxn ang="0">
                    <a:pos x="1771" y="7680"/>
                  </a:cxn>
                  <a:cxn ang="0">
                    <a:pos x="1771" y="8704"/>
                  </a:cxn>
                  <a:cxn ang="0">
                    <a:pos x="1771" y="9216"/>
                  </a:cxn>
                  <a:cxn ang="0">
                    <a:pos x="1771" y="9728"/>
                  </a:cxn>
                  <a:cxn ang="0">
                    <a:pos x="1771" y="10240"/>
                  </a:cxn>
                  <a:cxn ang="0">
                    <a:pos x="1771" y="11264"/>
                  </a:cxn>
                  <a:cxn ang="0">
                    <a:pos x="1771" y="11776"/>
                  </a:cxn>
                  <a:cxn ang="0">
                    <a:pos x="886" y="12288"/>
                  </a:cxn>
                  <a:cxn ang="0">
                    <a:pos x="886" y="12800"/>
                  </a:cxn>
                  <a:cxn ang="0">
                    <a:pos x="886" y="13824"/>
                  </a:cxn>
                  <a:cxn ang="0">
                    <a:pos x="443" y="14336"/>
                  </a:cxn>
                  <a:cxn ang="0">
                    <a:pos x="443" y="14848"/>
                  </a:cxn>
                  <a:cxn ang="0">
                    <a:pos x="0" y="15872"/>
                  </a:cxn>
                  <a:cxn ang="0">
                    <a:pos x="0" y="16384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0"/>
                    </a:lnTo>
                    <a:lnTo>
                      <a:pt x="0" y="512"/>
                    </a:lnTo>
                    <a:lnTo>
                      <a:pt x="443" y="512"/>
                    </a:lnTo>
                    <a:lnTo>
                      <a:pt x="443" y="1024"/>
                    </a:lnTo>
                    <a:lnTo>
                      <a:pt x="443" y="2048"/>
                    </a:lnTo>
                    <a:lnTo>
                      <a:pt x="886" y="2560"/>
                    </a:lnTo>
                    <a:lnTo>
                      <a:pt x="886" y="3072"/>
                    </a:lnTo>
                    <a:lnTo>
                      <a:pt x="886" y="4096"/>
                    </a:lnTo>
                    <a:lnTo>
                      <a:pt x="1771" y="4608"/>
                    </a:lnTo>
                    <a:lnTo>
                      <a:pt x="1771" y="5120"/>
                    </a:lnTo>
                    <a:lnTo>
                      <a:pt x="1771" y="5632"/>
                    </a:lnTo>
                    <a:lnTo>
                      <a:pt x="1771" y="6656"/>
                    </a:lnTo>
                    <a:lnTo>
                      <a:pt x="1771" y="7168"/>
                    </a:lnTo>
                    <a:lnTo>
                      <a:pt x="1771" y="7680"/>
                    </a:lnTo>
                    <a:lnTo>
                      <a:pt x="1771" y="8704"/>
                    </a:lnTo>
                    <a:lnTo>
                      <a:pt x="1771" y="9216"/>
                    </a:lnTo>
                    <a:lnTo>
                      <a:pt x="1771" y="9728"/>
                    </a:lnTo>
                    <a:lnTo>
                      <a:pt x="1771" y="10240"/>
                    </a:lnTo>
                    <a:lnTo>
                      <a:pt x="1771" y="11264"/>
                    </a:lnTo>
                    <a:lnTo>
                      <a:pt x="1771" y="11776"/>
                    </a:lnTo>
                    <a:lnTo>
                      <a:pt x="886" y="12288"/>
                    </a:lnTo>
                    <a:lnTo>
                      <a:pt x="886" y="12800"/>
                    </a:lnTo>
                    <a:lnTo>
                      <a:pt x="886" y="13824"/>
                    </a:lnTo>
                    <a:lnTo>
                      <a:pt x="443" y="14336"/>
                    </a:lnTo>
                    <a:lnTo>
                      <a:pt x="443" y="14848"/>
                    </a:lnTo>
                    <a:lnTo>
                      <a:pt x="0" y="15872"/>
                    </a:lnTo>
                    <a:lnTo>
                      <a:pt x="0" y="16384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296" name="Текст 2181">
                <a:extLst>
                  <a:ext uri="{FF2B5EF4-FFF2-40B4-BE49-F238E27FC236}">
                    <a16:creationId xmlns:a16="http://schemas.microsoft.com/office/drawing/2014/main" id="{00000000-0008-0000-0D00-000020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20000" y="236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 </a:t>
                </a:r>
              </a:p>
            </xdr:txBody>
          </xdr:sp>
          <xdr:sp macro="" textlink="">
            <xdr:nvSpPr>
              <xdr:cNvPr id="11297" name="Текст 2182">
                <a:extLst>
                  <a:ext uri="{FF2B5EF4-FFF2-40B4-BE49-F238E27FC236}">
                    <a16:creationId xmlns:a16="http://schemas.microsoft.com/office/drawing/2014/main" id="{00000000-0008-0000-0D00-000021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00000" y="262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4</a:t>
                </a:r>
              </a:p>
            </xdr:txBody>
          </xdr:sp>
          <xdr:sp macro="" textlink="">
            <xdr:nvSpPr>
              <xdr:cNvPr id="11298" name="Текст 2253">
                <a:extLst>
                  <a:ext uri="{FF2B5EF4-FFF2-40B4-BE49-F238E27FC236}">
                    <a16:creationId xmlns:a16="http://schemas.microsoft.com/office/drawing/2014/main" id="{00000000-0008-0000-0D00-000022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00000" y="166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1299" name="Текст 2254">
                <a:extLst>
                  <a:ext uri="{FF2B5EF4-FFF2-40B4-BE49-F238E27FC236}">
                    <a16:creationId xmlns:a16="http://schemas.microsoft.com/office/drawing/2014/main" id="{00000000-0008-0000-0D00-000023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000" y="166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1300" name="Объект 2256">
                <a:extLst>
                  <a:ext uri="{FF2B5EF4-FFF2-40B4-BE49-F238E27FC236}">
                    <a16:creationId xmlns:a16="http://schemas.microsoft.com/office/drawing/2014/main" id="{00000000-0008-0000-0D00-000024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80000" y="148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16384"/>
                  </a:cxn>
                  <a:cxn ang="0">
                    <a:pos x="431" y="15360"/>
                  </a:cxn>
                  <a:cxn ang="0">
                    <a:pos x="431" y="14848"/>
                  </a:cxn>
                  <a:cxn ang="0">
                    <a:pos x="1293" y="14336"/>
                  </a:cxn>
                  <a:cxn ang="0">
                    <a:pos x="1293" y="13824"/>
                  </a:cxn>
                  <a:cxn ang="0">
                    <a:pos x="1293" y="12800"/>
                  </a:cxn>
                  <a:cxn ang="0">
                    <a:pos x="1725" y="12288"/>
                  </a:cxn>
                  <a:cxn ang="0">
                    <a:pos x="1725" y="11776"/>
                  </a:cxn>
                  <a:cxn ang="0">
                    <a:pos x="1725" y="10752"/>
                  </a:cxn>
                  <a:cxn ang="0">
                    <a:pos x="1725" y="10240"/>
                  </a:cxn>
                  <a:cxn ang="0">
                    <a:pos x="1725" y="9728"/>
                  </a:cxn>
                  <a:cxn ang="0">
                    <a:pos x="2156" y="9728"/>
                  </a:cxn>
                  <a:cxn ang="0">
                    <a:pos x="2156" y="9216"/>
                  </a:cxn>
                  <a:cxn ang="0">
                    <a:pos x="2156" y="8192"/>
                  </a:cxn>
                  <a:cxn ang="0">
                    <a:pos x="2156" y="7680"/>
                  </a:cxn>
                  <a:cxn ang="0">
                    <a:pos x="2156" y="7168"/>
                  </a:cxn>
                  <a:cxn ang="0">
                    <a:pos x="2156" y="6144"/>
                  </a:cxn>
                  <a:cxn ang="0">
                    <a:pos x="1725" y="5632"/>
                  </a:cxn>
                  <a:cxn ang="0">
                    <a:pos x="1725" y="5120"/>
                  </a:cxn>
                  <a:cxn ang="0">
                    <a:pos x="1725" y="4608"/>
                  </a:cxn>
                  <a:cxn ang="0">
                    <a:pos x="1725" y="3584"/>
                  </a:cxn>
                  <a:cxn ang="0">
                    <a:pos x="1725" y="3072"/>
                  </a:cxn>
                  <a:cxn ang="0">
                    <a:pos x="1293" y="2560"/>
                  </a:cxn>
                  <a:cxn ang="0">
                    <a:pos x="1293" y="2048"/>
                  </a:cxn>
                  <a:cxn ang="0">
                    <a:pos x="1293" y="1024"/>
                  </a:cxn>
                  <a:cxn ang="0">
                    <a:pos x="431" y="512"/>
                  </a:cxn>
                  <a:cxn ang="0">
                    <a:pos x="431" y="0"/>
                  </a:cxn>
                  <a:cxn ang="0">
                    <a:pos x="0" y="0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16384"/>
                    </a:lnTo>
                    <a:lnTo>
                      <a:pt x="431" y="15360"/>
                    </a:lnTo>
                    <a:lnTo>
                      <a:pt x="431" y="14848"/>
                    </a:lnTo>
                    <a:lnTo>
                      <a:pt x="1293" y="14336"/>
                    </a:lnTo>
                    <a:lnTo>
                      <a:pt x="1293" y="13824"/>
                    </a:lnTo>
                    <a:lnTo>
                      <a:pt x="1293" y="12800"/>
                    </a:lnTo>
                    <a:lnTo>
                      <a:pt x="1725" y="12288"/>
                    </a:lnTo>
                    <a:lnTo>
                      <a:pt x="1725" y="11776"/>
                    </a:lnTo>
                    <a:lnTo>
                      <a:pt x="1725" y="10752"/>
                    </a:lnTo>
                    <a:lnTo>
                      <a:pt x="1725" y="10240"/>
                    </a:lnTo>
                    <a:lnTo>
                      <a:pt x="1725" y="9728"/>
                    </a:lnTo>
                    <a:lnTo>
                      <a:pt x="2156" y="9728"/>
                    </a:lnTo>
                    <a:lnTo>
                      <a:pt x="2156" y="9216"/>
                    </a:lnTo>
                    <a:lnTo>
                      <a:pt x="2156" y="8192"/>
                    </a:lnTo>
                    <a:lnTo>
                      <a:pt x="2156" y="7680"/>
                    </a:lnTo>
                    <a:lnTo>
                      <a:pt x="2156" y="7168"/>
                    </a:lnTo>
                    <a:lnTo>
                      <a:pt x="2156" y="6144"/>
                    </a:lnTo>
                    <a:lnTo>
                      <a:pt x="1725" y="5632"/>
                    </a:lnTo>
                    <a:lnTo>
                      <a:pt x="1725" y="5120"/>
                    </a:lnTo>
                    <a:lnTo>
                      <a:pt x="1725" y="4608"/>
                    </a:lnTo>
                    <a:lnTo>
                      <a:pt x="1725" y="3584"/>
                    </a:lnTo>
                    <a:lnTo>
                      <a:pt x="1725" y="3072"/>
                    </a:lnTo>
                    <a:lnTo>
                      <a:pt x="1293" y="2560"/>
                    </a:lnTo>
                    <a:lnTo>
                      <a:pt x="1293" y="2048"/>
                    </a:lnTo>
                    <a:lnTo>
                      <a:pt x="1293" y="1024"/>
                    </a:lnTo>
                    <a:lnTo>
                      <a:pt x="431" y="512"/>
                    </a:lnTo>
                    <a:lnTo>
                      <a:pt x="431" y="0"/>
                    </a:lnTo>
                    <a:lnTo>
                      <a:pt x="0" y="0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301" name="Объект 2258">
                <a:extLst>
                  <a:ext uri="{FF2B5EF4-FFF2-40B4-BE49-F238E27FC236}">
                    <a16:creationId xmlns:a16="http://schemas.microsoft.com/office/drawing/2014/main" id="{00000000-0008-0000-0D00-000025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20000" y="148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16384"/>
                  </a:cxn>
                  <a:cxn ang="0">
                    <a:pos x="16384" y="15360"/>
                  </a:cxn>
                  <a:cxn ang="0">
                    <a:pos x="15941" y="14848"/>
                  </a:cxn>
                  <a:cxn ang="0">
                    <a:pos x="15941" y="14336"/>
                  </a:cxn>
                  <a:cxn ang="0">
                    <a:pos x="15498" y="13824"/>
                  </a:cxn>
                  <a:cxn ang="0">
                    <a:pos x="15498" y="12800"/>
                  </a:cxn>
                  <a:cxn ang="0">
                    <a:pos x="15498" y="12288"/>
                  </a:cxn>
                  <a:cxn ang="0">
                    <a:pos x="15498" y="11776"/>
                  </a:cxn>
                  <a:cxn ang="0">
                    <a:pos x="15056" y="10752"/>
                  </a:cxn>
                  <a:cxn ang="0">
                    <a:pos x="15056" y="10240"/>
                  </a:cxn>
                  <a:cxn ang="0">
                    <a:pos x="15056" y="9728"/>
                  </a:cxn>
                  <a:cxn ang="0">
                    <a:pos x="15056" y="9216"/>
                  </a:cxn>
                  <a:cxn ang="0">
                    <a:pos x="15056" y="8192"/>
                  </a:cxn>
                  <a:cxn ang="0">
                    <a:pos x="15056" y="7680"/>
                  </a:cxn>
                  <a:cxn ang="0">
                    <a:pos x="15056" y="7168"/>
                  </a:cxn>
                  <a:cxn ang="0">
                    <a:pos x="15056" y="6144"/>
                  </a:cxn>
                  <a:cxn ang="0">
                    <a:pos x="15056" y="5632"/>
                  </a:cxn>
                  <a:cxn ang="0">
                    <a:pos x="15056" y="5120"/>
                  </a:cxn>
                  <a:cxn ang="0">
                    <a:pos x="15056" y="4608"/>
                  </a:cxn>
                  <a:cxn ang="0">
                    <a:pos x="15498" y="4608"/>
                  </a:cxn>
                  <a:cxn ang="0">
                    <a:pos x="15498" y="3584"/>
                  </a:cxn>
                  <a:cxn ang="0">
                    <a:pos x="15498" y="3072"/>
                  </a:cxn>
                  <a:cxn ang="0">
                    <a:pos x="15498" y="2560"/>
                  </a:cxn>
                  <a:cxn ang="0">
                    <a:pos x="15498" y="2048"/>
                  </a:cxn>
                  <a:cxn ang="0">
                    <a:pos x="15941" y="2048"/>
                  </a:cxn>
                  <a:cxn ang="0">
                    <a:pos x="15941" y="1024"/>
                  </a:cxn>
                  <a:cxn ang="0">
                    <a:pos x="15941" y="512"/>
                  </a:cxn>
                  <a:cxn ang="0">
                    <a:pos x="16384" y="0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16384"/>
                    </a:lnTo>
                    <a:lnTo>
                      <a:pt x="16384" y="15360"/>
                    </a:lnTo>
                    <a:lnTo>
                      <a:pt x="15941" y="14848"/>
                    </a:lnTo>
                    <a:lnTo>
                      <a:pt x="15941" y="14336"/>
                    </a:lnTo>
                    <a:lnTo>
                      <a:pt x="15498" y="13824"/>
                    </a:lnTo>
                    <a:lnTo>
                      <a:pt x="15498" y="12800"/>
                    </a:lnTo>
                    <a:lnTo>
                      <a:pt x="15498" y="12288"/>
                    </a:lnTo>
                    <a:lnTo>
                      <a:pt x="15498" y="11776"/>
                    </a:lnTo>
                    <a:lnTo>
                      <a:pt x="15056" y="10752"/>
                    </a:lnTo>
                    <a:lnTo>
                      <a:pt x="15056" y="10240"/>
                    </a:lnTo>
                    <a:lnTo>
                      <a:pt x="15056" y="9728"/>
                    </a:lnTo>
                    <a:lnTo>
                      <a:pt x="15056" y="9216"/>
                    </a:lnTo>
                    <a:lnTo>
                      <a:pt x="15056" y="8192"/>
                    </a:lnTo>
                    <a:lnTo>
                      <a:pt x="15056" y="7680"/>
                    </a:lnTo>
                    <a:lnTo>
                      <a:pt x="15056" y="7168"/>
                    </a:lnTo>
                    <a:lnTo>
                      <a:pt x="15056" y="6144"/>
                    </a:lnTo>
                    <a:lnTo>
                      <a:pt x="15056" y="5632"/>
                    </a:lnTo>
                    <a:lnTo>
                      <a:pt x="15056" y="5120"/>
                    </a:lnTo>
                    <a:lnTo>
                      <a:pt x="15056" y="4608"/>
                    </a:lnTo>
                    <a:lnTo>
                      <a:pt x="15498" y="4608"/>
                    </a:lnTo>
                    <a:lnTo>
                      <a:pt x="15498" y="3584"/>
                    </a:lnTo>
                    <a:lnTo>
                      <a:pt x="15498" y="3072"/>
                    </a:lnTo>
                    <a:lnTo>
                      <a:pt x="15498" y="2560"/>
                    </a:lnTo>
                    <a:lnTo>
                      <a:pt x="15498" y="2048"/>
                    </a:lnTo>
                    <a:lnTo>
                      <a:pt x="15941" y="2048"/>
                    </a:lnTo>
                    <a:lnTo>
                      <a:pt x="15941" y="1024"/>
                    </a:lnTo>
                    <a:lnTo>
                      <a:pt x="15941" y="512"/>
                    </a:lnTo>
                    <a:lnTo>
                      <a:pt x="16384" y="0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302" name="Текст 2260">
                <a:extLst>
                  <a:ext uri="{FF2B5EF4-FFF2-40B4-BE49-F238E27FC236}">
                    <a16:creationId xmlns:a16="http://schemas.microsoft.com/office/drawing/2014/main" id="{00000000-0008-0000-0D00-000026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60000" y="114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11303" name="Объект 2261">
                <a:extLst>
                  <a:ext uri="{FF2B5EF4-FFF2-40B4-BE49-F238E27FC236}">
                    <a16:creationId xmlns:a16="http://schemas.microsoft.com/office/drawing/2014/main" id="{00000000-0008-0000-0D00-000027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0000" y="660000"/>
                <a:ext cx="480000" cy="26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8688" y="1638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8688" y="1638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04" name="Объект 2262">
                <a:extLst>
                  <a:ext uri="{FF2B5EF4-FFF2-40B4-BE49-F238E27FC236}">
                    <a16:creationId xmlns:a16="http://schemas.microsoft.com/office/drawing/2014/main" id="{00000000-0008-0000-0D00-0000282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40000" y="66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2288" y="16384"/>
                  </a:cxn>
                  <a:cxn ang="0">
                    <a:pos x="11378" y="15585"/>
                  </a:cxn>
                  <a:cxn ang="0">
                    <a:pos x="11378" y="15185"/>
                  </a:cxn>
                  <a:cxn ang="0">
                    <a:pos x="10923" y="14786"/>
                  </a:cxn>
                  <a:cxn ang="0">
                    <a:pos x="10923" y="13986"/>
                  </a:cxn>
                  <a:cxn ang="0">
                    <a:pos x="10468" y="13587"/>
                  </a:cxn>
                  <a:cxn ang="0">
                    <a:pos x="10012" y="13187"/>
                  </a:cxn>
                  <a:cxn ang="0">
                    <a:pos x="9102" y="12788"/>
                  </a:cxn>
                  <a:cxn ang="0">
                    <a:pos x="8647" y="11988"/>
                  </a:cxn>
                  <a:cxn ang="0">
                    <a:pos x="8192" y="11589"/>
                  </a:cxn>
                  <a:cxn ang="0">
                    <a:pos x="7282" y="11189"/>
                  </a:cxn>
                  <a:cxn ang="0">
                    <a:pos x="6827" y="11189"/>
                  </a:cxn>
                  <a:cxn ang="0">
                    <a:pos x="6827" y="10390"/>
                  </a:cxn>
                  <a:cxn ang="0">
                    <a:pos x="6372" y="10390"/>
                  </a:cxn>
                  <a:cxn ang="0">
                    <a:pos x="5916" y="9990"/>
                  </a:cxn>
                  <a:cxn ang="0">
                    <a:pos x="5006" y="9990"/>
                  </a:cxn>
                  <a:cxn ang="0">
                    <a:pos x="4551" y="9591"/>
                  </a:cxn>
                  <a:cxn ang="0">
                    <a:pos x="4096" y="9591"/>
                  </a:cxn>
                  <a:cxn ang="0">
                    <a:pos x="3186" y="9191"/>
                  </a:cxn>
                  <a:cxn ang="0">
                    <a:pos x="2731" y="9191"/>
                  </a:cxn>
                  <a:cxn ang="0">
                    <a:pos x="2276" y="9191"/>
                  </a:cxn>
                  <a:cxn ang="0">
                    <a:pos x="1820" y="8392"/>
                  </a:cxn>
                  <a:cxn ang="0">
                    <a:pos x="910" y="8392"/>
                  </a:cxn>
                  <a:cxn ang="0">
                    <a:pos x="455" y="8392"/>
                  </a:cxn>
                  <a:cxn ang="0">
                    <a:pos x="0" y="8392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2288" y="16384"/>
                    </a:lnTo>
                    <a:lnTo>
                      <a:pt x="11378" y="15585"/>
                    </a:lnTo>
                    <a:lnTo>
                      <a:pt x="11378" y="15185"/>
                    </a:lnTo>
                    <a:lnTo>
                      <a:pt x="10923" y="14786"/>
                    </a:lnTo>
                    <a:lnTo>
                      <a:pt x="10923" y="13986"/>
                    </a:lnTo>
                    <a:lnTo>
                      <a:pt x="10468" y="13587"/>
                    </a:lnTo>
                    <a:lnTo>
                      <a:pt x="10012" y="13187"/>
                    </a:lnTo>
                    <a:lnTo>
                      <a:pt x="9102" y="12788"/>
                    </a:lnTo>
                    <a:lnTo>
                      <a:pt x="8647" y="11988"/>
                    </a:lnTo>
                    <a:lnTo>
                      <a:pt x="8192" y="11589"/>
                    </a:lnTo>
                    <a:lnTo>
                      <a:pt x="7282" y="11189"/>
                    </a:lnTo>
                    <a:lnTo>
                      <a:pt x="6827" y="11189"/>
                    </a:lnTo>
                    <a:lnTo>
                      <a:pt x="6827" y="10390"/>
                    </a:lnTo>
                    <a:lnTo>
                      <a:pt x="6372" y="10390"/>
                    </a:lnTo>
                    <a:lnTo>
                      <a:pt x="5916" y="9990"/>
                    </a:lnTo>
                    <a:lnTo>
                      <a:pt x="5006" y="9990"/>
                    </a:lnTo>
                    <a:lnTo>
                      <a:pt x="4551" y="9591"/>
                    </a:lnTo>
                    <a:lnTo>
                      <a:pt x="4096" y="9591"/>
                    </a:lnTo>
                    <a:lnTo>
                      <a:pt x="3186" y="9191"/>
                    </a:lnTo>
                    <a:lnTo>
                      <a:pt x="2731" y="9191"/>
                    </a:lnTo>
                    <a:lnTo>
                      <a:pt x="2276" y="9191"/>
                    </a:lnTo>
                    <a:lnTo>
                      <a:pt x="1820" y="8392"/>
                    </a:lnTo>
                    <a:lnTo>
                      <a:pt x="910" y="8392"/>
                    </a:lnTo>
                    <a:lnTo>
                      <a:pt x="455" y="8392"/>
                    </a:lnTo>
                    <a:lnTo>
                      <a:pt x="0" y="8392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1305" name="Line 41">
                <a:extLst>
                  <a:ext uri="{FF2B5EF4-FFF2-40B4-BE49-F238E27FC236}">
                    <a16:creationId xmlns:a16="http://schemas.microsoft.com/office/drawing/2014/main" id="{00000000-0008-0000-0D00-000029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20000" y="240000"/>
                <a:ext cx="0" cy="364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1306" name="Line 42">
                <a:extLst>
                  <a:ext uri="{FF2B5EF4-FFF2-40B4-BE49-F238E27FC236}">
                    <a16:creationId xmlns:a16="http://schemas.microsoft.com/office/drawing/2014/main" id="{00000000-0008-0000-0D00-00002A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40000" y="2020000"/>
                <a:ext cx="162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1307" name="Line 43">
                <a:extLst>
                  <a:ext uri="{FF2B5EF4-FFF2-40B4-BE49-F238E27FC236}">
                    <a16:creationId xmlns:a16="http://schemas.microsoft.com/office/drawing/2014/main" id="{00000000-0008-0000-0D00-00002B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140000" y="1520000"/>
                <a:ext cx="3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308" name="Line 44">
                <a:extLst>
                  <a:ext uri="{FF2B5EF4-FFF2-40B4-BE49-F238E27FC236}">
                    <a16:creationId xmlns:a16="http://schemas.microsoft.com/office/drawing/2014/main" id="{00000000-0008-0000-0D00-00002C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40000" y="1520000"/>
                <a:ext cx="2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309" name="Line 45">
                <a:extLst>
                  <a:ext uri="{FF2B5EF4-FFF2-40B4-BE49-F238E27FC236}">
                    <a16:creationId xmlns:a16="http://schemas.microsoft.com/office/drawing/2014/main" id="{00000000-0008-0000-0D00-00002D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80000" y="2660000"/>
                <a:ext cx="30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310" name="Line 46">
                <a:extLst>
                  <a:ext uri="{FF2B5EF4-FFF2-40B4-BE49-F238E27FC236}">
                    <a16:creationId xmlns:a16="http://schemas.microsoft.com/office/drawing/2014/main" id="{00000000-0008-0000-0D00-00002E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00000" y="3720000"/>
                <a:ext cx="0" cy="14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311" name="Line 47">
                <a:extLst>
                  <a:ext uri="{FF2B5EF4-FFF2-40B4-BE49-F238E27FC236}">
                    <a16:creationId xmlns:a16="http://schemas.microsoft.com/office/drawing/2014/main" id="{00000000-0008-0000-0D00-00002F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00000" y="2920000"/>
                <a:ext cx="0" cy="46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312" name="Line 48">
                <a:extLst>
                  <a:ext uri="{FF2B5EF4-FFF2-40B4-BE49-F238E27FC236}">
                    <a16:creationId xmlns:a16="http://schemas.microsoft.com/office/drawing/2014/main" id="{00000000-0008-0000-0D00-000030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60000" y="480000"/>
                <a:ext cx="58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313" name="Line 49">
                <a:extLst>
                  <a:ext uri="{FF2B5EF4-FFF2-40B4-BE49-F238E27FC236}">
                    <a16:creationId xmlns:a16="http://schemas.microsoft.com/office/drawing/2014/main" id="{00000000-0008-0000-0D00-0000312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20000" y="3620000"/>
                <a:ext cx="62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317" name="Текст 53">
                <a:extLst>
                  <a:ext uri="{FF2B5EF4-FFF2-40B4-BE49-F238E27FC236}">
                    <a16:creationId xmlns:a16="http://schemas.microsoft.com/office/drawing/2014/main" id="{00000000-0008-0000-0D00-0000352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0000" y="410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800000"/>
                    </a:solidFill>
                    <a:latin typeface="Arial Cyr"/>
                    <a:cs typeface="Arial Cyr"/>
                  </a:rPr>
                  <a:t>7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</xdr:row>
          <xdr:rowOff>133350</xdr:rowOff>
        </xdr:from>
        <xdr:to>
          <xdr:col>20</xdr:col>
          <xdr:colOff>219075</xdr:colOff>
          <xdr:row>3</xdr:row>
          <xdr:rowOff>19050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3</xdr:row>
          <xdr:rowOff>57150</xdr:rowOff>
        </xdr:from>
        <xdr:to>
          <xdr:col>16</xdr:col>
          <xdr:colOff>295275</xdr:colOff>
          <xdr:row>4</xdr:row>
          <xdr:rowOff>85725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D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47625</xdr:rowOff>
        </xdr:from>
        <xdr:to>
          <xdr:col>16</xdr:col>
          <xdr:colOff>95250</xdr:colOff>
          <xdr:row>0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D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3</xdr:col>
      <xdr:colOff>104775</xdr:colOff>
      <xdr:row>10</xdr:row>
      <xdr:rowOff>171450</xdr:rowOff>
    </xdr:to>
    <xdr:grpSp>
      <xdr:nvGrpSpPr>
        <xdr:cNvPr id="12343" name="Group 55">
          <a:extLst>
            <a:ext uri="{FF2B5EF4-FFF2-40B4-BE49-F238E27FC236}">
              <a16:creationId xmlns:a16="http://schemas.microsoft.com/office/drawing/2014/main" id="{00000000-0008-0000-0E00-000037300000}"/>
            </a:ext>
          </a:extLst>
        </xdr:cNvPr>
        <xdr:cNvGrpSpPr>
          <a:grpSpLocks/>
        </xdr:cNvGrpSpPr>
      </xdr:nvGrpSpPr>
      <xdr:grpSpPr bwMode="auto">
        <a:xfrm>
          <a:off x="85725" y="0"/>
          <a:ext cx="1238250" cy="2219325"/>
          <a:chOff x="-6176" y="0"/>
          <a:chExt cx="24180" cy="2097"/>
        </a:xfrm>
      </xdr:grpSpPr>
      <xdr:grpSp>
        <xdr:nvGrpSpPr>
          <xdr:cNvPr id="12338" name="Group 50">
            <a:extLst>
              <a:ext uri="{FF2B5EF4-FFF2-40B4-BE49-F238E27FC236}">
                <a16:creationId xmlns:a16="http://schemas.microsoft.com/office/drawing/2014/main" id="{00000000-0008-0000-0E00-000032300000}"/>
              </a:ext>
            </a:extLst>
          </xdr:cNvPr>
          <xdr:cNvGrpSpPr>
            <a:grpSpLocks/>
          </xdr:cNvGrpSpPr>
        </xdr:nvGrpSpPr>
        <xdr:grpSpPr bwMode="auto">
          <a:xfrm>
            <a:off x="-6176" y="0"/>
            <a:ext cx="24180" cy="2097"/>
            <a:chOff x="180000" y="0"/>
            <a:chExt cx="2600000" cy="4660000"/>
          </a:xfrm>
        </xdr:grpSpPr>
        <xdr:sp macro="" textlink="">
          <xdr:nvSpPr>
            <xdr:cNvPr id="12296" name="Rectangle 8">
              <a:extLst>
                <a:ext uri="{FF2B5EF4-FFF2-40B4-BE49-F238E27FC236}">
                  <a16:creationId xmlns:a16="http://schemas.microsoft.com/office/drawing/2014/main" id="{00000000-0008-0000-0E00-0000083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80000" y="100000"/>
              <a:ext cx="2600000" cy="4440000"/>
            </a:xfrm>
            <a:prstGeom prst="rect">
              <a:avLst/>
            </a:prstGeom>
            <a:solidFill>
              <a:srgbClr val="FFFF99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2297" name="Group 9">
              <a:extLst>
                <a:ext uri="{FF2B5EF4-FFF2-40B4-BE49-F238E27FC236}">
                  <a16:creationId xmlns:a16="http://schemas.microsoft.com/office/drawing/2014/main" id="{00000000-0008-0000-0E00-0000093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80000" y="0"/>
              <a:ext cx="2520000" cy="4660000"/>
              <a:chOff x="180000" y="0"/>
              <a:chExt cx="2520000" cy="4660000"/>
            </a:xfrm>
          </xdr:grpSpPr>
          <xdr:sp macro="" textlink="">
            <xdr:nvSpPr>
              <xdr:cNvPr id="12298" name="Объект 1972">
                <a:extLst>
                  <a:ext uri="{FF2B5EF4-FFF2-40B4-BE49-F238E27FC236}">
                    <a16:creationId xmlns:a16="http://schemas.microsoft.com/office/drawing/2014/main" id="{00000000-0008-0000-0E00-00000A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480000"/>
                <a:ext cx="1700000" cy="3140000"/>
              </a:xfrm>
              <a:custGeom>
                <a:avLst/>
                <a:gdLst/>
                <a:ahLst/>
                <a:cxnLst>
                  <a:cxn ang="0">
                    <a:pos x="16384" y="767"/>
                  </a:cxn>
                  <a:cxn ang="0">
                    <a:pos x="16384" y="0"/>
                  </a:cxn>
                  <a:cxn ang="0">
                    <a:pos x="0" y="0"/>
                  </a:cxn>
                  <a:cxn ang="0">
                    <a:pos x="0" y="767"/>
                  </a:cxn>
                  <a:cxn ang="0">
                    <a:pos x="6076" y="767"/>
                  </a:cxn>
                  <a:cxn ang="0">
                    <a:pos x="6510" y="782"/>
                  </a:cxn>
                  <a:cxn ang="0">
                    <a:pos x="6836" y="827"/>
                  </a:cxn>
                  <a:cxn ang="0">
                    <a:pos x="7125" y="887"/>
                  </a:cxn>
                  <a:cxn ang="0">
                    <a:pos x="7270" y="962"/>
                  </a:cxn>
                  <a:cxn ang="0">
                    <a:pos x="7414" y="1037"/>
                  </a:cxn>
                  <a:cxn ang="0">
                    <a:pos x="7451" y="1157"/>
                  </a:cxn>
                  <a:cxn ang="0">
                    <a:pos x="7487" y="1293"/>
                  </a:cxn>
                  <a:cxn ang="0">
                    <a:pos x="7487" y="1428"/>
                  </a:cxn>
                  <a:cxn ang="0">
                    <a:pos x="7487" y="3096"/>
                  </a:cxn>
                  <a:cxn ang="0">
                    <a:pos x="7487" y="4795"/>
                  </a:cxn>
                  <a:cxn ang="0">
                    <a:pos x="7487" y="6478"/>
                  </a:cxn>
                  <a:cxn ang="0">
                    <a:pos x="7487" y="8177"/>
                  </a:cxn>
                  <a:cxn ang="0">
                    <a:pos x="7487" y="9875"/>
                  </a:cxn>
                  <a:cxn ang="0">
                    <a:pos x="7487" y="11559"/>
                  </a:cxn>
                  <a:cxn ang="0">
                    <a:pos x="7487" y="13242"/>
                  </a:cxn>
                  <a:cxn ang="0">
                    <a:pos x="7487" y="14911"/>
                  </a:cxn>
                  <a:cxn ang="0">
                    <a:pos x="7487" y="15046"/>
                  </a:cxn>
                  <a:cxn ang="0">
                    <a:pos x="7451" y="15182"/>
                  </a:cxn>
                  <a:cxn ang="0">
                    <a:pos x="7414" y="15302"/>
                  </a:cxn>
                  <a:cxn ang="0">
                    <a:pos x="7306" y="15392"/>
                  </a:cxn>
                  <a:cxn ang="0">
                    <a:pos x="7161" y="15497"/>
                  </a:cxn>
                  <a:cxn ang="0">
                    <a:pos x="6944" y="15557"/>
                  </a:cxn>
                  <a:cxn ang="0">
                    <a:pos x="6691" y="15602"/>
                  </a:cxn>
                  <a:cxn ang="0">
                    <a:pos x="6402" y="15602"/>
                  </a:cxn>
                  <a:cxn ang="0">
                    <a:pos x="0" y="15602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15602"/>
                  </a:cxn>
                  <a:cxn ang="0">
                    <a:pos x="10380" y="15602"/>
                  </a:cxn>
                  <a:cxn ang="0">
                    <a:pos x="9946" y="15602"/>
                  </a:cxn>
                  <a:cxn ang="0">
                    <a:pos x="9657" y="15572"/>
                  </a:cxn>
                  <a:cxn ang="0">
                    <a:pos x="9440" y="15497"/>
                  </a:cxn>
                  <a:cxn ang="0">
                    <a:pos x="9259" y="15422"/>
                  </a:cxn>
                  <a:cxn ang="0">
                    <a:pos x="9150" y="15302"/>
                  </a:cxn>
                  <a:cxn ang="0">
                    <a:pos x="9114" y="15182"/>
                  </a:cxn>
                  <a:cxn ang="0">
                    <a:pos x="9078" y="15046"/>
                  </a:cxn>
                  <a:cxn ang="0">
                    <a:pos x="9078" y="14911"/>
                  </a:cxn>
                  <a:cxn ang="0">
                    <a:pos x="9078" y="13273"/>
                  </a:cxn>
                  <a:cxn ang="0">
                    <a:pos x="9078" y="11589"/>
                  </a:cxn>
                  <a:cxn ang="0">
                    <a:pos x="9078" y="9891"/>
                  </a:cxn>
                  <a:cxn ang="0">
                    <a:pos x="9078" y="8177"/>
                  </a:cxn>
                  <a:cxn ang="0">
                    <a:pos x="9078" y="6463"/>
                  </a:cxn>
                  <a:cxn ang="0">
                    <a:pos x="9078" y="4750"/>
                  </a:cxn>
                  <a:cxn ang="0">
                    <a:pos x="9078" y="3081"/>
                  </a:cxn>
                  <a:cxn ang="0">
                    <a:pos x="9078" y="1428"/>
                  </a:cxn>
                  <a:cxn ang="0">
                    <a:pos x="9078" y="1263"/>
                  </a:cxn>
                  <a:cxn ang="0">
                    <a:pos x="9114" y="1127"/>
                  </a:cxn>
                  <a:cxn ang="0">
                    <a:pos x="9150" y="1037"/>
                  </a:cxn>
                  <a:cxn ang="0">
                    <a:pos x="9259" y="947"/>
                  </a:cxn>
                  <a:cxn ang="0">
                    <a:pos x="9404" y="857"/>
                  </a:cxn>
                  <a:cxn ang="0">
                    <a:pos x="9621" y="827"/>
                  </a:cxn>
                  <a:cxn ang="0">
                    <a:pos x="9946" y="782"/>
                  </a:cxn>
                  <a:cxn ang="0">
                    <a:pos x="10380" y="767"/>
                  </a:cxn>
                  <a:cxn ang="0">
                    <a:pos x="16384" y="767"/>
                  </a:cxn>
                </a:cxnLst>
                <a:rect l="0" t="0" r="r" b="b"/>
                <a:pathLst>
                  <a:path w="16384" h="16384">
                    <a:moveTo>
                      <a:pt x="16384" y="767"/>
                    </a:moveTo>
                    <a:lnTo>
                      <a:pt x="16384" y="0"/>
                    </a:lnTo>
                    <a:lnTo>
                      <a:pt x="0" y="0"/>
                    </a:lnTo>
                    <a:lnTo>
                      <a:pt x="0" y="767"/>
                    </a:lnTo>
                    <a:lnTo>
                      <a:pt x="6076" y="767"/>
                    </a:lnTo>
                    <a:lnTo>
                      <a:pt x="6510" y="782"/>
                    </a:lnTo>
                    <a:lnTo>
                      <a:pt x="6836" y="827"/>
                    </a:lnTo>
                    <a:lnTo>
                      <a:pt x="7125" y="887"/>
                    </a:lnTo>
                    <a:lnTo>
                      <a:pt x="7270" y="962"/>
                    </a:lnTo>
                    <a:lnTo>
                      <a:pt x="7414" y="1037"/>
                    </a:lnTo>
                    <a:lnTo>
                      <a:pt x="7451" y="1157"/>
                    </a:lnTo>
                    <a:lnTo>
                      <a:pt x="7487" y="1293"/>
                    </a:lnTo>
                    <a:lnTo>
                      <a:pt x="7487" y="1428"/>
                    </a:lnTo>
                    <a:lnTo>
                      <a:pt x="7487" y="3096"/>
                    </a:lnTo>
                    <a:lnTo>
                      <a:pt x="7487" y="4795"/>
                    </a:lnTo>
                    <a:lnTo>
                      <a:pt x="7487" y="6478"/>
                    </a:lnTo>
                    <a:lnTo>
                      <a:pt x="7487" y="8177"/>
                    </a:lnTo>
                    <a:lnTo>
                      <a:pt x="7487" y="9875"/>
                    </a:lnTo>
                    <a:lnTo>
                      <a:pt x="7487" y="11559"/>
                    </a:lnTo>
                    <a:lnTo>
                      <a:pt x="7487" y="13242"/>
                    </a:lnTo>
                    <a:lnTo>
                      <a:pt x="7487" y="14911"/>
                    </a:lnTo>
                    <a:lnTo>
                      <a:pt x="7487" y="15046"/>
                    </a:lnTo>
                    <a:lnTo>
                      <a:pt x="7451" y="15182"/>
                    </a:lnTo>
                    <a:lnTo>
                      <a:pt x="7414" y="15302"/>
                    </a:lnTo>
                    <a:lnTo>
                      <a:pt x="7306" y="15392"/>
                    </a:lnTo>
                    <a:lnTo>
                      <a:pt x="7161" y="15497"/>
                    </a:lnTo>
                    <a:lnTo>
                      <a:pt x="6944" y="15557"/>
                    </a:lnTo>
                    <a:lnTo>
                      <a:pt x="6691" y="15602"/>
                    </a:lnTo>
                    <a:lnTo>
                      <a:pt x="6402" y="15602"/>
                    </a:lnTo>
                    <a:lnTo>
                      <a:pt x="0" y="15602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15602"/>
                    </a:lnTo>
                    <a:lnTo>
                      <a:pt x="10380" y="15602"/>
                    </a:lnTo>
                    <a:lnTo>
                      <a:pt x="9946" y="15602"/>
                    </a:lnTo>
                    <a:lnTo>
                      <a:pt x="9657" y="15572"/>
                    </a:lnTo>
                    <a:lnTo>
                      <a:pt x="9440" y="15497"/>
                    </a:lnTo>
                    <a:lnTo>
                      <a:pt x="9259" y="15422"/>
                    </a:lnTo>
                    <a:lnTo>
                      <a:pt x="9150" y="15302"/>
                    </a:lnTo>
                    <a:lnTo>
                      <a:pt x="9114" y="15182"/>
                    </a:lnTo>
                    <a:lnTo>
                      <a:pt x="9078" y="15046"/>
                    </a:lnTo>
                    <a:lnTo>
                      <a:pt x="9078" y="14911"/>
                    </a:lnTo>
                    <a:lnTo>
                      <a:pt x="9078" y="13273"/>
                    </a:lnTo>
                    <a:lnTo>
                      <a:pt x="9078" y="11589"/>
                    </a:lnTo>
                    <a:lnTo>
                      <a:pt x="9078" y="9891"/>
                    </a:lnTo>
                    <a:lnTo>
                      <a:pt x="9078" y="8177"/>
                    </a:lnTo>
                    <a:lnTo>
                      <a:pt x="9078" y="6463"/>
                    </a:lnTo>
                    <a:lnTo>
                      <a:pt x="9078" y="4750"/>
                    </a:lnTo>
                    <a:lnTo>
                      <a:pt x="9078" y="3081"/>
                    </a:lnTo>
                    <a:lnTo>
                      <a:pt x="9078" y="1428"/>
                    </a:lnTo>
                    <a:lnTo>
                      <a:pt x="9078" y="1263"/>
                    </a:lnTo>
                    <a:lnTo>
                      <a:pt x="9114" y="1127"/>
                    </a:lnTo>
                    <a:lnTo>
                      <a:pt x="9150" y="1037"/>
                    </a:lnTo>
                    <a:lnTo>
                      <a:pt x="9259" y="947"/>
                    </a:lnTo>
                    <a:lnTo>
                      <a:pt x="9404" y="857"/>
                    </a:lnTo>
                    <a:lnTo>
                      <a:pt x="9621" y="827"/>
                    </a:lnTo>
                    <a:lnTo>
                      <a:pt x="9946" y="782"/>
                    </a:lnTo>
                    <a:lnTo>
                      <a:pt x="10380" y="767"/>
                    </a:lnTo>
                    <a:lnTo>
                      <a:pt x="16384" y="767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299" name="Объект 1973">
                <a:extLst>
                  <a:ext uri="{FF2B5EF4-FFF2-40B4-BE49-F238E27FC236}">
                    <a16:creationId xmlns:a16="http://schemas.microsoft.com/office/drawing/2014/main" id="{00000000-0008-0000-0E00-00000B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480000"/>
                <a:ext cx="1700000" cy="3140000"/>
              </a:xfrm>
              <a:custGeom>
                <a:avLst/>
                <a:gdLst/>
                <a:ahLst/>
                <a:cxnLst>
                  <a:cxn ang="0">
                    <a:pos x="16384" y="767"/>
                  </a:cxn>
                  <a:cxn ang="0">
                    <a:pos x="16384" y="0"/>
                  </a:cxn>
                  <a:cxn ang="0">
                    <a:pos x="0" y="0"/>
                  </a:cxn>
                  <a:cxn ang="0">
                    <a:pos x="0" y="767"/>
                  </a:cxn>
                  <a:cxn ang="0">
                    <a:pos x="6076" y="767"/>
                  </a:cxn>
                  <a:cxn ang="0">
                    <a:pos x="6510" y="782"/>
                  </a:cxn>
                  <a:cxn ang="0">
                    <a:pos x="6836" y="827"/>
                  </a:cxn>
                  <a:cxn ang="0">
                    <a:pos x="7125" y="887"/>
                  </a:cxn>
                  <a:cxn ang="0">
                    <a:pos x="7270" y="962"/>
                  </a:cxn>
                  <a:cxn ang="0">
                    <a:pos x="7414" y="1037"/>
                  </a:cxn>
                  <a:cxn ang="0">
                    <a:pos x="7451" y="1157"/>
                  </a:cxn>
                  <a:cxn ang="0">
                    <a:pos x="7487" y="1293"/>
                  </a:cxn>
                  <a:cxn ang="0">
                    <a:pos x="7487" y="1428"/>
                  </a:cxn>
                  <a:cxn ang="0">
                    <a:pos x="7487" y="3096"/>
                  </a:cxn>
                  <a:cxn ang="0">
                    <a:pos x="7487" y="4795"/>
                  </a:cxn>
                  <a:cxn ang="0">
                    <a:pos x="7487" y="6478"/>
                  </a:cxn>
                  <a:cxn ang="0">
                    <a:pos x="7487" y="8177"/>
                  </a:cxn>
                  <a:cxn ang="0">
                    <a:pos x="7487" y="9875"/>
                  </a:cxn>
                  <a:cxn ang="0">
                    <a:pos x="7487" y="11559"/>
                  </a:cxn>
                  <a:cxn ang="0">
                    <a:pos x="7487" y="13242"/>
                  </a:cxn>
                  <a:cxn ang="0">
                    <a:pos x="7487" y="14911"/>
                  </a:cxn>
                  <a:cxn ang="0">
                    <a:pos x="7487" y="15046"/>
                  </a:cxn>
                  <a:cxn ang="0">
                    <a:pos x="7451" y="15182"/>
                  </a:cxn>
                  <a:cxn ang="0">
                    <a:pos x="7414" y="15302"/>
                  </a:cxn>
                  <a:cxn ang="0">
                    <a:pos x="7306" y="15392"/>
                  </a:cxn>
                  <a:cxn ang="0">
                    <a:pos x="7161" y="15497"/>
                  </a:cxn>
                  <a:cxn ang="0">
                    <a:pos x="6944" y="15557"/>
                  </a:cxn>
                  <a:cxn ang="0">
                    <a:pos x="6691" y="15602"/>
                  </a:cxn>
                  <a:cxn ang="0">
                    <a:pos x="6402" y="15602"/>
                  </a:cxn>
                  <a:cxn ang="0">
                    <a:pos x="0" y="15602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15602"/>
                  </a:cxn>
                  <a:cxn ang="0">
                    <a:pos x="10380" y="15602"/>
                  </a:cxn>
                  <a:cxn ang="0">
                    <a:pos x="9946" y="15602"/>
                  </a:cxn>
                  <a:cxn ang="0">
                    <a:pos x="9657" y="15572"/>
                  </a:cxn>
                  <a:cxn ang="0">
                    <a:pos x="9440" y="15497"/>
                  </a:cxn>
                  <a:cxn ang="0">
                    <a:pos x="9259" y="15422"/>
                  </a:cxn>
                  <a:cxn ang="0">
                    <a:pos x="9150" y="15302"/>
                  </a:cxn>
                  <a:cxn ang="0">
                    <a:pos x="9114" y="15182"/>
                  </a:cxn>
                  <a:cxn ang="0">
                    <a:pos x="9078" y="15046"/>
                  </a:cxn>
                  <a:cxn ang="0">
                    <a:pos x="9078" y="14911"/>
                  </a:cxn>
                  <a:cxn ang="0">
                    <a:pos x="9078" y="13273"/>
                  </a:cxn>
                  <a:cxn ang="0">
                    <a:pos x="9078" y="11589"/>
                  </a:cxn>
                  <a:cxn ang="0">
                    <a:pos x="9078" y="9891"/>
                  </a:cxn>
                  <a:cxn ang="0">
                    <a:pos x="9078" y="8177"/>
                  </a:cxn>
                  <a:cxn ang="0">
                    <a:pos x="9078" y="6463"/>
                  </a:cxn>
                  <a:cxn ang="0">
                    <a:pos x="9078" y="4750"/>
                  </a:cxn>
                  <a:cxn ang="0">
                    <a:pos x="9078" y="3081"/>
                  </a:cxn>
                  <a:cxn ang="0">
                    <a:pos x="9078" y="1428"/>
                  </a:cxn>
                  <a:cxn ang="0">
                    <a:pos x="9078" y="1263"/>
                  </a:cxn>
                  <a:cxn ang="0">
                    <a:pos x="9114" y="1127"/>
                  </a:cxn>
                  <a:cxn ang="0">
                    <a:pos x="9150" y="1037"/>
                  </a:cxn>
                  <a:cxn ang="0">
                    <a:pos x="9259" y="947"/>
                  </a:cxn>
                  <a:cxn ang="0">
                    <a:pos x="9404" y="857"/>
                  </a:cxn>
                  <a:cxn ang="0">
                    <a:pos x="9621" y="827"/>
                  </a:cxn>
                  <a:cxn ang="0">
                    <a:pos x="9946" y="782"/>
                  </a:cxn>
                  <a:cxn ang="0">
                    <a:pos x="10380" y="767"/>
                  </a:cxn>
                  <a:cxn ang="0">
                    <a:pos x="16384" y="767"/>
                  </a:cxn>
                </a:cxnLst>
                <a:rect l="0" t="0" r="r" b="b"/>
                <a:pathLst>
                  <a:path w="16384" h="16384">
                    <a:moveTo>
                      <a:pt x="16384" y="767"/>
                    </a:moveTo>
                    <a:lnTo>
                      <a:pt x="16384" y="0"/>
                    </a:lnTo>
                    <a:lnTo>
                      <a:pt x="0" y="0"/>
                    </a:lnTo>
                    <a:lnTo>
                      <a:pt x="0" y="767"/>
                    </a:lnTo>
                    <a:lnTo>
                      <a:pt x="6076" y="767"/>
                    </a:lnTo>
                    <a:lnTo>
                      <a:pt x="6510" y="782"/>
                    </a:lnTo>
                    <a:lnTo>
                      <a:pt x="6836" y="827"/>
                    </a:lnTo>
                    <a:lnTo>
                      <a:pt x="7125" y="887"/>
                    </a:lnTo>
                    <a:lnTo>
                      <a:pt x="7270" y="962"/>
                    </a:lnTo>
                    <a:lnTo>
                      <a:pt x="7414" y="1037"/>
                    </a:lnTo>
                    <a:lnTo>
                      <a:pt x="7451" y="1157"/>
                    </a:lnTo>
                    <a:lnTo>
                      <a:pt x="7487" y="1293"/>
                    </a:lnTo>
                    <a:lnTo>
                      <a:pt x="7487" y="1428"/>
                    </a:lnTo>
                    <a:lnTo>
                      <a:pt x="7487" y="3096"/>
                    </a:lnTo>
                    <a:lnTo>
                      <a:pt x="7487" y="4795"/>
                    </a:lnTo>
                    <a:lnTo>
                      <a:pt x="7487" y="6478"/>
                    </a:lnTo>
                    <a:lnTo>
                      <a:pt x="7487" y="8177"/>
                    </a:lnTo>
                    <a:lnTo>
                      <a:pt x="7487" y="9875"/>
                    </a:lnTo>
                    <a:lnTo>
                      <a:pt x="7487" y="11559"/>
                    </a:lnTo>
                    <a:lnTo>
                      <a:pt x="7487" y="13242"/>
                    </a:lnTo>
                    <a:lnTo>
                      <a:pt x="7487" y="14911"/>
                    </a:lnTo>
                    <a:lnTo>
                      <a:pt x="7487" y="15046"/>
                    </a:lnTo>
                    <a:lnTo>
                      <a:pt x="7451" y="15182"/>
                    </a:lnTo>
                    <a:lnTo>
                      <a:pt x="7414" y="15302"/>
                    </a:lnTo>
                    <a:lnTo>
                      <a:pt x="7306" y="15392"/>
                    </a:lnTo>
                    <a:lnTo>
                      <a:pt x="7161" y="15497"/>
                    </a:lnTo>
                    <a:lnTo>
                      <a:pt x="6944" y="15557"/>
                    </a:lnTo>
                    <a:lnTo>
                      <a:pt x="6691" y="15602"/>
                    </a:lnTo>
                    <a:lnTo>
                      <a:pt x="6402" y="15602"/>
                    </a:lnTo>
                    <a:lnTo>
                      <a:pt x="0" y="15602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15602"/>
                    </a:lnTo>
                    <a:lnTo>
                      <a:pt x="10380" y="15602"/>
                    </a:lnTo>
                    <a:lnTo>
                      <a:pt x="9946" y="15602"/>
                    </a:lnTo>
                    <a:lnTo>
                      <a:pt x="9657" y="15572"/>
                    </a:lnTo>
                    <a:lnTo>
                      <a:pt x="9440" y="15497"/>
                    </a:lnTo>
                    <a:lnTo>
                      <a:pt x="9259" y="15422"/>
                    </a:lnTo>
                    <a:lnTo>
                      <a:pt x="9150" y="15302"/>
                    </a:lnTo>
                    <a:lnTo>
                      <a:pt x="9114" y="15182"/>
                    </a:lnTo>
                    <a:lnTo>
                      <a:pt x="9078" y="15046"/>
                    </a:lnTo>
                    <a:lnTo>
                      <a:pt x="9078" y="14911"/>
                    </a:lnTo>
                    <a:lnTo>
                      <a:pt x="9078" y="13273"/>
                    </a:lnTo>
                    <a:lnTo>
                      <a:pt x="9078" y="11589"/>
                    </a:lnTo>
                    <a:lnTo>
                      <a:pt x="9078" y="9891"/>
                    </a:lnTo>
                    <a:lnTo>
                      <a:pt x="9078" y="8177"/>
                    </a:lnTo>
                    <a:lnTo>
                      <a:pt x="9078" y="6463"/>
                    </a:lnTo>
                    <a:lnTo>
                      <a:pt x="9078" y="4750"/>
                    </a:lnTo>
                    <a:lnTo>
                      <a:pt x="9078" y="3081"/>
                    </a:lnTo>
                    <a:lnTo>
                      <a:pt x="9078" y="1428"/>
                    </a:lnTo>
                    <a:lnTo>
                      <a:pt x="9078" y="1263"/>
                    </a:lnTo>
                    <a:lnTo>
                      <a:pt x="9114" y="1127"/>
                    </a:lnTo>
                    <a:lnTo>
                      <a:pt x="9150" y="1037"/>
                    </a:lnTo>
                    <a:lnTo>
                      <a:pt x="9259" y="947"/>
                    </a:lnTo>
                    <a:lnTo>
                      <a:pt x="9404" y="857"/>
                    </a:lnTo>
                    <a:lnTo>
                      <a:pt x="9621" y="827"/>
                    </a:lnTo>
                    <a:lnTo>
                      <a:pt x="9946" y="782"/>
                    </a:lnTo>
                    <a:lnTo>
                      <a:pt x="10380" y="767"/>
                    </a:lnTo>
                    <a:lnTo>
                      <a:pt x="16384" y="767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00" name="Текст 1974">
                <a:extLst>
                  <a:ext uri="{FF2B5EF4-FFF2-40B4-BE49-F238E27FC236}">
                    <a16:creationId xmlns:a16="http://schemas.microsoft.com/office/drawing/2014/main" id="{00000000-0008-0000-0E00-00000C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00000" y="62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12301" name="Объект 1976">
                <a:extLst>
                  <a:ext uri="{FF2B5EF4-FFF2-40B4-BE49-F238E27FC236}">
                    <a16:creationId xmlns:a16="http://schemas.microsoft.com/office/drawing/2014/main" id="{00000000-0008-0000-0E00-00000D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000" y="520000"/>
                <a:ext cx="0" cy="30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94"/>
                  </a:cxn>
                  <a:cxn ang="0">
                    <a:pos x="0" y="9471"/>
                  </a:cxn>
                  <a:cxn ang="0">
                    <a:pos x="0" y="12369"/>
                  </a:cxn>
                  <a:cxn ang="0">
                    <a:pos x="0" y="14338"/>
                  </a:cxn>
                  <a:cxn ang="0">
                    <a:pos x="0" y="15500"/>
                  </a:cxn>
                  <a:cxn ang="0">
                    <a:pos x="0" y="16120"/>
                  </a:cxn>
                  <a:cxn ang="0">
                    <a:pos x="0" y="16337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94"/>
                    </a:lnTo>
                    <a:lnTo>
                      <a:pt x="0" y="9471"/>
                    </a:lnTo>
                    <a:lnTo>
                      <a:pt x="0" y="12369"/>
                    </a:lnTo>
                    <a:lnTo>
                      <a:pt x="0" y="14338"/>
                    </a:lnTo>
                    <a:lnTo>
                      <a:pt x="0" y="15500"/>
                    </a:lnTo>
                    <a:lnTo>
                      <a:pt x="0" y="16120"/>
                    </a:lnTo>
                    <a:lnTo>
                      <a:pt x="0" y="16337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02" name="Объект 1977">
                <a:extLst>
                  <a:ext uri="{FF2B5EF4-FFF2-40B4-BE49-F238E27FC236}">
                    <a16:creationId xmlns:a16="http://schemas.microsoft.com/office/drawing/2014/main" id="{00000000-0008-0000-0E00-00000E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0000" y="48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440" y="0"/>
                  </a:cxn>
                  <a:cxn ang="0">
                    <a:pos x="16384" y="16384"/>
                  </a:cxn>
                  <a:cxn ang="0">
                    <a:pos x="15888" y="15953"/>
                  </a:cxn>
                  <a:cxn ang="0">
                    <a:pos x="15391" y="15953"/>
                  </a:cxn>
                  <a:cxn ang="0">
                    <a:pos x="14398" y="15522"/>
                  </a:cxn>
                  <a:cxn ang="0">
                    <a:pos x="13902" y="15522"/>
                  </a:cxn>
                  <a:cxn ang="0">
                    <a:pos x="13405" y="15522"/>
                  </a:cxn>
                  <a:cxn ang="0">
                    <a:pos x="12412" y="15091"/>
                  </a:cxn>
                  <a:cxn ang="0">
                    <a:pos x="11916" y="15091"/>
                  </a:cxn>
                  <a:cxn ang="0">
                    <a:pos x="11419" y="15091"/>
                  </a:cxn>
                  <a:cxn ang="0">
                    <a:pos x="10923" y="15091"/>
                  </a:cxn>
                  <a:cxn ang="0">
                    <a:pos x="9930" y="15091"/>
                  </a:cxn>
                  <a:cxn ang="0">
                    <a:pos x="9433" y="15091"/>
                  </a:cxn>
                  <a:cxn ang="0">
                    <a:pos x="9433" y="14228"/>
                  </a:cxn>
                  <a:cxn ang="0">
                    <a:pos x="8937" y="14228"/>
                  </a:cxn>
                  <a:cxn ang="0">
                    <a:pos x="8440" y="14228"/>
                  </a:cxn>
                  <a:cxn ang="0">
                    <a:pos x="7447" y="14228"/>
                  </a:cxn>
                  <a:cxn ang="0">
                    <a:pos x="6951" y="14228"/>
                  </a:cxn>
                  <a:cxn ang="0">
                    <a:pos x="6951" y="15091"/>
                  </a:cxn>
                  <a:cxn ang="0">
                    <a:pos x="6454" y="15091"/>
                  </a:cxn>
                  <a:cxn ang="0">
                    <a:pos x="5461" y="15091"/>
                  </a:cxn>
                  <a:cxn ang="0">
                    <a:pos x="4965" y="15091"/>
                  </a:cxn>
                  <a:cxn ang="0">
                    <a:pos x="4468" y="15091"/>
                  </a:cxn>
                  <a:cxn ang="0">
                    <a:pos x="3972" y="15091"/>
                  </a:cxn>
                  <a:cxn ang="0">
                    <a:pos x="2979" y="15522"/>
                  </a:cxn>
                  <a:cxn ang="0">
                    <a:pos x="2482" y="15522"/>
                  </a:cxn>
                  <a:cxn ang="0">
                    <a:pos x="1986" y="15522"/>
                  </a:cxn>
                  <a:cxn ang="0">
                    <a:pos x="993" y="15953"/>
                  </a:cxn>
                  <a:cxn ang="0">
                    <a:pos x="496" y="15953"/>
                  </a:cxn>
                  <a:cxn ang="0">
                    <a:pos x="0" y="16384"/>
                  </a:cxn>
                  <a:cxn ang="0">
                    <a:pos x="8440" y="0"/>
                  </a:cxn>
                </a:cxnLst>
                <a:rect l="0" t="0" r="r" b="b"/>
                <a:pathLst>
                  <a:path w="16384" h="16384">
                    <a:moveTo>
                      <a:pt x="8440" y="0"/>
                    </a:moveTo>
                    <a:lnTo>
                      <a:pt x="16384" y="16384"/>
                    </a:lnTo>
                    <a:lnTo>
                      <a:pt x="15888" y="15953"/>
                    </a:lnTo>
                    <a:lnTo>
                      <a:pt x="15391" y="15953"/>
                    </a:lnTo>
                    <a:lnTo>
                      <a:pt x="14398" y="15522"/>
                    </a:lnTo>
                    <a:lnTo>
                      <a:pt x="13902" y="15522"/>
                    </a:lnTo>
                    <a:lnTo>
                      <a:pt x="13405" y="15522"/>
                    </a:lnTo>
                    <a:lnTo>
                      <a:pt x="12412" y="15091"/>
                    </a:lnTo>
                    <a:lnTo>
                      <a:pt x="11916" y="15091"/>
                    </a:lnTo>
                    <a:lnTo>
                      <a:pt x="11419" y="15091"/>
                    </a:lnTo>
                    <a:lnTo>
                      <a:pt x="10923" y="15091"/>
                    </a:lnTo>
                    <a:lnTo>
                      <a:pt x="9930" y="15091"/>
                    </a:lnTo>
                    <a:lnTo>
                      <a:pt x="9433" y="15091"/>
                    </a:lnTo>
                    <a:lnTo>
                      <a:pt x="9433" y="14228"/>
                    </a:lnTo>
                    <a:lnTo>
                      <a:pt x="8937" y="14228"/>
                    </a:lnTo>
                    <a:lnTo>
                      <a:pt x="8440" y="14228"/>
                    </a:lnTo>
                    <a:lnTo>
                      <a:pt x="7447" y="14228"/>
                    </a:lnTo>
                    <a:lnTo>
                      <a:pt x="6951" y="14228"/>
                    </a:lnTo>
                    <a:lnTo>
                      <a:pt x="6951" y="15091"/>
                    </a:lnTo>
                    <a:lnTo>
                      <a:pt x="6454" y="15091"/>
                    </a:lnTo>
                    <a:lnTo>
                      <a:pt x="5461" y="15091"/>
                    </a:lnTo>
                    <a:lnTo>
                      <a:pt x="4965" y="15091"/>
                    </a:lnTo>
                    <a:lnTo>
                      <a:pt x="4468" y="15091"/>
                    </a:lnTo>
                    <a:lnTo>
                      <a:pt x="3972" y="15091"/>
                    </a:lnTo>
                    <a:lnTo>
                      <a:pt x="2979" y="15522"/>
                    </a:lnTo>
                    <a:lnTo>
                      <a:pt x="2482" y="15522"/>
                    </a:lnTo>
                    <a:lnTo>
                      <a:pt x="1986" y="15522"/>
                    </a:lnTo>
                    <a:lnTo>
                      <a:pt x="993" y="15953"/>
                    </a:lnTo>
                    <a:lnTo>
                      <a:pt x="496" y="15953"/>
                    </a:lnTo>
                    <a:lnTo>
                      <a:pt x="0" y="16384"/>
                    </a:lnTo>
                    <a:lnTo>
                      <a:pt x="844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03" name="Объект 1978">
                <a:extLst>
                  <a:ext uri="{FF2B5EF4-FFF2-40B4-BE49-F238E27FC236}">
                    <a16:creationId xmlns:a16="http://schemas.microsoft.com/office/drawing/2014/main" id="{00000000-0008-0000-0E00-00000F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0000" y="350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440" y="16384"/>
                  </a:cxn>
                  <a:cxn ang="0">
                    <a:pos x="16384" y="0"/>
                  </a:cxn>
                  <a:cxn ang="0">
                    <a:pos x="15888" y="840"/>
                  </a:cxn>
                  <a:cxn ang="0">
                    <a:pos x="15391" y="840"/>
                  </a:cxn>
                  <a:cxn ang="0">
                    <a:pos x="14398" y="840"/>
                  </a:cxn>
                  <a:cxn ang="0">
                    <a:pos x="13902" y="1260"/>
                  </a:cxn>
                  <a:cxn ang="0">
                    <a:pos x="13405" y="1260"/>
                  </a:cxn>
                  <a:cxn ang="0">
                    <a:pos x="12412" y="1260"/>
                  </a:cxn>
                  <a:cxn ang="0">
                    <a:pos x="11916" y="1680"/>
                  </a:cxn>
                  <a:cxn ang="0">
                    <a:pos x="11419" y="1680"/>
                  </a:cxn>
                  <a:cxn ang="0">
                    <a:pos x="10923" y="1680"/>
                  </a:cxn>
                  <a:cxn ang="0">
                    <a:pos x="9930" y="1680"/>
                  </a:cxn>
                  <a:cxn ang="0">
                    <a:pos x="9433" y="1680"/>
                  </a:cxn>
                  <a:cxn ang="0">
                    <a:pos x="8937" y="1680"/>
                  </a:cxn>
                  <a:cxn ang="0">
                    <a:pos x="8440" y="1680"/>
                  </a:cxn>
                  <a:cxn ang="0">
                    <a:pos x="7447" y="1680"/>
                  </a:cxn>
                  <a:cxn ang="0">
                    <a:pos x="6951" y="1680"/>
                  </a:cxn>
                  <a:cxn ang="0">
                    <a:pos x="6454" y="1680"/>
                  </a:cxn>
                  <a:cxn ang="0">
                    <a:pos x="5461" y="1680"/>
                  </a:cxn>
                  <a:cxn ang="0">
                    <a:pos x="4965" y="1680"/>
                  </a:cxn>
                  <a:cxn ang="0">
                    <a:pos x="4468" y="1680"/>
                  </a:cxn>
                  <a:cxn ang="0">
                    <a:pos x="3972" y="1260"/>
                  </a:cxn>
                  <a:cxn ang="0">
                    <a:pos x="2979" y="1260"/>
                  </a:cxn>
                  <a:cxn ang="0">
                    <a:pos x="2482" y="1260"/>
                  </a:cxn>
                  <a:cxn ang="0">
                    <a:pos x="1986" y="840"/>
                  </a:cxn>
                  <a:cxn ang="0">
                    <a:pos x="993" y="840"/>
                  </a:cxn>
                  <a:cxn ang="0">
                    <a:pos x="496" y="840"/>
                  </a:cxn>
                  <a:cxn ang="0">
                    <a:pos x="0" y="0"/>
                  </a:cxn>
                  <a:cxn ang="0">
                    <a:pos x="8440" y="16384"/>
                  </a:cxn>
                </a:cxnLst>
                <a:rect l="0" t="0" r="r" b="b"/>
                <a:pathLst>
                  <a:path w="16384" h="16384">
                    <a:moveTo>
                      <a:pt x="8440" y="16384"/>
                    </a:moveTo>
                    <a:lnTo>
                      <a:pt x="16384" y="0"/>
                    </a:lnTo>
                    <a:lnTo>
                      <a:pt x="15888" y="840"/>
                    </a:lnTo>
                    <a:lnTo>
                      <a:pt x="15391" y="840"/>
                    </a:lnTo>
                    <a:lnTo>
                      <a:pt x="14398" y="840"/>
                    </a:lnTo>
                    <a:lnTo>
                      <a:pt x="13902" y="1260"/>
                    </a:lnTo>
                    <a:lnTo>
                      <a:pt x="13405" y="1260"/>
                    </a:lnTo>
                    <a:lnTo>
                      <a:pt x="12412" y="1260"/>
                    </a:lnTo>
                    <a:lnTo>
                      <a:pt x="11916" y="1680"/>
                    </a:lnTo>
                    <a:lnTo>
                      <a:pt x="11419" y="1680"/>
                    </a:lnTo>
                    <a:lnTo>
                      <a:pt x="10923" y="1680"/>
                    </a:lnTo>
                    <a:lnTo>
                      <a:pt x="9930" y="1680"/>
                    </a:lnTo>
                    <a:lnTo>
                      <a:pt x="9433" y="1680"/>
                    </a:lnTo>
                    <a:lnTo>
                      <a:pt x="8937" y="1680"/>
                    </a:lnTo>
                    <a:lnTo>
                      <a:pt x="8440" y="1680"/>
                    </a:lnTo>
                    <a:lnTo>
                      <a:pt x="7447" y="1680"/>
                    </a:lnTo>
                    <a:lnTo>
                      <a:pt x="6951" y="1680"/>
                    </a:lnTo>
                    <a:lnTo>
                      <a:pt x="6454" y="1680"/>
                    </a:lnTo>
                    <a:lnTo>
                      <a:pt x="5461" y="1680"/>
                    </a:lnTo>
                    <a:lnTo>
                      <a:pt x="4965" y="1680"/>
                    </a:lnTo>
                    <a:lnTo>
                      <a:pt x="4468" y="1680"/>
                    </a:lnTo>
                    <a:lnTo>
                      <a:pt x="3972" y="1260"/>
                    </a:lnTo>
                    <a:lnTo>
                      <a:pt x="2979" y="1260"/>
                    </a:lnTo>
                    <a:lnTo>
                      <a:pt x="2482" y="1260"/>
                    </a:lnTo>
                    <a:lnTo>
                      <a:pt x="1986" y="840"/>
                    </a:lnTo>
                    <a:lnTo>
                      <a:pt x="993" y="840"/>
                    </a:lnTo>
                    <a:lnTo>
                      <a:pt x="496" y="840"/>
                    </a:lnTo>
                    <a:lnTo>
                      <a:pt x="0" y="0"/>
                    </a:lnTo>
                    <a:lnTo>
                      <a:pt x="844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04" name="Текст 1980">
                <a:extLst>
                  <a:ext uri="{FF2B5EF4-FFF2-40B4-BE49-F238E27FC236}">
                    <a16:creationId xmlns:a16="http://schemas.microsoft.com/office/drawing/2014/main" id="{00000000-0008-0000-0E00-000010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0000" y="184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12305" name="Текст 2163">
                <a:extLst>
                  <a:ext uri="{FF2B5EF4-FFF2-40B4-BE49-F238E27FC236}">
                    <a16:creationId xmlns:a16="http://schemas.microsoft.com/office/drawing/2014/main" id="{00000000-0008-0000-0E00-000011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40000" y="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2306" name="Текст 2164">
                <a:extLst>
                  <a:ext uri="{FF2B5EF4-FFF2-40B4-BE49-F238E27FC236}">
                    <a16:creationId xmlns:a16="http://schemas.microsoft.com/office/drawing/2014/main" id="{00000000-0008-0000-0E00-000012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500000" y="362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2307" name="Текст 2165">
                <a:extLst>
                  <a:ext uri="{FF2B5EF4-FFF2-40B4-BE49-F238E27FC236}">
                    <a16:creationId xmlns:a16="http://schemas.microsoft.com/office/drawing/2014/main" id="{00000000-0008-0000-0E00-000013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20000" y="404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12308" name="Объект 2166">
                <a:extLst>
                  <a:ext uri="{FF2B5EF4-FFF2-40B4-BE49-F238E27FC236}">
                    <a16:creationId xmlns:a16="http://schemas.microsoft.com/office/drawing/2014/main" id="{00000000-0008-0000-0E00-000014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40000" y="3660000"/>
                <a:ext cx="20000" cy="56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449"/>
                  </a:cxn>
                  <a:cxn ang="0">
                    <a:pos x="0" y="12310"/>
                  </a:cxn>
                  <a:cxn ang="0">
                    <a:pos x="0" y="14390"/>
                  </a:cxn>
                  <a:cxn ang="0">
                    <a:pos x="0" y="15604"/>
                  </a:cxn>
                  <a:cxn ang="0">
                    <a:pos x="0" y="1612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449"/>
                    </a:lnTo>
                    <a:lnTo>
                      <a:pt x="0" y="12310"/>
                    </a:lnTo>
                    <a:lnTo>
                      <a:pt x="0" y="14390"/>
                    </a:lnTo>
                    <a:lnTo>
                      <a:pt x="0" y="15604"/>
                    </a:lnTo>
                    <a:lnTo>
                      <a:pt x="0" y="1612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09" name="Объект 2167">
                <a:extLst>
                  <a:ext uri="{FF2B5EF4-FFF2-40B4-BE49-F238E27FC236}">
                    <a16:creationId xmlns:a16="http://schemas.microsoft.com/office/drawing/2014/main" id="{00000000-0008-0000-0E00-000015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0000" y="4080000"/>
                <a:ext cx="154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08" y="0"/>
                  </a:cxn>
                  <a:cxn ang="0">
                    <a:pos x="9465" y="0"/>
                  </a:cxn>
                  <a:cxn ang="0">
                    <a:pos x="12407" y="0"/>
                  </a:cxn>
                  <a:cxn ang="0">
                    <a:pos x="14356" y="0"/>
                  </a:cxn>
                  <a:cxn ang="0">
                    <a:pos x="15509" y="0"/>
                  </a:cxn>
                  <a:cxn ang="0">
                    <a:pos x="16145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08" y="0"/>
                    </a:lnTo>
                    <a:lnTo>
                      <a:pt x="9465" y="0"/>
                    </a:lnTo>
                    <a:lnTo>
                      <a:pt x="12407" y="0"/>
                    </a:lnTo>
                    <a:lnTo>
                      <a:pt x="14356" y="0"/>
                    </a:lnTo>
                    <a:lnTo>
                      <a:pt x="15509" y="0"/>
                    </a:lnTo>
                    <a:lnTo>
                      <a:pt x="16145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10" name="Объект 2168">
                <a:extLst>
                  <a:ext uri="{FF2B5EF4-FFF2-40B4-BE49-F238E27FC236}">
                    <a16:creationId xmlns:a16="http://schemas.microsoft.com/office/drawing/2014/main" id="{00000000-0008-0000-0E00-000016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4040000"/>
                <a:ext cx="160000" cy="80000"/>
              </a:xfrm>
              <a:custGeom>
                <a:avLst/>
                <a:gdLst/>
                <a:ahLst/>
                <a:cxnLst>
                  <a:cxn ang="0">
                    <a:pos x="0" y="7944"/>
                  </a:cxn>
                  <a:cxn ang="0">
                    <a:pos x="16384" y="0"/>
                  </a:cxn>
                  <a:cxn ang="0">
                    <a:pos x="16384" y="496"/>
                  </a:cxn>
                  <a:cxn ang="0">
                    <a:pos x="15953" y="993"/>
                  </a:cxn>
                  <a:cxn ang="0">
                    <a:pos x="15953" y="1489"/>
                  </a:cxn>
                  <a:cxn ang="0">
                    <a:pos x="15953" y="2482"/>
                  </a:cxn>
                  <a:cxn ang="0">
                    <a:pos x="15522" y="2482"/>
                  </a:cxn>
                  <a:cxn ang="0">
                    <a:pos x="15522" y="2979"/>
                  </a:cxn>
                  <a:cxn ang="0">
                    <a:pos x="15522" y="3475"/>
                  </a:cxn>
                  <a:cxn ang="0">
                    <a:pos x="15522" y="4468"/>
                  </a:cxn>
                  <a:cxn ang="0">
                    <a:pos x="14659" y="4468"/>
                  </a:cxn>
                  <a:cxn ang="0">
                    <a:pos x="14659" y="4965"/>
                  </a:cxn>
                  <a:cxn ang="0">
                    <a:pos x="14659" y="5461"/>
                  </a:cxn>
                  <a:cxn ang="0">
                    <a:pos x="14659" y="5958"/>
                  </a:cxn>
                  <a:cxn ang="0">
                    <a:pos x="14659" y="6951"/>
                  </a:cxn>
                  <a:cxn ang="0">
                    <a:pos x="14659" y="7447"/>
                  </a:cxn>
                  <a:cxn ang="0">
                    <a:pos x="14659" y="7944"/>
                  </a:cxn>
                  <a:cxn ang="0">
                    <a:pos x="14659" y="8440"/>
                  </a:cxn>
                  <a:cxn ang="0">
                    <a:pos x="14659" y="9433"/>
                  </a:cxn>
                  <a:cxn ang="0">
                    <a:pos x="14659" y="9930"/>
                  </a:cxn>
                  <a:cxn ang="0">
                    <a:pos x="14659" y="10426"/>
                  </a:cxn>
                  <a:cxn ang="0">
                    <a:pos x="14659" y="11419"/>
                  </a:cxn>
                  <a:cxn ang="0">
                    <a:pos x="14659" y="11916"/>
                  </a:cxn>
                  <a:cxn ang="0">
                    <a:pos x="15522" y="11916"/>
                  </a:cxn>
                  <a:cxn ang="0">
                    <a:pos x="15522" y="12412"/>
                  </a:cxn>
                  <a:cxn ang="0">
                    <a:pos x="15522" y="12909"/>
                  </a:cxn>
                  <a:cxn ang="0">
                    <a:pos x="15522" y="13902"/>
                  </a:cxn>
                  <a:cxn ang="0">
                    <a:pos x="15953" y="13902"/>
                  </a:cxn>
                  <a:cxn ang="0">
                    <a:pos x="15953" y="14398"/>
                  </a:cxn>
                  <a:cxn ang="0">
                    <a:pos x="15953" y="14895"/>
                  </a:cxn>
                  <a:cxn ang="0">
                    <a:pos x="16384" y="15888"/>
                  </a:cxn>
                  <a:cxn ang="0">
                    <a:pos x="16384" y="16384"/>
                  </a:cxn>
                  <a:cxn ang="0">
                    <a:pos x="0" y="7944"/>
                  </a:cxn>
                </a:cxnLst>
                <a:rect l="0" t="0" r="r" b="b"/>
                <a:pathLst>
                  <a:path w="16384" h="16384">
                    <a:moveTo>
                      <a:pt x="0" y="7944"/>
                    </a:moveTo>
                    <a:lnTo>
                      <a:pt x="16384" y="0"/>
                    </a:lnTo>
                    <a:lnTo>
                      <a:pt x="16384" y="496"/>
                    </a:lnTo>
                    <a:lnTo>
                      <a:pt x="15953" y="993"/>
                    </a:lnTo>
                    <a:lnTo>
                      <a:pt x="15953" y="1489"/>
                    </a:lnTo>
                    <a:lnTo>
                      <a:pt x="15953" y="2482"/>
                    </a:lnTo>
                    <a:lnTo>
                      <a:pt x="15522" y="2482"/>
                    </a:lnTo>
                    <a:lnTo>
                      <a:pt x="15522" y="2979"/>
                    </a:lnTo>
                    <a:lnTo>
                      <a:pt x="15522" y="3475"/>
                    </a:lnTo>
                    <a:lnTo>
                      <a:pt x="15522" y="4468"/>
                    </a:lnTo>
                    <a:lnTo>
                      <a:pt x="14659" y="4468"/>
                    </a:lnTo>
                    <a:lnTo>
                      <a:pt x="14659" y="4965"/>
                    </a:lnTo>
                    <a:lnTo>
                      <a:pt x="14659" y="5461"/>
                    </a:lnTo>
                    <a:lnTo>
                      <a:pt x="14659" y="5958"/>
                    </a:lnTo>
                    <a:lnTo>
                      <a:pt x="14659" y="6951"/>
                    </a:lnTo>
                    <a:lnTo>
                      <a:pt x="14659" y="7447"/>
                    </a:lnTo>
                    <a:lnTo>
                      <a:pt x="14659" y="7944"/>
                    </a:lnTo>
                    <a:lnTo>
                      <a:pt x="14659" y="8440"/>
                    </a:lnTo>
                    <a:lnTo>
                      <a:pt x="14659" y="9433"/>
                    </a:lnTo>
                    <a:lnTo>
                      <a:pt x="14659" y="9930"/>
                    </a:lnTo>
                    <a:lnTo>
                      <a:pt x="14659" y="10426"/>
                    </a:lnTo>
                    <a:lnTo>
                      <a:pt x="14659" y="11419"/>
                    </a:lnTo>
                    <a:lnTo>
                      <a:pt x="14659" y="11916"/>
                    </a:lnTo>
                    <a:lnTo>
                      <a:pt x="15522" y="11916"/>
                    </a:lnTo>
                    <a:lnTo>
                      <a:pt x="15522" y="12412"/>
                    </a:lnTo>
                    <a:lnTo>
                      <a:pt x="15522" y="12909"/>
                    </a:lnTo>
                    <a:lnTo>
                      <a:pt x="15522" y="13902"/>
                    </a:lnTo>
                    <a:lnTo>
                      <a:pt x="15953" y="13902"/>
                    </a:lnTo>
                    <a:lnTo>
                      <a:pt x="15953" y="14398"/>
                    </a:lnTo>
                    <a:lnTo>
                      <a:pt x="15953" y="14895"/>
                    </a:lnTo>
                    <a:lnTo>
                      <a:pt x="16384" y="15888"/>
                    </a:lnTo>
                    <a:lnTo>
                      <a:pt x="16384" y="16384"/>
                    </a:lnTo>
                    <a:lnTo>
                      <a:pt x="0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11" name="Объект 2169">
                <a:extLst>
                  <a:ext uri="{FF2B5EF4-FFF2-40B4-BE49-F238E27FC236}">
                    <a16:creationId xmlns:a16="http://schemas.microsoft.com/office/drawing/2014/main" id="{00000000-0008-0000-0E00-000017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00000" y="4040000"/>
                <a:ext cx="140000" cy="80000"/>
              </a:xfrm>
              <a:custGeom>
                <a:avLst/>
                <a:gdLst/>
                <a:ahLst/>
                <a:cxnLst>
                  <a:cxn ang="0">
                    <a:pos x="16384" y="7944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993"/>
                  </a:cxn>
                  <a:cxn ang="0">
                    <a:pos x="886" y="1489"/>
                  </a:cxn>
                  <a:cxn ang="0">
                    <a:pos x="886" y="2482"/>
                  </a:cxn>
                  <a:cxn ang="0">
                    <a:pos x="886" y="2979"/>
                  </a:cxn>
                  <a:cxn ang="0">
                    <a:pos x="1328" y="3475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461"/>
                  </a:cxn>
                  <a:cxn ang="0">
                    <a:pos x="1328" y="5958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7944"/>
                  </a:cxn>
                  <a:cxn ang="0">
                    <a:pos x="1771" y="8440"/>
                  </a:cxn>
                  <a:cxn ang="0">
                    <a:pos x="1771" y="9433"/>
                  </a:cxn>
                  <a:cxn ang="0">
                    <a:pos x="1328" y="9930"/>
                  </a:cxn>
                  <a:cxn ang="0">
                    <a:pos x="1328" y="10426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412"/>
                  </a:cxn>
                  <a:cxn ang="0">
                    <a:pos x="886" y="12909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4895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7944"/>
                  </a:cxn>
                </a:cxnLst>
                <a:rect l="0" t="0" r="r" b="b"/>
                <a:pathLst>
                  <a:path w="16384" h="16384">
                    <a:moveTo>
                      <a:pt x="16384" y="7944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993"/>
                    </a:lnTo>
                    <a:lnTo>
                      <a:pt x="886" y="1489"/>
                    </a:lnTo>
                    <a:lnTo>
                      <a:pt x="886" y="2482"/>
                    </a:lnTo>
                    <a:lnTo>
                      <a:pt x="886" y="2979"/>
                    </a:lnTo>
                    <a:lnTo>
                      <a:pt x="1328" y="3475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461"/>
                    </a:lnTo>
                    <a:lnTo>
                      <a:pt x="1328" y="5958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7944"/>
                    </a:lnTo>
                    <a:lnTo>
                      <a:pt x="1771" y="8440"/>
                    </a:lnTo>
                    <a:lnTo>
                      <a:pt x="1771" y="9433"/>
                    </a:lnTo>
                    <a:lnTo>
                      <a:pt x="1328" y="9930"/>
                    </a:lnTo>
                    <a:lnTo>
                      <a:pt x="1328" y="10426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412"/>
                    </a:lnTo>
                    <a:lnTo>
                      <a:pt x="886" y="12909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4895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12" name="Объект 2170">
                <a:extLst>
                  <a:ext uri="{FF2B5EF4-FFF2-40B4-BE49-F238E27FC236}">
                    <a16:creationId xmlns:a16="http://schemas.microsoft.com/office/drawing/2014/main" id="{00000000-0008-0000-0E00-000018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3660000"/>
                <a:ext cx="20000" cy="56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449"/>
                  </a:cxn>
                  <a:cxn ang="0">
                    <a:pos x="0" y="12310"/>
                  </a:cxn>
                  <a:cxn ang="0">
                    <a:pos x="0" y="14390"/>
                  </a:cxn>
                  <a:cxn ang="0">
                    <a:pos x="0" y="15604"/>
                  </a:cxn>
                  <a:cxn ang="0">
                    <a:pos x="0" y="1612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449"/>
                    </a:lnTo>
                    <a:lnTo>
                      <a:pt x="0" y="12310"/>
                    </a:lnTo>
                    <a:lnTo>
                      <a:pt x="0" y="14390"/>
                    </a:lnTo>
                    <a:lnTo>
                      <a:pt x="0" y="15604"/>
                    </a:lnTo>
                    <a:lnTo>
                      <a:pt x="0" y="1612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13" name="Объект 2172">
                <a:extLst>
                  <a:ext uri="{FF2B5EF4-FFF2-40B4-BE49-F238E27FC236}">
                    <a16:creationId xmlns:a16="http://schemas.microsoft.com/office/drawing/2014/main" id="{00000000-0008-0000-0E00-000019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20000" y="334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16384"/>
                  </a:cxn>
                  <a:cxn ang="0">
                    <a:pos x="0" y="0"/>
                  </a:cxn>
                  <a:cxn ang="0">
                    <a:pos x="0" y="431"/>
                  </a:cxn>
                  <a:cxn ang="0">
                    <a:pos x="512" y="431"/>
                  </a:cxn>
                  <a:cxn ang="0">
                    <a:pos x="1024" y="431"/>
                  </a:cxn>
                  <a:cxn ang="0">
                    <a:pos x="2048" y="862"/>
                  </a:cxn>
                  <a:cxn ang="0">
                    <a:pos x="2560" y="862"/>
                  </a:cxn>
                  <a:cxn ang="0">
                    <a:pos x="3072" y="862"/>
                  </a:cxn>
                  <a:cxn ang="0">
                    <a:pos x="3584" y="1293"/>
                  </a:cxn>
                  <a:cxn ang="0">
                    <a:pos x="4608" y="1293"/>
                  </a:cxn>
                  <a:cxn ang="0">
                    <a:pos x="5120" y="1293"/>
                  </a:cxn>
                  <a:cxn ang="0">
                    <a:pos x="5632" y="1293"/>
                  </a:cxn>
                  <a:cxn ang="0">
                    <a:pos x="6656" y="1293"/>
                  </a:cxn>
                  <a:cxn ang="0">
                    <a:pos x="7168" y="1293"/>
                  </a:cxn>
                  <a:cxn ang="0">
                    <a:pos x="7680" y="1293"/>
                  </a:cxn>
                  <a:cxn ang="0">
                    <a:pos x="8192" y="1293"/>
                  </a:cxn>
                  <a:cxn ang="0">
                    <a:pos x="9216" y="1293"/>
                  </a:cxn>
                  <a:cxn ang="0">
                    <a:pos x="9728" y="1293"/>
                  </a:cxn>
                  <a:cxn ang="0">
                    <a:pos x="10240" y="1293"/>
                  </a:cxn>
                  <a:cxn ang="0">
                    <a:pos x="10752" y="1293"/>
                  </a:cxn>
                  <a:cxn ang="0">
                    <a:pos x="11776" y="1293"/>
                  </a:cxn>
                  <a:cxn ang="0">
                    <a:pos x="12288" y="1293"/>
                  </a:cxn>
                  <a:cxn ang="0">
                    <a:pos x="12288" y="862"/>
                  </a:cxn>
                  <a:cxn ang="0">
                    <a:pos x="12800" y="862"/>
                  </a:cxn>
                  <a:cxn ang="0">
                    <a:pos x="13824" y="862"/>
                  </a:cxn>
                  <a:cxn ang="0">
                    <a:pos x="14336" y="862"/>
                  </a:cxn>
                  <a:cxn ang="0">
                    <a:pos x="14848" y="431"/>
                  </a:cxn>
                  <a:cxn ang="0">
                    <a:pos x="15360" y="431"/>
                  </a:cxn>
                  <a:cxn ang="0">
                    <a:pos x="16384" y="0"/>
                  </a:cxn>
                  <a:cxn ang="0">
                    <a:pos x="7680" y="16384"/>
                  </a:cxn>
                </a:cxnLst>
                <a:rect l="0" t="0" r="r" b="b"/>
                <a:pathLst>
                  <a:path w="16384" h="16384">
                    <a:moveTo>
                      <a:pt x="7680" y="16384"/>
                    </a:moveTo>
                    <a:lnTo>
                      <a:pt x="0" y="0"/>
                    </a:lnTo>
                    <a:lnTo>
                      <a:pt x="0" y="431"/>
                    </a:lnTo>
                    <a:lnTo>
                      <a:pt x="512" y="431"/>
                    </a:lnTo>
                    <a:lnTo>
                      <a:pt x="1024" y="431"/>
                    </a:lnTo>
                    <a:lnTo>
                      <a:pt x="2048" y="862"/>
                    </a:lnTo>
                    <a:lnTo>
                      <a:pt x="2560" y="862"/>
                    </a:lnTo>
                    <a:lnTo>
                      <a:pt x="3072" y="862"/>
                    </a:lnTo>
                    <a:lnTo>
                      <a:pt x="3584" y="1293"/>
                    </a:lnTo>
                    <a:lnTo>
                      <a:pt x="4608" y="1293"/>
                    </a:lnTo>
                    <a:lnTo>
                      <a:pt x="5120" y="1293"/>
                    </a:lnTo>
                    <a:lnTo>
                      <a:pt x="5632" y="1293"/>
                    </a:lnTo>
                    <a:lnTo>
                      <a:pt x="6656" y="1293"/>
                    </a:lnTo>
                    <a:lnTo>
                      <a:pt x="7168" y="1293"/>
                    </a:lnTo>
                    <a:lnTo>
                      <a:pt x="7680" y="1293"/>
                    </a:lnTo>
                    <a:lnTo>
                      <a:pt x="8192" y="1293"/>
                    </a:lnTo>
                    <a:lnTo>
                      <a:pt x="9216" y="1293"/>
                    </a:lnTo>
                    <a:lnTo>
                      <a:pt x="9728" y="1293"/>
                    </a:lnTo>
                    <a:lnTo>
                      <a:pt x="10240" y="1293"/>
                    </a:lnTo>
                    <a:lnTo>
                      <a:pt x="10752" y="1293"/>
                    </a:lnTo>
                    <a:lnTo>
                      <a:pt x="11776" y="1293"/>
                    </a:lnTo>
                    <a:lnTo>
                      <a:pt x="12288" y="1293"/>
                    </a:lnTo>
                    <a:lnTo>
                      <a:pt x="12288" y="862"/>
                    </a:lnTo>
                    <a:lnTo>
                      <a:pt x="12800" y="862"/>
                    </a:lnTo>
                    <a:lnTo>
                      <a:pt x="13824" y="862"/>
                    </a:lnTo>
                    <a:lnTo>
                      <a:pt x="14336" y="862"/>
                    </a:lnTo>
                    <a:lnTo>
                      <a:pt x="14848" y="431"/>
                    </a:lnTo>
                    <a:lnTo>
                      <a:pt x="15360" y="431"/>
                    </a:lnTo>
                    <a:lnTo>
                      <a:pt x="16384" y="0"/>
                    </a:lnTo>
                    <a:lnTo>
                      <a:pt x="768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14" name="Объект 2174">
                <a:extLst>
                  <a:ext uri="{FF2B5EF4-FFF2-40B4-BE49-F238E27FC236}">
                    <a16:creationId xmlns:a16="http://schemas.microsoft.com/office/drawing/2014/main" id="{00000000-0008-0000-0E00-00001A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20000" y="362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0"/>
                  </a:cxn>
                  <a:cxn ang="0">
                    <a:pos x="0" y="16384"/>
                  </a:cxn>
                  <a:cxn ang="0">
                    <a:pos x="0" y="15544"/>
                  </a:cxn>
                  <a:cxn ang="0">
                    <a:pos x="512" y="15544"/>
                  </a:cxn>
                  <a:cxn ang="0">
                    <a:pos x="1024" y="15544"/>
                  </a:cxn>
                  <a:cxn ang="0">
                    <a:pos x="2048" y="15124"/>
                  </a:cxn>
                  <a:cxn ang="0">
                    <a:pos x="2560" y="15124"/>
                  </a:cxn>
                  <a:cxn ang="0">
                    <a:pos x="3072" y="15124"/>
                  </a:cxn>
                  <a:cxn ang="0">
                    <a:pos x="3584" y="14704"/>
                  </a:cxn>
                  <a:cxn ang="0">
                    <a:pos x="4608" y="14704"/>
                  </a:cxn>
                  <a:cxn ang="0">
                    <a:pos x="5120" y="14704"/>
                  </a:cxn>
                  <a:cxn ang="0">
                    <a:pos x="5632" y="14704"/>
                  </a:cxn>
                  <a:cxn ang="0">
                    <a:pos x="6656" y="14704"/>
                  </a:cxn>
                  <a:cxn ang="0">
                    <a:pos x="7168" y="14704"/>
                  </a:cxn>
                  <a:cxn ang="0">
                    <a:pos x="7680" y="14704"/>
                  </a:cxn>
                  <a:cxn ang="0">
                    <a:pos x="8192" y="14704"/>
                  </a:cxn>
                  <a:cxn ang="0">
                    <a:pos x="9216" y="14704"/>
                  </a:cxn>
                  <a:cxn ang="0">
                    <a:pos x="9728" y="14704"/>
                  </a:cxn>
                  <a:cxn ang="0">
                    <a:pos x="10240" y="14704"/>
                  </a:cxn>
                  <a:cxn ang="0">
                    <a:pos x="10752" y="14704"/>
                  </a:cxn>
                  <a:cxn ang="0">
                    <a:pos x="11776" y="14704"/>
                  </a:cxn>
                  <a:cxn ang="0">
                    <a:pos x="12288" y="14704"/>
                  </a:cxn>
                  <a:cxn ang="0">
                    <a:pos x="12288" y="15124"/>
                  </a:cxn>
                  <a:cxn ang="0">
                    <a:pos x="12800" y="15124"/>
                  </a:cxn>
                  <a:cxn ang="0">
                    <a:pos x="13824" y="15124"/>
                  </a:cxn>
                  <a:cxn ang="0">
                    <a:pos x="14336" y="15124"/>
                  </a:cxn>
                  <a:cxn ang="0">
                    <a:pos x="14848" y="15544"/>
                  </a:cxn>
                  <a:cxn ang="0">
                    <a:pos x="15360" y="15544"/>
                  </a:cxn>
                  <a:cxn ang="0">
                    <a:pos x="16384" y="16384"/>
                  </a:cxn>
                  <a:cxn ang="0">
                    <a:pos x="7680" y="0"/>
                  </a:cxn>
                </a:cxnLst>
                <a:rect l="0" t="0" r="r" b="b"/>
                <a:pathLst>
                  <a:path w="16384" h="16384">
                    <a:moveTo>
                      <a:pt x="7680" y="0"/>
                    </a:moveTo>
                    <a:lnTo>
                      <a:pt x="0" y="16384"/>
                    </a:lnTo>
                    <a:lnTo>
                      <a:pt x="0" y="15544"/>
                    </a:lnTo>
                    <a:lnTo>
                      <a:pt x="512" y="15544"/>
                    </a:lnTo>
                    <a:lnTo>
                      <a:pt x="1024" y="15544"/>
                    </a:lnTo>
                    <a:lnTo>
                      <a:pt x="2048" y="15124"/>
                    </a:lnTo>
                    <a:lnTo>
                      <a:pt x="2560" y="15124"/>
                    </a:lnTo>
                    <a:lnTo>
                      <a:pt x="3072" y="15124"/>
                    </a:lnTo>
                    <a:lnTo>
                      <a:pt x="3584" y="14704"/>
                    </a:lnTo>
                    <a:lnTo>
                      <a:pt x="4608" y="14704"/>
                    </a:lnTo>
                    <a:lnTo>
                      <a:pt x="5120" y="14704"/>
                    </a:lnTo>
                    <a:lnTo>
                      <a:pt x="5632" y="14704"/>
                    </a:lnTo>
                    <a:lnTo>
                      <a:pt x="6656" y="14704"/>
                    </a:lnTo>
                    <a:lnTo>
                      <a:pt x="7168" y="14704"/>
                    </a:lnTo>
                    <a:lnTo>
                      <a:pt x="7680" y="14704"/>
                    </a:lnTo>
                    <a:lnTo>
                      <a:pt x="8192" y="14704"/>
                    </a:lnTo>
                    <a:lnTo>
                      <a:pt x="9216" y="14704"/>
                    </a:lnTo>
                    <a:lnTo>
                      <a:pt x="9728" y="14704"/>
                    </a:lnTo>
                    <a:lnTo>
                      <a:pt x="10240" y="14704"/>
                    </a:lnTo>
                    <a:lnTo>
                      <a:pt x="10752" y="14704"/>
                    </a:lnTo>
                    <a:lnTo>
                      <a:pt x="11776" y="14704"/>
                    </a:lnTo>
                    <a:lnTo>
                      <a:pt x="12288" y="14704"/>
                    </a:lnTo>
                    <a:lnTo>
                      <a:pt x="12288" y="15124"/>
                    </a:lnTo>
                    <a:lnTo>
                      <a:pt x="12800" y="15124"/>
                    </a:lnTo>
                    <a:lnTo>
                      <a:pt x="13824" y="15124"/>
                    </a:lnTo>
                    <a:lnTo>
                      <a:pt x="14336" y="15124"/>
                    </a:lnTo>
                    <a:lnTo>
                      <a:pt x="14848" y="15544"/>
                    </a:lnTo>
                    <a:lnTo>
                      <a:pt x="15360" y="15544"/>
                    </a:lnTo>
                    <a:lnTo>
                      <a:pt x="16384" y="16384"/>
                    </a:lnTo>
                    <a:lnTo>
                      <a:pt x="768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15" name="Текст 2176">
                <a:extLst>
                  <a:ext uri="{FF2B5EF4-FFF2-40B4-BE49-F238E27FC236}">
                    <a16:creationId xmlns:a16="http://schemas.microsoft.com/office/drawing/2014/main" id="{00000000-0008-0000-0E00-00001B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920000" y="310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12316" name="Объект 2177">
                <a:extLst>
                  <a:ext uri="{FF2B5EF4-FFF2-40B4-BE49-F238E27FC236}">
                    <a16:creationId xmlns:a16="http://schemas.microsoft.com/office/drawing/2014/main" id="{00000000-0008-0000-0E00-00001C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40000" y="2900000"/>
                <a:ext cx="20000" cy="6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58"/>
                  </a:cxn>
                  <a:cxn ang="0">
                    <a:pos x="0" y="9473"/>
                  </a:cxn>
                  <a:cxn ang="0">
                    <a:pos x="0" y="12424"/>
                  </a:cxn>
                  <a:cxn ang="0">
                    <a:pos x="0" y="14365"/>
                  </a:cxn>
                  <a:cxn ang="0">
                    <a:pos x="0" y="15530"/>
                  </a:cxn>
                  <a:cxn ang="0">
                    <a:pos x="0" y="16229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58"/>
                    </a:lnTo>
                    <a:lnTo>
                      <a:pt x="0" y="9473"/>
                    </a:lnTo>
                    <a:lnTo>
                      <a:pt x="0" y="12424"/>
                    </a:lnTo>
                    <a:lnTo>
                      <a:pt x="0" y="14365"/>
                    </a:lnTo>
                    <a:lnTo>
                      <a:pt x="0" y="15530"/>
                    </a:lnTo>
                    <a:lnTo>
                      <a:pt x="0" y="16229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17" name="Объект 2178">
                <a:extLst>
                  <a:ext uri="{FF2B5EF4-FFF2-40B4-BE49-F238E27FC236}">
                    <a16:creationId xmlns:a16="http://schemas.microsoft.com/office/drawing/2014/main" id="{00000000-0008-0000-0E00-00001D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60000" y="3020000"/>
                <a:ext cx="3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330" y="0"/>
                  </a:cxn>
                  <a:cxn ang="0">
                    <a:pos x="9278" y="0"/>
                  </a:cxn>
                  <a:cxn ang="0">
                    <a:pos x="12436" y="0"/>
                  </a:cxn>
                  <a:cxn ang="0">
                    <a:pos x="14410" y="0"/>
                  </a:cxn>
                  <a:cxn ang="0">
                    <a:pos x="15397" y="0"/>
                  </a:cxn>
                  <a:cxn ang="0">
                    <a:pos x="1618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330" y="0"/>
                    </a:lnTo>
                    <a:lnTo>
                      <a:pt x="9278" y="0"/>
                    </a:lnTo>
                    <a:lnTo>
                      <a:pt x="12436" y="0"/>
                    </a:lnTo>
                    <a:lnTo>
                      <a:pt x="14410" y="0"/>
                    </a:lnTo>
                    <a:lnTo>
                      <a:pt x="15397" y="0"/>
                    </a:lnTo>
                    <a:lnTo>
                      <a:pt x="1618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18" name="Объект 2179">
                <a:extLst>
                  <a:ext uri="{FF2B5EF4-FFF2-40B4-BE49-F238E27FC236}">
                    <a16:creationId xmlns:a16="http://schemas.microsoft.com/office/drawing/2014/main" id="{00000000-0008-0000-0E00-00001E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80000" y="2980000"/>
                <a:ext cx="160000" cy="8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0"/>
                  </a:cxn>
                  <a:cxn ang="0">
                    <a:pos x="16384" y="512"/>
                  </a:cxn>
                  <a:cxn ang="0">
                    <a:pos x="15498" y="1024"/>
                  </a:cxn>
                  <a:cxn ang="0">
                    <a:pos x="15498" y="2048"/>
                  </a:cxn>
                  <a:cxn ang="0">
                    <a:pos x="15498" y="2560"/>
                  </a:cxn>
                  <a:cxn ang="0">
                    <a:pos x="15056" y="3072"/>
                  </a:cxn>
                  <a:cxn ang="0">
                    <a:pos x="15056" y="4096"/>
                  </a:cxn>
                  <a:cxn ang="0">
                    <a:pos x="15056" y="4608"/>
                  </a:cxn>
                  <a:cxn ang="0">
                    <a:pos x="15056" y="5120"/>
                  </a:cxn>
                  <a:cxn ang="0">
                    <a:pos x="14613" y="5120"/>
                  </a:cxn>
                  <a:cxn ang="0">
                    <a:pos x="14613" y="5632"/>
                  </a:cxn>
                  <a:cxn ang="0">
                    <a:pos x="14613" y="6656"/>
                  </a:cxn>
                  <a:cxn ang="0">
                    <a:pos x="14613" y="7168"/>
                  </a:cxn>
                  <a:cxn ang="0">
                    <a:pos x="14613" y="7680"/>
                  </a:cxn>
                  <a:cxn ang="0">
                    <a:pos x="14613" y="8704"/>
                  </a:cxn>
                  <a:cxn ang="0">
                    <a:pos x="14613" y="9216"/>
                  </a:cxn>
                  <a:cxn ang="0">
                    <a:pos x="14613" y="9728"/>
                  </a:cxn>
                  <a:cxn ang="0">
                    <a:pos x="14613" y="10240"/>
                  </a:cxn>
                  <a:cxn ang="0">
                    <a:pos x="15056" y="11264"/>
                  </a:cxn>
                  <a:cxn ang="0">
                    <a:pos x="15056" y="11776"/>
                  </a:cxn>
                  <a:cxn ang="0">
                    <a:pos x="15056" y="12288"/>
                  </a:cxn>
                  <a:cxn ang="0">
                    <a:pos x="15056" y="12800"/>
                  </a:cxn>
                  <a:cxn ang="0">
                    <a:pos x="15498" y="13824"/>
                  </a:cxn>
                  <a:cxn ang="0">
                    <a:pos x="15498" y="14336"/>
                  </a:cxn>
                  <a:cxn ang="0">
                    <a:pos x="15498" y="14848"/>
                  </a:cxn>
                  <a:cxn ang="0">
                    <a:pos x="16384" y="14848"/>
                  </a:cxn>
                  <a:cxn ang="0">
                    <a:pos x="16384" y="15872"/>
                  </a:cxn>
                  <a:cxn ang="0">
                    <a:pos x="16384" y="16384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0"/>
                    </a:lnTo>
                    <a:lnTo>
                      <a:pt x="16384" y="512"/>
                    </a:lnTo>
                    <a:lnTo>
                      <a:pt x="15498" y="1024"/>
                    </a:lnTo>
                    <a:lnTo>
                      <a:pt x="15498" y="2048"/>
                    </a:lnTo>
                    <a:lnTo>
                      <a:pt x="15498" y="2560"/>
                    </a:lnTo>
                    <a:lnTo>
                      <a:pt x="15056" y="3072"/>
                    </a:lnTo>
                    <a:lnTo>
                      <a:pt x="15056" y="4096"/>
                    </a:lnTo>
                    <a:lnTo>
                      <a:pt x="15056" y="4608"/>
                    </a:lnTo>
                    <a:lnTo>
                      <a:pt x="15056" y="5120"/>
                    </a:lnTo>
                    <a:lnTo>
                      <a:pt x="14613" y="5120"/>
                    </a:lnTo>
                    <a:lnTo>
                      <a:pt x="14613" y="5632"/>
                    </a:lnTo>
                    <a:lnTo>
                      <a:pt x="14613" y="6656"/>
                    </a:lnTo>
                    <a:lnTo>
                      <a:pt x="14613" y="7168"/>
                    </a:lnTo>
                    <a:lnTo>
                      <a:pt x="14613" y="7680"/>
                    </a:lnTo>
                    <a:lnTo>
                      <a:pt x="14613" y="8704"/>
                    </a:lnTo>
                    <a:lnTo>
                      <a:pt x="14613" y="9216"/>
                    </a:lnTo>
                    <a:lnTo>
                      <a:pt x="14613" y="9728"/>
                    </a:lnTo>
                    <a:lnTo>
                      <a:pt x="14613" y="10240"/>
                    </a:lnTo>
                    <a:lnTo>
                      <a:pt x="15056" y="11264"/>
                    </a:lnTo>
                    <a:lnTo>
                      <a:pt x="15056" y="11776"/>
                    </a:lnTo>
                    <a:lnTo>
                      <a:pt x="15056" y="12288"/>
                    </a:lnTo>
                    <a:lnTo>
                      <a:pt x="15056" y="12800"/>
                    </a:lnTo>
                    <a:lnTo>
                      <a:pt x="15498" y="13824"/>
                    </a:lnTo>
                    <a:lnTo>
                      <a:pt x="15498" y="14336"/>
                    </a:lnTo>
                    <a:lnTo>
                      <a:pt x="15498" y="14848"/>
                    </a:lnTo>
                    <a:lnTo>
                      <a:pt x="16384" y="14848"/>
                    </a:lnTo>
                    <a:lnTo>
                      <a:pt x="16384" y="15872"/>
                    </a:lnTo>
                    <a:lnTo>
                      <a:pt x="16384" y="16384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19" name="Объект 2180">
                <a:extLst>
                  <a:ext uri="{FF2B5EF4-FFF2-40B4-BE49-F238E27FC236}">
                    <a16:creationId xmlns:a16="http://schemas.microsoft.com/office/drawing/2014/main" id="{00000000-0008-0000-0E00-00001F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00000" y="2980000"/>
                <a:ext cx="140000" cy="8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0"/>
                  </a:cxn>
                  <a:cxn ang="0">
                    <a:pos x="0" y="512"/>
                  </a:cxn>
                  <a:cxn ang="0">
                    <a:pos x="443" y="512"/>
                  </a:cxn>
                  <a:cxn ang="0">
                    <a:pos x="443" y="1024"/>
                  </a:cxn>
                  <a:cxn ang="0">
                    <a:pos x="443" y="2048"/>
                  </a:cxn>
                  <a:cxn ang="0">
                    <a:pos x="886" y="2560"/>
                  </a:cxn>
                  <a:cxn ang="0">
                    <a:pos x="886" y="3072"/>
                  </a:cxn>
                  <a:cxn ang="0">
                    <a:pos x="886" y="4096"/>
                  </a:cxn>
                  <a:cxn ang="0">
                    <a:pos x="1771" y="4608"/>
                  </a:cxn>
                  <a:cxn ang="0">
                    <a:pos x="1771" y="5120"/>
                  </a:cxn>
                  <a:cxn ang="0">
                    <a:pos x="1771" y="5632"/>
                  </a:cxn>
                  <a:cxn ang="0">
                    <a:pos x="1771" y="6656"/>
                  </a:cxn>
                  <a:cxn ang="0">
                    <a:pos x="1771" y="7168"/>
                  </a:cxn>
                  <a:cxn ang="0">
                    <a:pos x="1771" y="7680"/>
                  </a:cxn>
                  <a:cxn ang="0">
                    <a:pos x="1771" y="8704"/>
                  </a:cxn>
                  <a:cxn ang="0">
                    <a:pos x="1771" y="9216"/>
                  </a:cxn>
                  <a:cxn ang="0">
                    <a:pos x="1771" y="9728"/>
                  </a:cxn>
                  <a:cxn ang="0">
                    <a:pos x="1771" y="10240"/>
                  </a:cxn>
                  <a:cxn ang="0">
                    <a:pos x="1771" y="11264"/>
                  </a:cxn>
                  <a:cxn ang="0">
                    <a:pos x="1771" y="11776"/>
                  </a:cxn>
                  <a:cxn ang="0">
                    <a:pos x="886" y="12288"/>
                  </a:cxn>
                  <a:cxn ang="0">
                    <a:pos x="886" y="12800"/>
                  </a:cxn>
                  <a:cxn ang="0">
                    <a:pos x="886" y="13824"/>
                  </a:cxn>
                  <a:cxn ang="0">
                    <a:pos x="443" y="14336"/>
                  </a:cxn>
                  <a:cxn ang="0">
                    <a:pos x="443" y="14848"/>
                  </a:cxn>
                  <a:cxn ang="0">
                    <a:pos x="0" y="15872"/>
                  </a:cxn>
                  <a:cxn ang="0">
                    <a:pos x="0" y="16384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0"/>
                    </a:lnTo>
                    <a:lnTo>
                      <a:pt x="0" y="512"/>
                    </a:lnTo>
                    <a:lnTo>
                      <a:pt x="443" y="512"/>
                    </a:lnTo>
                    <a:lnTo>
                      <a:pt x="443" y="1024"/>
                    </a:lnTo>
                    <a:lnTo>
                      <a:pt x="443" y="2048"/>
                    </a:lnTo>
                    <a:lnTo>
                      <a:pt x="886" y="2560"/>
                    </a:lnTo>
                    <a:lnTo>
                      <a:pt x="886" y="3072"/>
                    </a:lnTo>
                    <a:lnTo>
                      <a:pt x="886" y="4096"/>
                    </a:lnTo>
                    <a:lnTo>
                      <a:pt x="1771" y="4608"/>
                    </a:lnTo>
                    <a:lnTo>
                      <a:pt x="1771" y="5120"/>
                    </a:lnTo>
                    <a:lnTo>
                      <a:pt x="1771" y="5632"/>
                    </a:lnTo>
                    <a:lnTo>
                      <a:pt x="1771" y="6656"/>
                    </a:lnTo>
                    <a:lnTo>
                      <a:pt x="1771" y="7168"/>
                    </a:lnTo>
                    <a:lnTo>
                      <a:pt x="1771" y="7680"/>
                    </a:lnTo>
                    <a:lnTo>
                      <a:pt x="1771" y="8704"/>
                    </a:lnTo>
                    <a:lnTo>
                      <a:pt x="1771" y="9216"/>
                    </a:lnTo>
                    <a:lnTo>
                      <a:pt x="1771" y="9728"/>
                    </a:lnTo>
                    <a:lnTo>
                      <a:pt x="1771" y="10240"/>
                    </a:lnTo>
                    <a:lnTo>
                      <a:pt x="1771" y="11264"/>
                    </a:lnTo>
                    <a:lnTo>
                      <a:pt x="1771" y="11776"/>
                    </a:lnTo>
                    <a:lnTo>
                      <a:pt x="886" y="12288"/>
                    </a:lnTo>
                    <a:lnTo>
                      <a:pt x="886" y="12800"/>
                    </a:lnTo>
                    <a:lnTo>
                      <a:pt x="886" y="13824"/>
                    </a:lnTo>
                    <a:lnTo>
                      <a:pt x="443" y="14336"/>
                    </a:lnTo>
                    <a:lnTo>
                      <a:pt x="443" y="14848"/>
                    </a:lnTo>
                    <a:lnTo>
                      <a:pt x="0" y="15872"/>
                    </a:lnTo>
                    <a:lnTo>
                      <a:pt x="0" y="16384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20" name="Текст 2181">
                <a:extLst>
                  <a:ext uri="{FF2B5EF4-FFF2-40B4-BE49-F238E27FC236}">
                    <a16:creationId xmlns:a16="http://schemas.microsoft.com/office/drawing/2014/main" id="{00000000-0008-0000-0E00-000020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300000" y="236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 </a:t>
                </a:r>
              </a:p>
            </xdr:txBody>
          </xdr:sp>
          <xdr:sp macro="" textlink="">
            <xdr:nvSpPr>
              <xdr:cNvPr id="12321" name="Текст 2182">
                <a:extLst>
                  <a:ext uri="{FF2B5EF4-FFF2-40B4-BE49-F238E27FC236}">
                    <a16:creationId xmlns:a16="http://schemas.microsoft.com/office/drawing/2014/main" id="{00000000-0008-0000-0E00-000021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80000" y="262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4</a:t>
                </a:r>
              </a:p>
            </xdr:txBody>
          </xdr:sp>
          <xdr:sp macro="" textlink="">
            <xdr:nvSpPr>
              <xdr:cNvPr id="12322" name="Текст 2253">
                <a:extLst>
                  <a:ext uri="{FF2B5EF4-FFF2-40B4-BE49-F238E27FC236}">
                    <a16:creationId xmlns:a16="http://schemas.microsoft.com/office/drawing/2014/main" id="{00000000-0008-0000-0E00-000022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80000" y="166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2323" name="Текст 2254">
                <a:extLst>
                  <a:ext uri="{FF2B5EF4-FFF2-40B4-BE49-F238E27FC236}">
                    <a16:creationId xmlns:a16="http://schemas.microsoft.com/office/drawing/2014/main" id="{00000000-0008-0000-0E00-000023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40000" y="166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2324" name="Объект 2256">
                <a:extLst>
                  <a:ext uri="{FF2B5EF4-FFF2-40B4-BE49-F238E27FC236}">
                    <a16:creationId xmlns:a16="http://schemas.microsoft.com/office/drawing/2014/main" id="{00000000-0008-0000-0E00-000024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60000" y="148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16384"/>
                  </a:cxn>
                  <a:cxn ang="0">
                    <a:pos x="431" y="15360"/>
                  </a:cxn>
                  <a:cxn ang="0">
                    <a:pos x="431" y="14848"/>
                  </a:cxn>
                  <a:cxn ang="0">
                    <a:pos x="1293" y="14336"/>
                  </a:cxn>
                  <a:cxn ang="0">
                    <a:pos x="1293" y="13824"/>
                  </a:cxn>
                  <a:cxn ang="0">
                    <a:pos x="1293" y="12800"/>
                  </a:cxn>
                  <a:cxn ang="0">
                    <a:pos x="1725" y="12288"/>
                  </a:cxn>
                  <a:cxn ang="0">
                    <a:pos x="1725" y="11776"/>
                  </a:cxn>
                  <a:cxn ang="0">
                    <a:pos x="1725" y="10752"/>
                  </a:cxn>
                  <a:cxn ang="0">
                    <a:pos x="1725" y="10240"/>
                  </a:cxn>
                  <a:cxn ang="0">
                    <a:pos x="1725" y="9728"/>
                  </a:cxn>
                  <a:cxn ang="0">
                    <a:pos x="2156" y="9728"/>
                  </a:cxn>
                  <a:cxn ang="0">
                    <a:pos x="2156" y="9216"/>
                  </a:cxn>
                  <a:cxn ang="0">
                    <a:pos x="2156" y="8192"/>
                  </a:cxn>
                  <a:cxn ang="0">
                    <a:pos x="2156" y="7680"/>
                  </a:cxn>
                  <a:cxn ang="0">
                    <a:pos x="2156" y="7168"/>
                  </a:cxn>
                  <a:cxn ang="0">
                    <a:pos x="2156" y="6144"/>
                  </a:cxn>
                  <a:cxn ang="0">
                    <a:pos x="1725" y="5632"/>
                  </a:cxn>
                  <a:cxn ang="0">
                    <a:pos x="1725" y="5120"/>
                  </a:cxn>
                  <a:cxn ang="0">
                    <a:pos x="1725" y="4608"/>
                  </a:cxn>
                  <a:cxn ang="0">
                    <a:pos x="1725" y="3584"/>
                  </a:cxn>
                  <a:cxn ang="0">
                    <a:pos x="1725" y="3072"/>
                  </a:cxn>
                  <a:cxn ang="0">
                    <a:pos x="1293" y="2560"/>
                  </a:cxn>
                  <a:cxn ang="0">
                    <a:pos x="1293" y="2048"/>
                  </a:cxn>
                  <a:cxn ang="0">
                    <a:pos x="1293" y="1024"/>
                  </a:cxn>
                  <a:cxn ang="0">
                    <a:pos x="431" y="512"/>
                  </a:cxn>
                  <a:cxn ang="0">
                    <a:pos x="431" y="0"/>
                  </a:cxn>
                  <a:cxn ang="0">
                    <a:pos x="0" y="0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16384"/>
                    </a:lnTo>
                    <a:lnTo>
                      <a:pt x="431" y="15360"/>
                    </a:lnTo>
                    <a:lnTo>
                      <a:pt x="431" y="14848"/>
                    </a:lnTo>
                    <a:lnTo>
                      <a:pt x="1293" y="14336"/>
                    </a:lnTo>
                    <a:lnTo>
                      <a:pt x="1293" y="13824"/>
                    </a:lnTo>
                    <a:lnTo>
                      <a:pt x="1293" y="12800"/>
                    </a:lnTo>
                    <a:lnTo>
                      <a:pt x="1725" y="12288"/>
                    </a:lnTo>
                    <a:lnTo>
                      <a:pt x="1725" y="11776"/>
                    </a:lnTo>
                    <a:lnTo>
                      <a:pt x="1725" y="10752"/>
                    </a:lnTo>
                    <a:lnTo>
                      <a:pt x="1725" y="10240"/>
                    </a:lnTo>
                    <a:lnTo>
                      <a:pt x="1725" y="9728"/>
                    </a:lnTo>
                    <a:lnTo>
                      <a:pt x="2156" y="9728"/>
                    </a:lnTo>
                    <a:lnTo>
                      <a:pt x="2156" y="9216"/>
                    </a:lnTo>
                    <a:lnTo>
                      <a:pt x="2156" y="8192"/>
                    </a:lnTo>
                    <a:lnTo>
                      <a:pt x="2156" y="7680"/>
                    </a:lnTo>
                    <a:lnTo>
                      <a:pt x="2156" y="7168"/>
                    </a:lnTo>
                    <a:lnTo>
                      <a:pt x="2156" y="6144"/>
                    </a:lnTo>
                    <a:lnTo>
                      <a:pt x="1725" y="5632"/>
                    </a:lnTo>
                    <a:lnTo>
                      <a:pt x="1725" y="5120"/>
                    </a:lnTo>
                    <a:lnTo>
                      <a:pt x="1725" y="4608"/>
                    </a:lnTo>
                    <a:lnTo>
                      <a:pt x="1725" y="3584"/>
                    </a:lnTo>
                    <a:lnTo>
                      <a:pt x="1725" y="3072"/>
                    </a:lnTo>
                    <a:lnTo>
                      <a:pt x="1293" y="2560"/>
                    </a:lnTo>
                    <a:lnTo>
                      <a:pt x="1293" y="2048"/>
                    </a:lnTo>
                    <a:lnTo>
                      <a:pt x="1293" y="1024"/>
                    </a:lnTo>
                    <a:lnTo>
                      <a:pt x="431" y="512"/>
                    </a:lnTo>
                    <a:lnTo>
                      <a:pt x="431" y="0"/>
                    </a:lnTo>
                    <a:lnTo>
                      <a:pt x="0" y="0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25" name="Объект 2258">
                <a:extLst>
                  <a:ext uri="{FF2B5EF4-FFF2-40B4-BE49-F238E27FC236}">
                    <a16:creationId xmlns:a16="http://schemas.microsoft.com/office/drawing/2014/main" id="{00000000-0008-0000-0E00-000025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00000" y="148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16384"/>
                  </a:cxn>
                  <a:cxn ang="0">
                    <a:pos x="16384" y="15360"/>
                  </a:cxn>
                  <a:cxn ang="0">
                    <a:pos x="15941" y="14848"/>
                  </a:cxn>
                  <a:cxn ang="0">
                    <a:pos x="15941" y="14336"/>
                  </a:cxn>
                  <a:cxn ang="0">
                    <a:pos x="15498" y="13824"/>
                  </a:cxn>
                  <a:cxn ang="0">
                    <a:pos x="15498" y="12800"/>
                  </a:cxn>
                  <a:cxn ang="0">
                    <a:pos x="15498" y="12288"/>
                  </a:cxn>
                  <a:cxn ang="0">
                    <a:pos x="15498" y="11776"/>
                  </a:cxn>
                  <a:cxn ang="0">
                    <a:pos x="15056" y="10752"/>
                  </a:cxn>
                  <a:cxn ang="0">
                    <a:pos x="15056" y="10240"/>
                  </a:cxn>
                  <a:cxn ang="0">
                    <a:pos x="15056" y="9728"/>
                  </a:cxn>
                  <a:cxn ang="0">
                    <a:pos x="15056" y="9216"/>
                  </a:cxn>
                  <a:cxn ang="0">
                    <a:pos x="15056" y="8192"/>
                  </a:cxn>
                  <a:cxn ang="0">
                    <a:pos x="15056" y="7680"/>
                  </a:cxn>
                  <a:cxn ang="0">
                    <a:pos x="15056" y="7168"/>
                  </a:cxn>
                  <a:cxn ang="0">
                    <a:pos x="15056" y="6144"/>
                  </a:cxn>
                  <a:cxn ang="0">
                    <a:pos x="15056" y="5632"/>
                  </a:cxn>
                  <a:cxn ang="0">
                    <a:pos x="15056" y="5120"/>
                  </a:cxn>
                  <a:cxn ang="0">
                    <a:pos x="15056" y="4608"/>
                  </a:cxn>
                  <a:cxn ang="0">
                    <a:pos x="15498" y="4608"/>
                  </a:cxn>
                  <a:cxn ang="0">
                    <a:pos x="15498" y="3584"/>
                  </a:cxn>
                  <a:cxn ang="0">
                    <a:pos x="15498" y="3072"/>
                  </a:cxn>
                  <a:cxn ang="0">
                    <a:pos x="15498" y="2560"/>
                  </a:cxn>
                  <a:cxn ang="0">
                    <a:pos x="15498" y="2048"/>
                  </a:cxn>
                  <a:cxn ang="0">
                    <a:pos x="15941" y="2048"/>
                  </a:cxn>
                  <a:cxn ang="0">
                    <a:pos x="15941" y="1024"/>
                  </a:cxn>
                  <a:cxn ang="0">
                    <a:pos x="15941" y="512"/>
                  </a:cxn>
                  <a:cxn ang="0">
                    <a:pos x="16384" y="0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16384"/>
                    </a:lnTo>
                    <a:lnTo>
                      <a:pt x="16384" y="15360"/>
                    </a:lnTo>
                    <a:lnTo>
                      <a:pt x="15941" y="14848"/>
                    </a:lnTo>
                    <a:lnTo>
                      <a:pt x="15941" y="14336"/>
                    </a:lnTo>
                    <a:lnTo>
                      <a:pt x="15498" y="13824"/>
                    </a:lnTo>
                    <a:lnTo>
                      <a:pt x="15498" y="12800"/>
                    </a:lnTo>
                    <a:lnTo>
                      <a:pt x="15498" y="12288"/>
                    </a:lnTo>
                    <a:lnTo>
                      <a:pt x="15498" y="11776"/>
                    </a:lnTo>
                    <a:lnTo>
                      <a:pt x="15056" y="10752"/>
                    </a:lnTo>
                    <a:lnTo>
                      <a:pt x="15056" y="10240"/>
                    </a:lnTo>
                    <a:lnTo>
                      <a:pt x="15056" y="9728"/>
                    </a:lnTo>
                    <a:lnTo>
                      <a:pt x="15056" y="9216"/>
                    </a:lnTo>
                    <a:lnTo>
                      <a:pt x="15056" y="8192"/>
                    </a:lnTo>
                    <a:lnTo>
                      <a:pt x="15056" y="7680"/>
                    </a:lnTo>
                    <a:lnTo>
                      <a:pt x="15056" y="7168"/>
                    </a:lnTo>
                    <a:lnTo>
                      <a:pt x="15056" y="6144"/>
                    </a:lnTo>
                    <a:lnTo>
                      <a:pt x="15056" y="5632"/>
                    </a:lnTo>
                    <a:lnTo>
                      <a:pt x="15056" y="5120"/>
                    </a:lnTo>
                    <a:lnTo>
                      <a:pt x="15056" y="4608"/>
                    </a:lnTo>
                    <a:lnTo>
                      <a:pt x="15498" y="4608"/>
                    </a:lnTo>
                    <a:lnTo>
                      <a:pt x="15498" y="3584"/>
                    </a:lnTo>
                    <a:lnTo>
                      <a:pt x="15498" y="3072"/>
                    </a:lnTo>
                    <a:lnTo>
                      <a:pt x="15498" y="2560"/>
                    </a:lnTo>
                    <a:lnTo>
                      <a:pt x="15498" y="2048"/>
                    </a:lnTo>
                    <a:lnTo>
                      <a:pt x="15941" y="2048"/>
                    </a:lnTo>
                    <a:lnTo>
                      <a:pt x="15941" y="1024"/>
                    </a:lnTo>
                    <a:lnTo>
                      <a:pt x="15941" y="512"/>
                    </a:lnTo>
                    <a:lnTo>
                      <a:pt x="16384" y="0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26" name="Текст 2260">
                <a:extLst>
                  <a:ext uri="{FF2B5EF4-FFF2-40B4-BE49-F238E27FC236}">
                    <a16:creationId xmlns:a16="http://schemas.microsoft.com/office/drawing/2014/main" id="{00000000-0008-0000-0E00-000026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40000" y="114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12327" name="Объект 2261">
                <a:extLst>
                  <a:ext uri="{FF2B5EF4-FFF2-40B4-BE49-F238E27FC236}">
                    <a16:creationId xmlns:a16="http://schemas.microsoft.com/office/drawing/2014/main" id="{00000000-0008-0000-0E00-000027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80000" y="660000"/>
                <a:ext cx="480000" cy="26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8688" y="1638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8688" y="1638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28" name="Объект 2262">
                <a:extLst>
                  <a:ext uri="{FF2B5EF4-FFF2-40B4-BE49-F238E27FC236}">
                    <a16:creationId xmlns:a16="http://schemas.microsoft.com/office/drawing/2014/main" id="{00000000-0008-0000-0E00-0000283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20000" y="66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2288" y="16384"/>
                  </a:cxn>
                  <a:cxn ang="0">
                    <a:pos x="11378" y="15585"/>
                  </a:cxn>
                  <a:cxn ang="0">
                    <a:pos x="11378" y="15185"/>
                  </a:cxn>
                  <a:cxn ang="0">
                    <a:pos x="10923" y="14786"/>
                  </a:cxn>
                  <a:cxn ang="0">
                    <a:pos x="10923" y="13986"/>
                  </a:cxn>
                  <a:cxn ang="0">
                    <a:pos x="10468" y="13587"/>
                  </a:cxn>
                  <a:cxn ang="0">
                    <a:pos x="10012" y="13187"/>
                  </a:cxn>
                  <a:cxn ang="0">
                    <a:pos x="9102" y="12788"/>
                  </a:cxn>
                  <a:cxn ang="0">
                    <a:pos x="8647" y="11988"/>
                  </a:cxn>
                  <a:cxn ang="0">
                    <a:pos x="8192" y="11589"/>
                  </a:cxn>
                  <a:cxn ang="0">
                    <a:pos x="7282" y="11189"/>
                  </a:cxn>
                  <a:cxn ang="0">
                    <a:pos x="6827" y="11189"/>
                  </a:cxn>
                  <a:cxn ang="0">
                    <a:pos x="6827" y="10390"/>
                  </a:cxn>
                  <a:cxn ang="0">
                    <a:pos x="6372" y="10390"/>
                  </a:cxn>
                  <a:cxn ang="0">
                    <a:pos x="5916" y="9990"/>
                  </a:cxn>
                  <a:cxn ang="0">
                    <a:pos x="5006" y="9990"/>
                  </a:cxn>
                  <a:cxn ang="0">
                    <a:pos x="4551" y="9591"/>
                  </a:cxn>
                  <a:cxn ang="0">
                    <a:pos x="4096" y="9591"/>
                  </a:cxn>
                  <a:cxn ang="0">
                    <a:pos x="3186" y="9191"/>
                  </a:cxn>
                  <a:cxn ang="0">
                    <a:pos x="2731" y="9191"/>
                  </a:cxn>
                  <a:cxn ang="0">
                    <a:pos x="2276" y="9191"/>
                  </a:cxn>
                  <a:cxn ang="0">
                    <a:pos x="1820" y="8392"/>
                  </a:cxn>
                  <a:cxn ang="0">
                    <a:pos x="910" y="8392"/>
                  </a:cxn>
                  <a:cxn ang="0">
                    <a:pos x="455" y="8392"/>
                  </a:cxn>
                  <a:cxn ang="0">
                    <a:pos x="0" y="8392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2288" y="16384"/>
                    </a:lnTo>
                    <a:lnTo>
                      <a:pt x="11378" y="15585"/>
                    </a:lnTo>
                    <a:lnTo>
                      <a:pt x="11378" y="15185"/>
                    </a:lnTo>
                    <a:lnTo>
                      <a:pt x="10923" y="14786"/>
                    </a:lnTo>
                    <a:lnTo>
                      <a:pt x="10923" y="13986"/>
                    </a:lnTo>
                    <a:lnTo>
                      <a:pt x="10468" y="13587"/>
                    </a:lnTo>
                    <a:lnTo>
                      <a:pt x="10012" y="13187"/>
                    </a:lnTo>
                    <a:lnTo>
                      <a:pt x="9102" y="12788"/>
                    </a:lnTo>
                    <a:lnTo>
                      <a:pt x="8647" y="11988"/>
                    </a:lnTo>
                    <a:lnTo>
                      <a:pt x="8192" y="11589"/>
                    </a:lnTo>
                    <a:lnTo>
                      <a:pt x="7282" y="11189"/>
                    </a:lnTo>
                    <a:lnTo>
                      <a:pt x="6827" y="11189"/>
                    </a:lnTo>
                    <a:lnTo>
                      <a:pt x="6827" y="10390"/>
                    </a:lnTo>
                    <a:lnTo>
                      <a:pt x="6372" y="10390"/>
                    </a:lnTo>
                    <a:lnTo>
                      <a:pt x="5916" y="9990"/>
                    </a:lnTo>
                    <a:lnTo>
                      <a:pt x="5006" y="9990"/>
                    </a:lnTo>
                    <a:lnTo>
                      <a:pt x="4551" y="9591"/>
                    </a:lnTo>
                    <a:lnTo>
                      <a:pt x="4096" y="9591"/>
                    </a:lnTo>
                    <a:lnTo>
                      <a:pt x="3186" y="9191"/>
                    </a:lnTo>
                    <a:lnTo>
                      <a:pt x="2731" y="9191"/>
                    </a:lnTo>
                    <a:lnTo>
                      <a:pt x="2276" y="9191"/>
                    </a:lnTo>
                    <a:lnTo>
                      <a:pt x="1820" y="8392"/>
                    </a:lnTo>
                    <a:lnTo>
                      <a:pt x="910" y="8392"/>
                    </a:lnTo>
                    <a:lnTo>
                      <a:pt x="455" y="8392"/>
                    </a:lnTo>
                    <a:lnTo>
                      <a:pt x="0" y="8392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2329" name="Line 41">
                <a:extLst>
                  <a:ext uri="{FF2B5EF4-FFF2-40B4-BE49-F238E27FC236}">
                    <a16:creationId xmlns:a16="http://schemas.microsoft.com/office/drawing/2014/main" id="{00000000-0008-0000-0E00-000029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800000" y="240000"/>
                <a:ext cx="0" cy="364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2330" name="Line 42">
                <a:extLst>
                  <a:ext uri="{FF2B5EF4-FFF2-40B4-BE49-F238E27FC236}">
                    <a16:creationId xmlns:a16="http://schemas.microsoft.com/office/drawing/2014/main" id="{00000000-0008-0000-0E00-00002A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0000" y="2020000"/>
                <a:ext cx="162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2331" name="Line 43">
                <a:extLst>
                  <a:ext uri="{FF2B5EF4-FFF2-40B4-BE49-F238E27FC236}">
                    <a16:creationId xmlns:a16="http://schemas.microsoft.com/office/drawing/2014/main" id="{00000000-0008-0000-0E00-00002B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220000" y="1520000"/>
                <a:ext cx="3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332" name="Line 44">
                <a:extLst>
                  <a:ext uri="{FF2B5EF4-FFF2-40B4-BE49-F238E27FC236}">
                    <a16:creationId xmlns:a16="http://schemas.microsoft.com/office/drawing/2014/main" id="{00000000-0008-0000-0E00-00002C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020000" y="1520000"/>
                <a:ext cx="2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333" name="Line 45">
                <a:extLst>
                  <a:ext uri="{FF2B5EF4-FFF2-40B4-BE49-F238E27FC236}">
                    <a16:creationId xmlns:a16="http://schemas.microsoft.com/office/drawing/2014/main" id="{00000000-0008-0000-0E00-00002D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60000" y="2660000"/>
                <a:ext cx="30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334" name="Line 46">
                <a:extLst>
                  <a:ext uri="{FF2B5EF4-FFF2-40B4-BE49-F238E27FC236}">
                    <a16:creationId xmlns:a16="http://schemas.microsoft.com/office/drawing/2014/main" id="{00000000-0008-0000-0E00-00002E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80000" y="3720000"/>
                <a:ext cx="0" cy="14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335" name="Line 47">
                <a:extLst>
                  <a:ext uri="{FF2B5EF4-FFF2-40B4-BE49-F238E27FC236}">
                    <a16:creationId xmlns:a16="http://schemas.microsoft.com/office/drawing/2014/main" id="{00000000-0008-0000-0E00-00002F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80000" y="2920000"/>
                <a:ext cx="0" cy="46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336" name="Line 48">
                <a:extLst>
                  <a:ext uri="{FF2B5EF4-FFF2-40B4-BE49-F238E27FC236}">
                    <a16:creationId xmlns:a16="http://schemas.microsoft.com/office/drawing/2014/main" id="{00000000-0008-0000-0E00-000030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40000" y="480000"/>
                <a:ext cx="58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337" name="Line 49">
                <a:extLst>
                  <a:ext uri="{FF2B5EF4-FFF2-40B4-BE49-F238E27FC236}">
                    <a16:creationId xmlns:a16="http://schemas.microsoft.com/office/drawing/2014/main" id="{00000000-0008-0000-0E00-0000313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00000" y="3620000"/>
                <a:ext cx="62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342" name="Текст 54">
                <a:extLst>
                  <a:ext uri="{FF2B5EF4-FFF2-40B4-BE49-F238E27FC236}">
                    <a16:creationId xmlns:a16="http://schemas.microsoft.com/office/drawing/2014/main" id="{00000000-0008-0000-0E00-0000363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00000" y="410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800000"/>
                    </a:solidFill>
                    <a:latin typeface="Arial Cyr"/>
                    <a:cs typeface="Arial Cyr"/>
                  </a:rPr>
                  <a:t>8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</xdr:row>
          <xdr:rowOff>85725</xdr:rowOff>
        </xdr:from>
        <xdr:to>
          <xdr:col>20</xdr:col>
          <xdr:colOff>133350</xdr:colOff>
          <xdr:row>2</xdr:row>
          <xdr:rowOff>114300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3</xdr:row>
          <xdr:rowOff>9525</xdr:rowOff>
        </xdr:from>
        <xdr:to>
          <xdr:col>16</xdr:col>
          <xdr:colOff>209550</xdr:colOff>
          <xdr:row>4</xdr:row>
          <xdr:rowOff>47625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57150</xdr:rowOff>
        </xdr:from>
        <xdr:to>
          <xdr:col>16</xdr:col>
          <xdr:colOff>323850</xdr:colOff>
          <xdr:row>0</xdr:row>
          <xdr:rowOff>209550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E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161925</xdr:colOff>
      <xdr:row>0</xdr:row>
      <xdr:rowOff>0</xdr:rowOff>
    </xdr:from>
    <xdr:ext cx="180975" cy="238125"/>
    <xdr:sp macro="" textlink="">
      <xdr:nvSpPr>
        <xdr:cNvPr id="13329" name="Текст 2163">
          <a:extLst>
            <a:ext uri="{FF2B5EF4-FFF2-40B4-BE49-F238E27FC236}">
              <a16:creationId xmlns:a16="http://schemas.microsoft.com/office/drawing/2014/main" id="{00000000-0008-0000-0F00-000011340000}"/>
            </a:ext>
          </a:extLst>
        </xdr:cNvPr>
        <xdr:cNvSpPr txBox="1">
          <a:spLocks noChangeArrowheads="1"/>
        </xdr:cNvSpPr>
      </xdr:nvSpPr>
      <xdr:spPr bwMode="auto">
        <a:xfrm>
          <a:off x="876300" y="0"/>
          <a:ext cx="1809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Arial Cyr"/>
              <a:cs typeface="Arial Cyr"/>
            </a:rPr>
            <a:t>y</a:t>
          </a:r>
        </a:p>
      </xdr:txBody>
    </xdr:sp>
    <xdr:clientData/>
  </xdr:oneCellAnchor>
  <xdr:twoCellAnchor editAs="oneCell">
    <xdr:from>
      <xdr:col>0</xdr:col>
      <xdr:colOff>85725</xdr:colOff>
      <xdr:row>0</xdr:row>
      <xdr:rowOff>57150</xdr:rowOff>
    </xdr:from>
    <xdr:to>
      <xdr:col>25</xdr:col>
      <xdr:colOff>381000</xdr:colOff>
      <xdr:row>37</xdr:row>
      <xdr:rowOff>104775</xdr:rowOff>
    </xdr:to>
    <xdr:grpSp>
      <xdr:nvGrpSpPr>
        <xdr:cNvPr id="13362" name="Group 50">
          <a:extLst>
            <a:ext uri="{FF2B5EF4-FFF2-40B4-BE49-F238E27FC236}">
              <a16:creationId xmlns:a16="http://schemas.microsoft.com/office/drawing/2014/main" id="{00000000-0008-0000-0F00-000032340000}"/>
            </a:ext>
          </a:extLst>
        </xdr:cNvPr>
        <xdr:cNvGrpSpPr>
          <a:grpSpLocks/>
        </xdr:cNvGrpSpPr>
      </xdr:nvGrpSpPr>
      <xdr:grpSpPr bwMode="auto">
        <a:xfrm>
          <a:off x="85725" y="57150"/>
          <a:ext cx="10563225" cy="6438900"/>
          <a:chOff x="-526" y="-4"/>
          <a:chExt cx="19962" cy="676"/>
        </a:xfrm>
      </xdr:grpSpPr>
      <xdr:sp macro="" textlink="">
        <xdr:nvSpPr>
          <xdr:cNvPr id="13363" name="Rectangle 51">
            <a:extLst>
              <a:ext uri="{FF2B5EF4-FFF2-40B4-BE49-F238E27FC236}">
                <a16:creationId xmlns:a16="http://schemas.microsoft.com/office/drawing/2014/main" id="{00000000-0008-0000-0F00-000033340000}"/>
              </a:ext>
            </a:extLst>
          </xdr:cNvPr>
          <xdr:cNvSpPr>
            <a:spLocks noChangeArrowheads="1"/>
          </xdr:cNvSpPr>
        </xdr:nvSpPr>
        <xdr:spPr bwMode="auto">
          <a:xfrm>
            <a:off x="17096" y="464"/>
            <a:ext cx="2340" cy="198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3364" name="Group 52">
            <a:extLst>
              <a:ext uri="{FF2B5EF4-FFF2-40B4-BE49-F238E27FC236}">
                <a16:creationId xmlns:a16="http://schemas.microsoft.com/office/drawing/2014/main" id="{00000000-0008-0000-0F00-000034340000}"/>
              </a:ext>
            </a:extLst>
          </xdr:cNvPr>
          <xdr:cNvGrpSpPr>
            <a:grpSpLocks/>
          </xdr:cNvGrpSpPr>
        </xdr:nvGrpSpPr>
        <xdr:grpSpPr bwMode="auto">
          <a:xfrm>
            <a:off x="-526" y="-4"/>
            <a:ext cx="19890" cy="676"/>
            <a:chOff x="180000" y="120000"/>
            <a:chExt cx="22100000" cy="13520000"/>
          </a:xfrm>
        </xdr:grpSpPr>
        <xdr:sp macro="" textlink="">
          <xdr:nvSpPr>
            <xdr:cNvPr id="13365" name="Объект 1972">
              <a:extLst>
                <a:ext uri="{FF2B5EF4-FFF2-40B4-BE49-F238E27FC236}">
                  <a16:creationId xmlns:a16="http://schemas.microsoft.com/office/drawing/2014/main" id="{00000000-0008-0000-0F00-000035340000}"/>
                </a:ext>
              </a:extLst>
            </xdr:cNvPr>
            <xdr:cNvSpPr>
              <a:spLocks/>
            </xdr:cNvSpPr>
          </xdr:nvSpPr>
          <xdr:spPr bwMode="auto">
            <a:xfrm>
              <a:off x="20520000" y="9840000"/>
              <a:ext cx="1700000" cy="2820000"/>
            </a:xfrm>
            <a:custGeom>
              <a:avLst/>
              <a:gdLst/>
              <a:ahLst/>
              <a:cxnLst>
                <a:cxn ang="0">
                  <a:pos x="16384" y="767"/>
                </a:cxn>
                <a:cxn ang="0">
                  <a:pos x="16384" y="0"/>
                </a:cxn>
                <a:cxn ang="0">
                  <a:pos x="0" y="0"/>
                </a:cxn>
                <a:cxn ang="0">
                  <a:pos x="0" y="767"/>
                </a:cxn>
                <a:cxn ang="0">
                  <a:pos x="6076" y="767"/>
                </a:cxn>
                <a:cxn ang="0">
                  <a:pos x="6510" y="782"/>
                </a:cxn>
                <a:cxn ang="0">
                  <a:pos x="6836" y="827"/>
                </a:cxn>
                <a:cxn ang="0">
                  <a:pos x="7125" y="887"/>
                </a:cxn>
                <a:cxn ang="0">
                  <a:pos x="7270" y="962"/>
                </a:cxn>
                <a:cxn ang="0">
                  <a:pos x="7414" y="1037"/>
                </a:cxn>
                <a:cxn ang="0">
                  <a:pos x="7451" y="1157"/>
                </a:cxn>
                <a:cxn ang="0">
                  <a:pos x="7487" y="1293"/>
                </a:cxn>
                <a:cxn ang="0">
                  <a:pos x="7487" y="1428"/>
                </a:cxn>
                <a:cxn ang="0">
                  <a:pos x="7487" y="3096"/>
                </a:cxn>
                <a:cxn ang="0">
                  <a:pos x="7487" y="4795"/>
                </a:cxn>
                <a:cxn ang="0">
                  <a:pos x="7487" y="6478"/>
                </a:cxn>
                <a:cxn ang="0">
                  <a:pos x="7487" y="8177"/>
                </a:cxn>
                <a:cxn ang="0">
                  <a:pos x="7487" y="9875"/>
                </a:cxn>
                <a:cxn ang="0">
                  <a:pos x="7487" y="11559"/>
                </a:cxn>
                <a:cxn ang="0">
                  <a:pos x="7487" y="13242"/>
                </a:cxn>
                <a:cxn ang="0">
                  <a:pos x="7487" y="14911"/>
                </a:cxn>
                <a:cxn ang="0">
                  <a:pos x="7487" y="15046"/>
                </a:cxn>
                <a:cxn ang="0">
                  <a:pos x="7451" y="15182"/>
                </a:cxn>
                <a:cxn ang="0">
                  <a:pos x="7414" y="15302"/>
                </a:cxn>
                <a:cxn ang="0">
                  <a:pos x="7306" y="15392"/>
                </a:cxn>
                <a:cxn ang="0">
                  <a:pos x="7161" y="15497"/>
                </a:cxn>
                <a:cxn ang="0">
                  <a:pos x="6944" y="15557"/>
                </a:cxn>
                <a:cxn ang="0">
                  <a:pos x="6691" y="15602"/>
                </a:cxn>
                <a:cxn ang="0">
                  <a:pos x="6402" y="15602"/>
                </a:cxn>
                <a:cxn ang="0">
                  <a:pos x="0" y="15602"/>
                </a:cxn>
                <a:cxn ang="0">
                  <a:pos x="0" y="16384"/>
                </a:cxn>
                <a:cxn ang="0">
                  <a:pos x="16384" y="16384"/>
                </a:cxn>
                <a:cxn ang="0">
                  <a:pos x="16384" y="15602"/>
                </a:cxn>
                <a:cxn ang="0">
                  <a:pos x="10380" y="15602"/>
                </a:cxn>
                <a:cxn ang="0">
                  <a:pos x="9946" y="15602"/>
                </a:cxn>
                <a:cxn ang="0">
                  <a:pos x="9657" y="15572"/>
                </a:cxn>
                <a:cxn ang="0">
                  <a:pos x="9440" y="15497"/>
                </a:cxn>
                <a:cxn ang="0">
                  <a:pos x="9259" y="15422"/>
                </a:cxn>
                <a:cxn ang="0">
                  <a:pos x="9150" y="15302"/>
                </a:cxn>
                <a:cxn ang="0">
                  <a:pos x="9114" y="15182"/>
                </a:cxn>
                <a:cxn ang="0">
                  <a:pos x="9078" y="15046"/>
                </a:cxn>
                <a:cxn ang="0">
                  <a:pos x="9078" y="14911"/>
                </a:cxn>
                <a:cxn ang="0">
                  <a:pos x="9078" y="13273"/>
                </a:cxn>
                <a:cxn ang="0">
                  <a:pos x="9078" y="11589"/>
                </a:cxn>
                <a:cxn ang="0">
                  <a:pos x="9078" y="9891"/>
                </a:cxn>
                <a:cxn ang="0">
                  <a:pos x="9078" y="8177"/>
                </a:cxn>
                <a:cxn ang="0">
                  <a:pos x="9078" y="6463"/>
                </a:cxn>
                <a:cxn ang="0">
                  <a:pos x="9078" y="4750"/>
                </a:cxn>
                <a:cxn ang="0">
                  <a:pos x="9078" y="3081"/>
                </a:cxn>
                <a:cxn ang="0">
                  <a:pos x="9078" y="1428"/>
                </a:cxn>
                <a:cxn ang="0">
                  <a:pos x="9078" y="1263"/>
                </a:cxn>
                <a:cxn ang="0">
                  <a:pos x="9114" y="1127"/>
                </a:cxn>
                <a:cxn ang="0">
                  <a:pos x="9150" y="1037"/>
                </a:cxn>
                <a:cxn ang="0">
                  <a:pos x="9259" y="947"/>
                </a:cxn>
                <a:cxn ang="0">
                  <a:pos x="9404" y="857"/>
                </a:cxn>
                <a:cxn ang="0">
                  <a:pos x="9621" y="827"/>
                </a:cxn>
                <a:cxn ang="0">
                  <a:pos x="9946" y="782"/>
                </a:cxn>
                <a:cxn ang="0">
                  <a:pos x="10380" y="767"/>
                </a:cxn>
                <a:cxn ang="0">
                  <a:pos x="16384" y="767"/>
                </a:cxn>
              </a:cxnLst>
              <a:rect l="0" t="0" r="r" b="b"/>
              <a:pathLst>
                <a:path w="16384" h="16384">
                  <a:moveTo>
                    <a:pt x="16384" y="767"/>
                  </a:moveTo>
                  <a:lnTo>
                    <a:pt x="16384" y="0"/>
                  </a:lnTo>
                  <a:lnTo>
                    <a:pt x="0" y="0"/>
                  </a:lnTo>
                  <a:lnTo>
                    <a:pt x="0" y="767"/>
                  </a:lnTo>
                  <a:lnTo>
                    <a:pt x="6076" y="767"/>
                  </a:lnTo>
                  <a:lnTo>
                    <a:pt x="6510" y="782"/>
                  </a:lnTo>
                  <a:lnTo>
                    <a:pt x="6836" y="827"/>
                  </a:lnTo>
                  <a:lnTo>
                    <a:pt x="7125" y="887"/>
                  </a:lnTo>
                  <a:lnTo>
                    <a:pt x="7270" y="962"/>
                  </a:lnTo>
                  <a:lnTo>
                    <a:pt x="7414" y="1037"/>
                  </a:lnTo>
                  <a:lnTo>
                    <a:pt x="7451" y="1157"/>
                  </a:lnTo>
                  <a:lnTo>
                    <a:pt x="7487" y="1293"/>
                  </a:lnTo>
                  <a:lnTo>
                    <a:pt x="7487" y="1428"/>
                  </a:lnTo>
                  <a:lnTo>
                    <a:pt x="7487" y="3096"/>
                  </a:lnTo>
                  <a:lnTo>
                    <a:pt x="7487" y="4795"/>
                  </a:lnTo>
                  <a:lnTo>
                    <a:pt x="7487" y="6478"/>
                  </a:lnTo>
                  <a:lnTo>
                    <a:pt x="7487" y="8177"/>
                  </a:lnTo>
                  <a:lnTo>
                    <a:pt x="7487" y="9875"/>
                  </a:lnTo>
                  <a:lnTo>
                    <a:pt x="7487" y="11559"/>
                  </a:lnTo>
                  <a:lnTo>
                    <a:pt x="7487" y="13242"/>
                  </a:lnTo>
                  <a:lnTo>
                    <a:pt x="7487" y="14911"/>
                  </a:lnTo>
                  <a:lnTo>
                    <a:pt x="7487" y="15046"/>
                  </a:lnTo>
                  <a:lnTo>
                    <a:pt x="7451" y="15182"/>
                  </a:lnTo>
                  <a:lnTo>
                    <a:pt x="7414" y="15302"/>
                  </a:lnTo>
                  <a:lnTo>
                    <a:pt x="7306" y="15392"/>
                  </a:lnTo>
                  <a:lnTo>
                    <a:pt x="7161" y="15497"/>
                  </a:lnTo>
                  <a:lnTo>
                    <a:pt x="6944" y="15557"/>
                  </a:lnTo>
                  <a:lnTo>
                    <a:pt x="6691" y="15602"/>
                  </a:lnTo>
                  <a:lnTo>
                    <a:pt x="6402" y="15602"/>
                  </a:lnTo>
                  <a:lnTo>
                    <a:pt x="0" y="15602"/>
                  </a:lnTo>
                  <a:lnTo>
                    <a:pt x="0" y="16384"/>
                  </a:lnTo>
                  <a:lnTo>
                    <a:pt x="16384" y="16384"/>
                  </a:lnTo>
                  <a:lnTo>
                    <a:pt x="16384" y="15602"/>
                  </a:lnTo>
                  <a:lnTo>
                    <a:pt x="10380" y="15602"/>
                  </a:lnTo>
                  <a:lnTo>
                    <a:pt x="9946" y="15602"/>
                  </a:lnTo>
                  <a:lnTo>
                    <a:pt x="9657" y="15572"/>
                  </a:lnTo>
                  <a:lnTo>
                    <a:pt x="9440" y="15497"/>
                  </a:lnTo>
                  <a:lnTo>
                    <a:pt x="9259" y="15422"/>
                  </a:lnTo>
                  <a:lnTo>
                    <a:pt x="9150" y="15302"/>
                  </a:lnTo>
                  <a:lnTo>
                    <a:pt x="9114" y="15182"/>
                  </a:lnTo>
                  <a:lnTo>
                    <a:pt x="9078" y="15046"/>
                  </a:lnTo>
                  <a:lnTo>
                    <a:pt x="9078" y="14911"/>
                  </a:lnTo>
                  <a:lnTo>
                    <a:pt x="9078" y="13273"/>
                  </a:lnTo>
                  <a:lnTo>
                    <a:pt x="9078" y="11589"/>
                  </a:lnTo>
                  <a:lnTo>
                    <a:pt x="9078" y="9891"/>
                  </a:lnTo>
                  <a:lnTo>
                    <a:pt x="9078" y="8177"/>
                  </a:lnTo>
                  <a:lnTo>
                    <a:pt x="9078" y="6463"/>
                  </a:lnTo>
                  <a:lnTo>
                    <a:pt x="9078" y="4750"/>
                  </a:lnTo>
                  <a:lnTo>
                    <a:pt x="9078" y="3081"/>
                  </a:lnTo>
                  <a:lnTo>
                    <a:pt x="9078" y="1428"/>
                  </a:lnTo>
                  <a:lnTo>
                    <a:pt x="9078" y="1263"/>
                  </a:lnTo>
                  <a:lnTo>
                    <a:pt x="9114" y="1127"/>
                  </a:lnTo>
                  <a:lnTo>
                    <a:pt x="9150" y="1037"/>
                  </a:lnTo>
                  <a:lnTo>
                    <a:pt x="9259" y="947"/>
                  </a:lnTo>
                  <a:lnTo>
                    <a:pt x="9404" y="857"/>
                  </a:lnTo>
                  <a:lnTo>
                    <a:pt x="9621" y="827"/>
                  </a:lnTo>
                  <a:lnTo>
                    <a:pt x="9946" y="782"/>
                  </a:lnTo>
                  <a:lnTo>
                    <a:pt x="10380" y="767"/>
                  </a:lnTo>
                  <a:lnTo>
                    <a:pt x="16384" y="767"/>
                  </a:lnTo>
                  <a:close/>
                </a:path>
              </a:pathLst>
            </a:custGeom>
            <a:solidFill>
              <a:srgbClr val="CCCCFF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66" name="Объект 1973">
              <a:extLst>
                <a:ext uri="{FF2B5EF4-FFF2-40B4-BE49-F238E27FC236}">
                  <a16:creationId xmlns:a16="http://schemas.microsoft.com/office/drawing/2014/main" id="{00000000-0008-0000-0F00-000036340000}"/>
                </a:ext>
              </a:extLst>
            </xdr:cNvPr>
            <xdr:cNvSpPr>
              <a:spLocks/>
            </xdr:cNvSpPr>
          </xdr:nvSpPr>
          <xdr:spPr bwMode="auto">
            <a:xfrm>
              <a:off x="20520000" y="9840000"/>
              <a:ext cx="1700000" cy="2820000"/>
            </a:xfrm>
            <a:custGeom>
              <a:avLst/>
              <a:gdLst/>
              <a:ahLst/>
              <a:cxnLst>
                <a:cxn ang="0">
                  <a:pos x="16384" y="767"/>
                </a:cxn>
                <a:cxn ang="0">
                  <a:pos x="16384" y="0"/>
                </a:cxn>
                <a:cxn ang="0">
                  <a:pos x="0" y="0"/>
                </a:cxn>
                <a:cxn ang="0">
                  <a:pos x="0" y="767"/>
                </a:cxn>
                <a:cxn ang="0">
                  <a:pos x="6076" y="767"/>
                </a:cxn>
                <a:cxn ang="0">
                  <a:pos x="6510" y="782"/>
                </a:cxn>
                <a:cxn ang="0">
                  <a:pos x="6836" y="827"/>
                </a:cxn>
                <a:cxn ang="0">
                  <a:pos x="7125" y="887"/>
                </a:cxn>
                <a:cxn ang="0">
                  <a:pos x="7270" y="962"/>
                </a:cxn>
                <a:cxn ang="0">
                  <a:pos x="7414" y="1037"/>
                </a:cxn>
                <a:cxn ang="0">
                  <a:pos x="7451" y="1157"/>
                </a:cxn>
                <a:cxn ang="0">
                  <a:pos x="7487" y="1293"/>
                </a:cxn>
                <a:cxn ang="0">
                  <a:pos x="7487" y="1428"/>
                </a:cxn>
                <a:cxn ang="0">
                  <a:pos x="7487" y="3096"/>
                </a:cxn>
                <a:cxn ang="0">
                  <a:pos x="7487" y="4795"/>
                </a:cxn>
                <a:cxn ang="0">
                  <a:pos x="7487" y="6478"/>
                </a:cxn>
                <a:cxn ang="0">
                  <a:pos x="7487" y="8177"/>
                </a:cxn>
                <a:cxn ang="0">
                  <a:pos x="7487" y="9875"/>
                </a:cxn>
                <a:cxn ang="0">
                  <a:pos x="7487" y="11559"/>
                </a:cxn>
                <a:cxn ang="0">
                  <a:pos x="7487" y="13242"/>
                </a:cxn>
                <a:cxn ang="0">
                  <a:pos x="7487" y="14911"/>
                </a:cxn>
                <a:cxn ang="0">
                  <a:pos x="7487" y="15046"/>
                </a:cxn>
                <a:cxn ang="0">
                  <a:pos x="7451" y="15182"/>
                </a:cxn>
                <a:cxn ang="0">
                  <a:pos x="7414" y="15302"/>
                </a:cxn>
                <a:cxn ang="0">
                  <a:pos x="7306" y="15392"/>
                </a:cxn>
                <a:cxn ang="0">
                  <a:pos x="7161" y="15497"/>
                </a:cxn>
                <a:cxn ang="0">
                  <a:pos x="6944" y="15557"/>
                </a:cxn>
                <a:cxn ang="0">
                  <a:pos x="6691" y="15602"/>
                </a:cxn>
                <a:cxn ang="0">
                  <a:pos x="6402" y="15602"/>
                </a:cxn>
                <a:cxn ang="0">
                  <a:pos x="0" y="15602"/>
                </a:cxn>
                <a:cxn ang="0">
                  <a:pos x="0" y="16384"/>
                </a:cxn>
                <a:cxn ang="0">
                  <a:pos x="16384" y="16384"/>
                </a:cxn>
                <a:cxn ang="0">
                  <a:pos x="16384" y="15602"/>
                </a:cxn>
                <a:cxn ang="0">
                  <a:pos x="10380" y="15602"/>
                </a:cxn>
                <a:cxn ang="0">
                  <a:pos x="9946" y="15602"/>
                </a:cxn>
                <a:cxn ang="0">
                  <a:pos x="9657" y="15572"/>
                </a:cxn>
                <a:cxn ang="0">
                  <a:pos x="9440" y="15497"/>
                </a:cxn>
                <a:cxn ang="0">
                  <a:pos x="9259" y="15422"/>
                </a:cxn>
                <a:cxn ang="0">
                  <a:pos x="9150" y="15302"/>
                </a:cxn>
                <a:cxn ang="0">
                  <a:pos x="9114" y="15182"/>
                </a:cxn>
                <a:cxn ang="0">
                  <a:pos x="9078" y="15046"/>
                </a:cxn>
                <a:cxn ang="0">
                  <a:pos x="9078" y="14911"/>
                </a:cxn>
                <a:cxn ang="0">
                  <a:pos x="9078" y="13273"/>
                </a:cxn>
                <a:cxn ang="0">
                  <a:pos x="9078" y="11589"/>
                </a:cxn>
                <a:cxn ang="0">
                  <a:pos x="9078" y="9891"/>
                </a:cxn>
                <a:cxn ang="0">
                  <a:pos x="9078" y="8177"/>
                </a:cxn>
                <a:cxn ang="0">
                  <a:pos x="9078" y="6463"/>
                </a:cxn>
                <a:cxn ang="0">
                  <a:pos x="9078" y="4750"/>
                </a:cxn>
                <a:cxn ang="0">
                  <a:pos x="9078" y="3081"/>
                </a:cxn>
                <a:cxn ang="0">
                  <a:pos x="9078" y="1428"/>
                </a:cxn>
                <a:cxn ang="0">
                  <a:pos x="9078" y="1263"/>
                </a:cxn>
                <a:cxn ang="0">
                  <a:pos x="9114" y="1127"/>
                </a:cxn>
                <a:cxn ang="0">
                  <a:pos x="9150" y="1037"/>
                </a:cxn>
                <a:cxn ang="0">
                  <a:pos x="9259" y="947"/>
                </a:cxn>
                <a:cxn ang="0">
                  <a:pos x="9404" y="857"/>
                </a:cxn>
                <a:cxn ang="0">
                  <a:pos x="9621" y="827"/>
                </a:cxn>
                <a:cxn ang="0">
                  <a:pos x="9946" y="782"/>
                </a:cxn>
                <a:cxn ang="0">
                  <a:pos x="10380" y="767"/>
                </a:cxn>
                <a:cxn ang="0">
                  <a:pos x="16384" y="767"/>
                </a:cxn>
              </a:cxnLst>
              <a:rect l="0" t="0" r="r" b="b"/>
              <a:pathLst>
                <a:path w="16384" h="16384">
                  <a:moveTo>
                    <a:pt x="16384" y="767"/>
                  </a:moveTo>
                  <a:lnTo>
                    <a:pt x="16384" y="0"/>
                  </a:lnTo>
                  <a:lnTo>
                    <a:pt x="0" y="0"/>
                  </a:lnTo>
                  <a:lnTo>
                    <a:pt x="0" y="767"/>
                  </a:lnTo>
                  <a:lnTo>
                    <a:pt x="6076" y="767"/>
                  </a:lnTo>
                  <a:lnTo>
                    <a:pt x="6510" y="782"/>
                  </a:lnTo>
                  <a:lnTo>
                    <a:pt x="6836" y="827"/>
                  </a:lnTo>
                  <a:lnTo>
                    <a:pt x="7125" y="887"/>
                  </a:lnTo>
                  <a:lnTo>
                    <a:pt x="7270" y="962"/>
                  </a:lnTo>
                  <a:lnTo>
                    <a:pt x="7414" y="1037"/>
                  </a:lnTo>
                  <a:lnTo>
                    <a:pt x="7451" y="1157"/>
                  </a:lnTo>
                  <a:lnTo>
                    <a:pt x="7487" y="1293"/>
                  </a:lnTo>
                  <a:lnTo>
                    <a:pt x="7487" y="1428"/>
                  </a:lnTo>
                  <a:lnTo>
                    <a:pt x="7487" y="3096"/>
                  </a:lnTo>
                  <a:lnTo>
                    <a:pt x="7487" y="4795"/>
                  </a:lnTo>
                  <a:lnTo>
                    <a:pt x="7487" y="6478"/>
                  </a:lnTo>
                  <a:lnTo>
                    <a:pt x="7487" y="8177"/>
                  </a:lnTo>
                  <a:lnTo>
                    <a:pt x="7487" y="9875"/>
                  </a:lnTo>
                  <a:lnTo>
                    <a:pt x="7487" y="11559"/>
                  </a:lnTo>
                  <a:lnTo>
                    <a:pt x="7487" y="13242"/>
                  </a:lnTo>
                  <a:lnTo>
                    <a:pt x="7487" y="14911"/>
                  </a:lnTo>
                  <a:lnTo>
                    <a:pt x="7487" y="15046"/>
                  </a:lnTo>
                  <a:lnTo>
                    <a:pt x="7451" y="15182"/>
                  </a:lnTo>
                  <a:lnTo>
                    <a:pt x="7414" y="15302"/>
                  </a:lnTo>
                  <a:lnTo>
                    <a:pt x="7306" y="15392"/>
                  </a:lnTo>
                  <a:lnTo>
                    <a:pt x="7161" y="15497"/>
                  </a:lnTo>
                  <a:lnTo>
                    <a:pt x="6944" y="15557"/>
                  </a:lnTo>
                  <a:lnTo>
                    <a:pt x="6691" y="15602"/>
                  </a:lnTo>
                  <a:lnTo>
                    <a:pt x="6402" y="15602"/>
                  </a:lnTo>
                  <a:lnTo>
                    <a:pt x="0" y="15602"/>
                  </a:lnTo>
                  <a:lnTo>
                    <a:pt x="0" y="16384"/>
                  </a:lnTo>
                  <a:lnTo>
                    <a:pt x="16384" y="16384"/>
                  </a:lnTo>
                  <a:lnTo>
                    <a:pt x="16384" y="15602"/>
                  </a:lnTo>
                  <a:lnTo>
                    <a:pt x="10380" y="15602"/>
                  </a:lnTo>
                  <a:lnTo>
                    <a:pt x="9946" y="15602"/>
                  </a:lnTo>
                  <a:lnTo>
                    <a:pt x="9657" y="15572"/>
                  </a:lnTo>
                  <a:lnTo>
                    <a:pt x="9440" y="15497"/>
                  </a:lnTo>
                  <a:lnTo>
                    <a:pt x="9259" y="15422"/>
                  </a:lnTo>
                  <a:lnTo>
                    <a:pt x="9150" y="15302"/>
                  </a:lnTo>
                  <a:lnTo>
                    <a:pt x="9114" y="15182"/>
                  </a:lnTo>
                  <a:lnTo>
                    <a:pt x="9078" y="15046"/>
                  </a:lnTo>
                  <a:lnTo>
                    <a:pt x="9078" y="14911"/>
                  </a:lnTo>
                  <a:lnTo>
                    <a:pt x="9078" y="13273"/>
                  </a:lnTo>
                  <a:lnTo>
                    <a:pt x="9078" y="11589"/>
                  </a:lnTo>
                  <a:lnTo>
                    <a:pt x="9078" y="9891"/>
                  </a:lnTo>
                  <a:lnTo>
                    <a:pt x="9078" y="8177"/>
                  </a:lnTo>
                  <a:lnTo>
                    <a:pt x="9078" y="6463"/>
                  </a:lnTo>
                  <a:lnTo>
                    <a:pt x="9078" y="4750"/>
                  </a:lnTo>
                  <a:lnTo>
                    <a:pt x="9078" y="3081"/>
                  </a:lnTo>
                  <a:lnTo>
                    <a:pt x="9078" y="1428"/>
                  </a:lnTo>
                  <a:lnTo>
                    <a:pt x="9078" y="1263"/>
                  </a:lnTo>
                  <a:lnTo>
                    <a:pt x="9114" y="1127"/>
                  </a:lnTo>
                  <a:lnTo>
                    <a:pt x="9150" y="1037"/>
                  </a:lnTo>
                  <a:lnTo>
                    <a:pt x="9259" y="947"/>
                  </a:lnTo>
                  <a:lnTo>
                    <a:pt x="9404" y="857"/>
                  </a:lnTo>
                  <a:lnTo>
                    <a:pt x="9621" y="827"/>
                  </a:lnTo>
                  <a:lnTo>
                    <a:pt x="9946" y="782"/>
                  </a:lnTo>
                  <a:lnTo>
                    <a:pt x="10380" y="767"/>
                  </a:lnTo>
                  <a:lnTo>
                    <a:pt x="16384" y="767"/>
                  </a:lnTo>
                </a:path>
              </a:pathLst>
            </a:custGeom>
            <a:noFill/>
            <a:ln w="1" cap="flat">
              <a:solidFill>
                <a:srgbClr val="33330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367" name="Текст 1974">
              <a:extLst>
                <a:ext uri="{FF2B5EF4-FFF2-40B4-BE49-F238E27FC236}">
                  <a16:creationId xmlns:a16="http://schemas.microsoft.com/office/drawing/2014/main" id="{00000000-0008-0000-0F00-000037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0780000" y="9960000"/>
              <a:ext cx="240000" cy="42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r</a:t>
              </a:r>
            </a:p>
          </xdr:txBody>
        </xdr:sp>
        <xdr:sp macro="" textlink="">
          <xdr:nvSpPr>
            <xdr:cNvPr id="13368" name="Объект 1976">
              <a:extLst>
                <a:ext uri="{FF2B5EF4-FFF2-40B4-BE49-F238E27FC236}">
                  <a16:creationId xmlns:a16="http://schemas.microsoft.com/office/drawing/2014/main" id="{00000000-0008-0000-0F00-000038340000}"/>
                </a:ext>
              </a:extLst>
            </xdr:cNvPr>
            <xdr:cNvSpPr>
              <a:spLocks/>
            </xdr:cNvSpPr>
          </xdr:nvSpPr>
          <xdr:spPr bwMode="auto">
            <a:xfrm>
              <a:off x="20120000" y="9840000"/>
              <a:ext cx="0" cy="270000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5394"/>
                </a:cxn>
                <a:cxn ang="0">
                  <a:pos x="0" y="9471"/>
                </a:cxn>
                <a:cxn ang="0">
                  <a:pos x="0" y="12369"/>
                </a:cxn>
                <a:cxn ang="0">
                  <a:pos x="0" y="14338"/>
                </a:cxn>
                <a:cxn ang="0">
                  <a:pos x="0" y="15500"/>
                </a:cxn>
                <a:cxn ang="0">
                  <a:pos x="0" y="16120"/>
                </a:cxn>
                <a:cxn ang="0">
                  <a:pos x="0" y="16337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5394"/>
                  </a:lnTo>
                  <a:lnTo>
                    <a:pt x="0" y="9471"/>
                  </a:lnTo>
                  <a:lnTo>
                    <a:pt x="0" y="12369"/>
                  </a:lnTo>
                  <a:lnTo>
                    <a:pt x="0" y="14338"/>
                  </a:lnTo>
                  <a:lnTo>
                    <a:pt x="0" y="15500"/>
                  </a:lnTo>
                  <a:lnTo>
                    <a:pt x="0" y="16120"/>
                  </a:lnTo>
                  <a:lnTo>
                    <a:pt x="0" y="16337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369" name="Объект 1977">
              <a:extLst>
                <a:ext uri="{FF2B5EF4-FFF2-40B4-BE49-F238E27FC236}">
                  <a16:creationId xmlns:a16="http://schemas.microsoft.com/office/drawing/2014/main" id="{00000000-0008-0000-0F00-000039340000}"/>
                </a:ext>
              </a:extLst>
            </xdr:cNvPr>
            <xdr:cNvSpPr>
              <a:spLocks/>
            </xdr:cNvSpPr>
          </xdr:nvSpPr>
          <xdr:spPr bwMode="auto">
            <a:xfrm>
              <a:off x="20060000" y="9840000"/>
              <a:ext cx="140000" cy="120000"/>
            </a:xfrm>
            <a:custGeom>
              <a:avLst/>
              <a:gdLst/>
              <a:ahLst/>
              <a:cxnLst>
                <a:cxn ang="0">
                  <a:pos x="8440" y="0"/>
                </a:cxn>
                <a:cxn ang="0">
                  <a:pos x="16384" y="16384"/>
                </a:cxn>
                <a:cxn ang="0">
                  <a:pos x="15888" y="15953"/>
                </a:cxn>
                <a:cxn ang="0">
                  <a:pos x="15391" y="15953"/>
                </a:cxn>
                <a:cxn ang="0">
                  <a:pos x="14398" y="15522"/>
                </a:cxn>
                <a:cxn ang="0">
                  <a:pos x="13902" y="15522"/>
                </a:cxn>
                <a:cxn ang="0">
                  <a:pos x="13405" y="15522"/>
                </a:cxn>
                <a:cxn ang="0">
                  <a:pos x="12412" y="15091"/>
                </a:cxn>
                <a:cxn ang="0">
                  <a:pos x="11916" y="15091"/>
                </a:cxn>
                <a:cxn ang="0">
                  <a:pos x="11419" y="15091"/>
                </a:cxn>
                <a:cxn ang="0">
                  <a:pos x="10923" y="15091"/>
                </a:cxn>
                <a:cxn ang="0">
                  <a:pos x="9930" y="15091"/>
                </a:cxn>
                <a:cxn ang="0">
                  <a:pos x="9433" y="15091"/>
                </a:cxn>
                <a:cxn ang="0">
                  <a:pos x="9433" y="14228"/>
                </a:cxn>
                <a:cxn ang="0">
                  <a:pos x="8937" y="14228"/>
                </a:cxn>
                <a:cxn ang="0">
                  <a:pos x="8440" y="14228"/>
                </a:cxn>
                <a:cxn ang="0">
                  <a:pos x="7447" y="14228"/>
                </a:cxn>
                <a:cxn ang="0">
                  <a:pos x="6951" y="14228"/>
                </a:cxn>
                <a:cxn ang="0">
                  <a:pos x="6951" y="15091"/>
                </a:cxn>
                <a:cxn ang="0">
                  <a:pos x="6454" y="15091"/>
                </a:cxn>
                <a:cxn ang="0">
                  <a:pos x="5461" y="15091"/>
                </a:cxn>
                <a:cxn ang="0">
                  <a:pos x="4965" y="15091"/>
                </a:cxn>
                <a:cxn ang="0">
                  <a:pos x="4468" y="15091"/>
                </a:cxn>
                <a:cxn ang="0">
                  <a:pos x="3972" y="15091"/>
                </a:cxn>
                <a:cxn ang="0">
                  <a:pos x="2979" y="15522"/>
                </a:cxn>
                <a:cxn ang="0">
                  <a:pos x="2482" y="15522"/>
                </a:cxn>
                <a:cxn ang="0">
                  <a:pos x="1986" y="15522"/>
                </a:cxn>
                <a:cxn ang="0">
                  <a:pos x="993" y="15953"/>
                </a:cxn>
                <a:cxn ang="0">
                  <a:pos x="496" y="15953"/>
                </a:cxn>
                <a:cxn ang="0">
                  <a:pos x="0" y="16384"/>
                </a:cxn>
                <a:cxn ang="0">
                  <a:pos x="8440" y="0"/>
                </a:cxn>
              </a:cxnLst>
              <a:rect l="0" t="0" r="r" b="b"/>
              <a:pathLst>
                <a:path w="16384" h="16384">
                  <a:moveTo>
                    <a:pt x="8440" y="0"/>
                  </a:moveTo>
                  <a:lnTo>
                    <a:pt x="16384" y="16384"/>
                  </a:lnTo>
                  <a:lnTo>
                    <a:pt x="15888" y="15953"/>
                  </a:lnTo>
                  <a:lnTo>
                    <a:pt x="15391" y="15953"/>
                  </a:lnTo>
                  <a:lnTo>
                    <a:pt x="14398" y="15522"/>
                  </a:lnTo>
                  <a:lnTo>
                    <a:pt x="13902" y="15522"/>
                  </a:lnTo>
                  <a:lnTo>
                    <a:pt x="13405" y="15522"/>
                  </a:lnTo>
                  <a:lnTo>
                    <a:pt x="12412" y="15091"/>
                  </a:lnTo>
                  <a:lnTo>
                    <a:pt x="11916" y="15091"/>
                  </a:lnTo>
                  <a:lnTo>
                    <a:pt x="11419" y="15091"/>
                  </a:lnTo>
                  <a:lnTo>
                    <a:pt x="10923" y="15091"/>
                  </a:lnTo>
                  <a:lnTo>
                    <a:pt x="9930" y="15091"/>
                  </a:lnTo>
                  <a:lnTo>
                    <a:pt x="9433" y="15091"/>
                  </a:lnTo>
                  <a:lnTo>
                    <a:pt x="9433" y="14228"/>
                  </a:lnTo>
                  <a:lnTo>
                    <a:pt x="8937" y="14228"/>
                  </a:lnTo>
                  <a:lnTo>
                    <a:pt x="8440" y="14228"/>
                  </a:lnTo>
                  <a:lnTo>
                    <a:pt x="7447" y="14228"/>
                  </a:lnTo>
                  <a:lnTo>
                    <a:pt x="6951" y="14228"/>
                  </a:lnTo>
                  <a:lnTo>
                    <a:pt x="6951" y="15091"/>
                  </a:lnTo>
                  <a:lnTo>
                    <a:pt x="6454" y="15091"/>
                  </a:lnTo>
                  <a:lnTo>
                    <a:pt x="5461" y="15091"/>
                  </a:lnTo>
                  <a:lnTo>
                    <a:pt x="4965" y="15091"/>
                  </a:lnTo>
                  <a:lnTo>
                    <a:pt x="4468" y="15091"/>
                  </a:lnTo>
                  <a:lnTo>
                    <a:pt x="3972" y="15091"/>
                  </a:lnTo>
                  <a:lnTo>
                    <a:pt x="2979" y="15522"/>
                  </a:lnTo>
                  <a:lnTo>
                    <a:pt x="2482" y="15522"/>
                  </a:lnTo>
                  <a:lnTo>
                    <a:pt x="1986" y="15522"/>
                  </a:lnTo>
                  <a:lnTo>
                    <a:pt x="993" y="15953"/>
                  </a:lnTo>
                  <a:lnTo>
                    <a:pt x="496" y="15953"/>
                  </a:lnTo>
                  <a:lnTo>
                    <a:pt x="0" y="16384"/>
                  </a:lnTo>
                  <a:lnTo>
                    <a:pt x="8440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70" name="Объект 1978">
              <a:extLst>
                <a:ext uri="{FF2B5EF4-FFF2-40B4-BE49-F238E27FC236}">
                  <a16:creationId xmlns:a16="http://schemas.microsoft.com/office/drawing/2014/main" id="{00000000-0008-0000-0F00-00003A340000}"/>
                </a:ext>
              </a:extLst>
            </xdr:cNvPr>
            <xdr:cNvSpPr>
              <a:spLocks/>
            </xdr:cNvSpPr>
          </xdr:nvSpPr>
          <xdr:spPr bwMode="auto">
            <a:xfrm>
              <a:off x="20060000" y="12540000"/>
              <a:ext cx="140000" cy="120000"/>
            </a:xfrm>
            <a:custGeom>
              <a:avLst/>
              <a:gdLst/>
              <a:ahLst/>
              <a:cxnLst>
                <a:cxn ang="0">
                  <a:pos x="8440" y="16384"/>
                </a:cxn>
                <a:cxn ang="0">
                  <a:pos x="16384" y="0"/>
                </a:cxn>
                <a:cxn ang="0">
                  <a:pos x="15888" y="840"/>
                </a:cxn>
                <a:cxn ang="0">
                  <a:pos x="15391" y="840"/>
                </a:cxn>
                <a:cxn ang="0">
                  <a:pos x="14398" y="840"/>
                </a:cxn>
                <a:cxn ang="0">
                  <a:pos x="13902" y="1260"/>
                </a:cxn>
                <a:cxn ang="0">
                  <a:pos x="13405" y="1260"/>
                </a:cxn>
                <a:cxn ang="0">
                  <a:pos x="12412" y="1260"/>
                </a:cxn>
                <a:cxn ang="0">
                  <a:pos x="11916" y="1680"/>
                </a:cxn>
                <a:cxn ang="0">
                  <a:pos x="11419" y="1680"/>
                </a:cxn>
                <a:cxn ang="0">
                  <a:pos x="10923" y="1680"/>
                </a:cxn>
                <a:cxn ang="0">
                  <a:pos x="9930" y="1680"/>
                </a:cxn>
                <a:cxn ang="0">
                  <a:pos x="9433" y="1680"/>
                </a:cxn>
                <a:cxn ang="0">
                  <a:pos x="8937" y="1680"/>
                </a:cxn>
                <a:cxn ang="0">
                  <a:pos x="8440" y="1680"/>
                </a:cxn>
                <a:cxn ang="0">
                  <a:pos x="7447" y="1680"/>
                </a:cxn>
                <a:cxn ang="0">
                  <a:pos x="6951" y="1680"/>
                </a:cxn>
                <a:cxn ang="0">
                  <a:pos x="6454" y="1680"/>
                </a:cxn>
                <a:cxn ang="0">
                  <a:pos x="5461" y="1680"/>
                </a:cxn>
                <a:cxn ang="0">
                  <a:pos x="4965" y="1680"/>
                </a:cxn>
                <a:cxn ang="0">
                  <a:pos x="4468" y="1680"/>
                </a:cxn>
                <a:cxn ang="0">
                  <a:pos x="3972" y="1260"/>
                </a:cxn>
                <a:cxn ang="0">
                  <a:pos x="2979" y="1260"/>
                </a:cxn>
                <a:cxn ang="0">
                  <a:pos x="2482" y="1260"/>
                </a:cxn>
                <a:cxn ang="0">
                  <a:pos x="1986" y="840"/>
                </a:cxn>
                <a:cxn ang="0">
                  <a:pos x="993" y="840"/>
                </a:cxn>
                <a:cxn ang="0">
                  <a:pos x="496" y="840"/>
                </a:cxn>
                <a:cxn ang="0">
                  <a:pos x="0" y="0"/>
                </a:cxn>
                <a:cxn ang="0">
                  <a:pos x="8440" y="16384"/>
                </a:cxn>
              </a:cxnLst>
              <a:rect l="0" t="0" r="r" b="b"/>
              <a:pathLst>
                <a:path w="16384" h="16384">
                  <a:moveTo>
                    <a:pt x="8440" y="16384"/>
                  </a:moveTo>
                  <a:lnTo>
                    <a:pt x="16384" y="0"/>
                  </a:lnTo>
                  <a:lnTo>
                    <a:pt x="15888" y="840"/>
                  </a:lnTo>
                  <a:lnTo>
                    <a:pt x="15391" y="840"/>
                  </a:lnTo>
                  <a:lnTo>
                    <a:pt x="14398" y="840"/>
                  </a:lnTo>
                  <a:lnTo>
                    <a:pt x="13902" y="1260"/>
                  </a:lnTo>
                  <a:lnTo>
                    <a:pt x="13405" y="1260"/>
                  </a:lnTo>
                  <a:lnTo>
                    <a:pt x="12412" y="1260"/>
                  </a:lnTo>
                  <a:lnTo>
                    <a:pt x="11916" y="1680"/>
                  </a:lnTo>
                  <a:lnTo>
                    <a:pt x="11419" y="1680"/>
                  </a:lnTo>
                  <a:lnTo>
                    <a:pt x="10923" y="1680"/>
                  </a:lnTo>
                  <a:lnTo>
                    <a:pt x="9930" y="1680"/>
                  </a:lnTo>
                  <a:lnTo>
                    <a:pt x="9433" y="1680"/>
                  </a:lnTo>
                  <a:lnTo>
                    <a:pt x="8937" y="1680"/>
                  </a:lnTo>
                  <a:lnTo>
                    <a:pt x="8440" y="1680"/>
                  </a:lnTo>
                  <a:lnTo>
                    <a:pt x="7447" y="1680"/>
                  </a:lnTo>
                  <a:lnTo>
                    <a:pt x="6951" y="1680"/>
                  </a:lnTo>
                  <a:lnTo>
                    <a:pt x="6454" y="1680"/>
                  </a:lnTo>
                  <a:lnTo>
                    <a:pt x="5461" y="1680"/>
                  </a:lnTo>
                  <a:lnTo>
                    <a:pt x="4965" y="1680"/>
                  </a:lnTo>
                  <a:lnTo>
                    <a:pt x="4468" y="1680"/>
                  </a:lnTo>
                  <a:lnTo>
                    <a:pt x="3972" y="1260"/>
                  </a:lnTo>
                  <a:lnTo>
                    <a:pt x="2979" y="1260"/>
                  </a:lnTo>
                  <a:lnTo>
                    <a:pt x="2482" y="1260"/>
                  </a:lnTo>
                  <a:lnTo>
                    <a:pt x="1986" y="840"/>
                  </a:lnTo>
                  <a:lnTo>
                    <a:pt x="993" y="840"/>
                  </a:lnTo>
                  <a:lnTo>
                    <a:pt x="496" y="840"/>
                  </a:lnTo>
                  <a:lnTo>
                    <a:pt x="0" y="0"/>
                  </a:lnTo>
                  <a:lnTo>
                    <a:pt x="8440" y="1638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71" name="Текст 1980">
              <a:extLst>
                <a:ext uri="{FF2B5EF4-FFF2-40B4-BE49-F238E27FC236}">
                  <a16:creationId xmlns:a16="http://schemas.microsoft.com/office/drawing/2014/main" id="{00000000-0008-0000-0F00-00003B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9760000" y="11040000"/>
              <a:ext cx="420000" cy="62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32004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h</a:t>
              </a:r>
            </a:p>
          </xdr:txBody>
        </xdr:sp>
        <xdr:sp macro="" textlink="">
          <xdr:nvSpPr>
            <xdr:cNvPr id="13372" name="Текст 60">
              <a:extLst>
                <a:ext uri="{FF2B5EF4-FFF2-40B4-BE49-F238E27FC236}">
                  <a16:creationId xmlns:a16="http://schemas.microsoft.com/office/drawing/2014/main" id="{00000000-0008-0000-0F00-00003C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1420000" y="9420000"/>
              <a:ext cx="380000" cy="50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y</a:t>
              </a:r>
            </a:p>
          </xdr:txBody>
        </xdr:sp>
        <xdr:sp macro="" textlink="">
          <xdr:nvSpPr>
            <xdr:cNvPr id="13373" name="Текст 2164">
              <a:extLst>
                <a:ext uri="{FF2B5EF4-FFF2-40B4-BE49-F238E27FC236}">
                  <a16:creationId xmlns:a16="http://schemas.microsoft.com/office/drawing/2014/main" id="{00000000-0008-0000-0F00-00003D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1080000" y="12660000"/>
              <a:ext cx="380000" cy="50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y</a:t>
              </a:r>
            </a:p>
          </xdr:txBody>
        </xdr:sp>
        <xdr:sp macro="" textlink="">
          <xdr:nvSpPr>
            <xdr:cNvPr id="13374" name="Текст 2165">
              <a:extLst>
                <a:ext uri="{FF2B5EF4-FFF2-40B4-BE49-F238E27FC236}">
                  <a16:creationId xmlns:a16="http://schemas.microsoft.com/office/drawing/2014/main" id="{00000000-0008-0000-0F00-00003E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1300000" y="13020000"/>
              <a:ext cx="420000" cy="62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32004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b</a:t>
              </a:r>
            </a:p>
          </xdr:txBody>
        </xdr:sp>
        <xdr:sp macro="" textlink="">
          <xdr:nvSpPr>
            <xdr:cNvPr id="13375" name="Объект 2166">
              <a:extLst>
                <a:ext uri="{FF2B5EF4-FFF2-40B4-BE49-F238E27FC236}">
                  <a16:creationId xmlns:a16="http://schemas.microsoft.com/office/drawing/2014/main" id="{00000000-0008-0000-0F00-00003F340000}"/>
                </a:ext>
              </a:extLst>
            </xdr:cNvPr>
            <xdr:cNvSpPr>
              <a:spLocks/>
            </xdr:cNvSpPr>
          </xdr:nvSpPr>
          <xdr:spPr bwMode="auto">
            <a:xfrm>
              <a:off x="22220000" y="12660000"/>
              <a:ext cx="20000" cy="54000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5375"/>
                </a:cxn>
                <a:cxn ang="0">
                  <a:pos x="0" y="9449"/>
                </a:cxn>
                <a:cxn ang="0">
                  <a:pos x="0" y="12310"/>
                </a:cxn>
                <a:cxn ang="0">
                  <a:pos x="0" y="14390"/>
                </a:cxn>
                <a:cxn ang="0">
                  <a:pos x="0" y="15604"/>
                </a:cxn>
                <a:cxn ang="0">
                  <a:pos x="0" y="16124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5375"/>
                  </a:lnTo>
                  <a:lnTo>
                    <a:pt x="0" y="9449"/>
                  </a:lnTo>
                  <a:lnTo>
                    <a:pt x="0" y="12310"/>
                  </a:lnTo>
                  <a:lnTo>
                    <a:pt x="0" y="14390"/>
                  </a:lnTo>
                  <a:lnTo>
                    <a:pt x="0" y="15604"/>
                  </a:lnTo>
                  <a:lnTo>
                    <a:pt x="0" y="16124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376" name="Объект 2167">
              <a:extLst>
                <a:ext uri="{FF2B5EF4-FFF2-40B4-BE49-F238E27FC236}">
                  <a16:creationId xmlns:a16="http://schemas.microsoft.com/office/drawing/2014/main" id="{00000000-0008-0000-0F00-000040340000}"/>
                </a:ext>
              </a:extLst>
            </xdr:cNvPr>
            <xdr:cNvSpPr>
              <a:spLocks/>
            </xdr:cNvSpPr>
          </xdr:nvSpPr>
          <xdr:spPr bwMode="auto">
            <a:xfrm>
              <a:off x="20600000" y="13020000"/>
              <a:ext cx="1540000" cy="6000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5408" y="0"/>
                </a:cxn>
                <a:cxn ang="0">
                  <a:pos x="9465" y="0"/>
                </a:cxn>
                <a:cxn ang="0">
                  <a:pos x="12407" y="0"/>
                </a:cxn>
                <a:cxn ang="0">
                  <a:pos x="14356" y="0"/>
                </a:cxn>
                <a:cxn ang="0">
                  <a:pos x="15509" y="0"/>
                </a:cxn>
                <a:cxn ang="0">
                  <a:pos x="16145" y="0"/>
                </a:cxn>
                <a:cxn ang="0">
                  <a:pos x="16384" y="0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5408" y="0"/>
                  </a:lnTo>
                  <a:lnTo>
                    <a:pt x="9465" y="0"/>
                  </a:lnTo>
                  <a:lnTo>
                    <a:pt x="12407" y="0"/>
                  </a:lnTo>
                  <a:lnTo>
                    <a:pt x="14356" y="0"/>
                  </a:lnTo>
                  <a:lnTo>
                    <a:pt x="15509" y="0"/>
                  </a:lnTo>
                  <a:lnTo>
                    <a:pt x="16145" y="0"/>
                  </a:lnTo>
                  <a:lnTo>
                    <a:pt x="16384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377" name="Объект 2168">
              <a:extLst>
                <a:ext uri="{FF2B5EF4-FFF2-40B4-BE49-F238E27FC236}">
                  <a16:creationId xmlns:a16="http://schemas.microsoft.com/office/drawing/2014/main" id="{00000000-0008-0000-0F00-000041340000}"/>
                </a:ext>
              </a:extLst>
            </xdr:cNvPr>
            <xdr:cNvSpPr>
              <a:spLocks/>
            </xdr:cNvSpPr>
          </xdr:nvSpPr>
          <xdr:spPr bwMode="auto">
            <a:xfrm>
              <a:off x="20520000" y="13020000"/>
              <a:ext cx="160000" cy="60000"/>
            </a:xfrm>
            <a:custGeom>
              <a:avLst/>
              <a:gdLst/>
              <a:ahLst/>
              <a:cxnLst>
                <a:cxn ang="0">
                  <a:pos x="0" y="7944"/>
                </a:cxn>
                <a:cxn ang="0">
                  <a:pos x="16384" y="0"/>
                </a:cxn>
                <a:cxn ang="0">
                  <a:pos x="16384" y="496"/>
                </a:cxn>
                <a:cxn ang="0">
                  <a:pos x="15953" y="993"/>
                </a:cxn>
                <a:cxn ang="0">
                  <a:pos x="15953" y="1489"/>
                </a:cxn>
                <a:cxn ang="0">
                  <a:pos x="15953" y="2482"/>
                </a:cxn>
                <a:cxn ang="0">
                  <a:pos x="15522" y="2482"/>
                </a:cxn>
                <a:cxn ang="0">
                  <a:pos x="15522" y="2979"/>
                </a:cxn>
                <a:cxn ang="0">
                  <a:pos x="15522" y="3475"/>
                </a:cxn>
                <a:cxn ang="0">
                  <a:pos x="15522" y="4468"/>
                </a:cxn>
                <a:cxn ang="0">
                  <a:pos x="14659" y="4468"/>
                </a:cxn>
                <a:cxn ang="0">
                  <a:pos x="14659" y="4965"/>
                </a:cxn>
                <a:cxn ang="0">
                  <a:pos x="14659" y="5461"/>
                </a:cxn>
                <a:cxn ang="0">
                  <a:pos x="14659" y="5958"/>
                </a:cxn>
                <a:cxn ang="0">
                  <a:pos x="14659" y="6951"/>
                </a:cxn>
                <a:cxn ang="0">
                  <a:pos x="14659" y="7447"/>
                </a:cxn>
                <a:cxn ang="0">
                  <a:pos x="14659" y="7944"/>
                </a:cxn>
                <a:cxn ang="0">
                  <a:pos x="14659" y="8440"/>
                </a:cxn>
                <a:cxn ang="0">
                  <a:pos x="14659" y="9433"/>
                </a:cxn>
                <a:cxn ang="0">
                  <a:pos x="14659" y="9930"/>
                </a:cxn>
                <a:cxn ang="0">
                  <a:pos x="14659" y="10426"/>
                </a:cxn>
                <a:cxn ang="0">
                  <a:pos x="14659" y="11419"/>
                </a:cxn>
                <a:cxn ang="0">
                  <a:pos x="14659" y="11916"/>
                </a:cxn>
                <a:cxn ang="0">
                  <a:pos x="15522" y="11916"/>
                </a:cxn>
                <a:cxn ang="0">
                  <a:pos x="15522" y="12412"/>
                </a:cxn>
                <a:cxn ang="0">
                  <a:pos x="15522" y="12909"/>
                </a:cxn>
                <a:cxn ang="0">
                  <a:pos x="15522" y="13902"/>
                </a:cxn>
                <a:cxn ang="0">
                  <a:pos x="15953" y="13902"/>
                </a:cxn>
                <a:cxn ang="0">
                  <a:pos x="15953" y="14398"/>
                </a:cxn>
                <a:cxn ang="0">
                  <a:pos x="15953" y="14895"/>
                </a:cxn>
                <a:cxn ang="0">
                  <a:pos x="16384" y="15888"/>
                </a:cxn>
                <a:cxn ang="0">
                  <a:pos x="16384" y="16384"/>
                </a:cxn>
                <a:cxn ang="0">
                  <a:pos x="0" y="7944"/>
                </a:cxn>
              </a:cxnLst>
              <a:rect l="0" t="0" r="r" b="b"/>
              <a:pathLst>
                <a:path w="16384" h="16384">
                  <a:moveTo>
                    <a:pt x="0" y="7944"/>
                  </a:moveTo>
                  <a:lnTo>
                    <a:pt x="16384" y="0"/>
                  </a:lnTo>
                  <a:lnTo>
                    <a:pt x="16384" y="496"/>
                  </a:lnTo>
                  <a:lnTo>
                    <a:pt x="15953" y="993"/>
                  </a:lnTo>
                  <a:lnTo>
                    <a:pt x="15953" y="1489"/>
                  </a:lnTo>
                  <a:lnTo>
                    <a:pt x="15953" y="2482"/>
                  </a:lnTo>
                  <a:lnTo>
                    <a:pt x="15522" y="2482"/>
                  </a:lnTo>
                  <a:lnTo>
                    <a:pt x="15522" y="2979"/>
                  </a:lnTo>
                  <a:lnTo>
                    <a:pt x="15522" y="3475"/>
                  </a:lnTo>
                  <a:lnTo>
                    <a:pt x="15522" y="4468"/>
                  </a:lnTo>
                  <a:lnTo>
                    <a:pt x="14659" y="4468"/>
                  </a:lnTo>
                  <a:lnTo>
                    <a:pt x="14659" y="4965"/>
                  </a:lnTo>
                  <a:lnTo>
                    <a:pt x="14659" y="5461"/>
                  </a:lnTo>
                  <a:lnTo>
                    <a:pt x="14659" y="5958"/>
                  </a:lnTo>
                  <a:lnTo>
                    <a:pt x="14659" y="6951"/>
                  </a:lnTo>
                  <a:lnTo>
                    <a:pt x="14659" y="7447"/>
                  </a:lnTo>
                  <a:lnTo>
                    <a:pt x="14659" y="7944"/>
                  </a:lnTo>
                  <a:lnTo>
                    <a:pt x="14659" y="8440"/>
                  </a:lnTo>
                  <a:lnTo>
                    <a:pt x="14659" y="9433"/>
                  </a:lnTo>
                  <a:lnTo>
                    <a:pt x="14659" y="9930"/>
                  </a:lnTo>
                  <a:lnTo>
                    <a:pt x="14659" y="10426"/>
                  </a:lnTo>
                  <a:lnTo>
                    <a:pt x="14659" y="11419"/>
                  </a:lnTo>
                  <a:lnTo>
                    <a:pt x="14659" y="11916"/>
                  </a:lnTo>
                  <a:lnTo>
                    <a:pt x="15522" y="11916"/>
                  </a:lnTo>
                  <a:lnTo>
                    <a:pt x="15522" y="12412"/>
                  </a:lnTo>
                  <a:lnTo>
                    <a:pt x="15522" y="12909"/>
                  </a:lnTo>
                  <a:lnTo>
                    <a:pt x="15522" y="13902"/>
                  </a:lnTo>
                  <a:lnTo>
                    <a:pt x="15953" y="13902"/>
                  </a:lnTo>
                  <a:lnTo>
                    <a:pt x="15953" y="14398"/>
                  </a:lnTo>
                  <a:lnTo>
                    <a:pt x="15953" y="14895"/>
                  </a:lnTo>
                  <a:lnTo>
                    <a:pt x="16384" y="15888"/>
                  </a:lnTo>
                  <a:lnTo>
                    <a:pt x="16384" y="16384"/>
                  </a:lnTo>
                  <a:lnTo>
                    <a:pt x="0" y="794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78" name="Объект 2169">
              <a:extLst>
                <a:ext uri="{FF2B5EF4-FFF2-40B4-BE49-F238E27FC236}">
                  <a16:creationId xmlns:a16="http://schemas.microsoft.com/office/drawing/2014/main" id="{00000000-0008-0000-0F00-000042340000}"/>
                </a:ext>
              </a:extLst>
            </xdr:cNvPr>
            <xdr:cNvSpPr>
              <a:spLocks/>
            </xdr:cNvSpPr>
          </xdr:nvSpPr>
          <xdr:spPr bwMode="auto">
            <a:xfrm>
              <a:off x="22080000" y="13020000"/>
              <a:ext cx="140000" cy="60000"/>
            </a:xfrm>
            <a:custGeom>
              <a:avLst/>
              <a:gdLst/>
              <a:ahLst/>
              <a:cxnLst>
                <a:cxn ang="0">
                  <a:pos x="16384" y="7944"/>
                </a:cxn>
                <a:cxn ang="0">
                  <a:pos x="0" y="0"/>
                </a:cxn>
                <a:cxn ang="0">
                  <a:pos x="0" y="496"/>
                </a:cxn>
                <a:cxn ang="0">
                  <a:pos x="0" y="993"/>
                </a:cxn>
                <a:cxn ang="0">
                  <a:pos x="886" y="1489"/>
                </a:cxn>
                <a:cxn ang="0">
                  <a:pos x="886" y="2482"/>
                </a:cxn>
                <a:cxn ang="0">
                  <a:pos x="886" y="2979"/>
                </a:cxn>
                <a:cxn ang="0">
                  <a:pos x="1328" y="3475"/>
                </a:cxn>
                <a:cxn ang="0">
                  <a:pos x="1328" y="4468"/>
                </a:cxn>
                <a:cxn ang="0">
                  <a:pos x="1328" y="4965"/>
                </a:cxn>
                <a:cxn ang="0">
                  <a:pos x="1328" y="5461"/>
                </a:cxn>
                <a:cxn ang="0">
                  <a:pos x="1328" y="5958"/>
                </a:cxn>
                <a:cxn ang="0">
                  <a:pos x="1771" y="6951"/>
                </a:cxn>
                <a:cxn ang="0">
                  <a:pos x="1771" y="7447"/>
                </a:cxn>
                <a:cxn ang="0">
                  <a:pos x="1771" y="7944"/>
                </a:cxn>
                <a:cxn ang="0">
                  <a:pos x="1771" y="8440"/>
                </a:cxn>
                <a:cxn ang="0">
                  <a:pos x="1771" y="9433"/>
                </a:cxn>
                <a:cxn ang="0">
                  <a:pos x="1328" y="9930"/>
                </a:cxn>
                <a:cxn ang="0">
                  <a:pos x="1328" y="10426"/>
                </a:cxn>
                <a:cxn ang="0">
                  <a:pos x="1328" y="11419"/>
                </a:cxn>
                <a:cxn ang="0">
                  <a:pos x="1328" y="11916"/>
                </a:cxn>
                <a:cxn ang="0">
                  <a:pos x="1328" y="12412"/>
                </a:cxn>
                <a:cxn ang="0">
                  <a:pos x="886" y="12909"/>
                </a:cxn>
                <a:cxn ang="0">
                  <a:pos x="886" y="13902"/>
                </a:cxn>
                <a:cxn ang="0">
                  <a:pos x="886" y="14398"/>
                </a:cxn>
                <a:cxn ang="0">
                  <a:pos x="0" y="14895"/>
                </a:cxn>
                <a:cxn ang="0">
                  <a:pos x="0" y="15888"/>
                </a:cxn>
                <a:cxn ang="0">
                  <a:pos x="0" y="16384"/>
                </a:cxn>
                <a:cxn ang="0">
                  <a:pos x="16384" y="7944"/>
                </a:cxn>
              </a:cxnLst>
              <a:rect l="0" t="0" r="r" b="b"/>
              <a:pathLst>
                <a:path w="16384" h="16384">
                  <a:moveTo>
                    <a:pt x="16384" y="7944"/>
                  </a:moveTo>
                  <a:lnTo>
                    <a:pt x="0" y="0"/>
                  </a:lnTo>
                  <a:lnTo>
                    <a:pt x="0" y="496"/>
                  </a:lnTo>
                  <a:lnTo>
                    <a:pt x="0" y="993"/>
                  </a:lnTo>
                  <a:lnTo>
                    <a:pt x="886" y="1489"/>
                  </a:lnTo>
                  <a:lnTo>
                    <a:pt x="886" y="2482"/>
                  </a:lnTo>
                  <a:lnTo>
                    <a:pt x="886" y="2979"/>
                  </a:lnTo>
                  <a:lnTo>
                    <a:pt x="1328" y="3475"/>
                  </a:lnTo>
                  <a:lnTo>
                    <a:pt x="1328" y="4468"/>
                  </a:lnTo>
                  <a:lnTo>
                    <a:pt x="1328" y="4965"/>
                  </a:lnTo>
                  <a:lnTo>
                    <a:pt x="1328" y="5461"/>
                  </a:lnTo>
                  <a:lnTo>
                    <a:pt x="1328" y="5958"/>
                  </a:lnTo>
                  <a:lnTo>
                    <a:pt x="1771" y="6951"/>
                  </a:lnTo>
                  <a:lnTo>
                    <a:pt x="1771" y="7447"/>
                  </a:lnTo>
                  <a:lnTo>
                    <a:pt x="1771" y="7944"/>
                  </a:lnTo>
                  <a:lnTo>
                    <a:pt x="1771" y="8440"/>
                  </a:lnTo>
                  <a:lnTo>
                    <a:pt x="1771" y="9433"/>
                  </a:lnTo>
                  <a:lnTo>
                    <a:pt x="1328" y="9930"/>
                  </a:lnTo>
                  <a:lnTo>
                    <a:pt x="1328" y="10426"/>
                  </a:lnTo>
                  <a:lnTo>
                    <a:pt x="1328" y="11419"/>
                  </a:lnTo>
                  <a:lnTo>
                    <a:pt x="1328" y="11916"/>
                  </a:lnTo>
                  <a:lnTo>
                    <a:pt x="1328" y="12412"/>
                  </a:lnTo>
                  <a:lnTo>
                    <a:pt x="886" y="12909"/>
                  </a:lnTo>
                  <a:lnTo>
                    <a:pt x="886" y="13902"/>
                  </a:lnTo>
                  <a:lnTo>
                    <a:pt x="886" y="14398"/>
                  </a:lnTo>
                  <a:lnTo>
                    <a:pt x="0" y="14895"/>
                  </a:lnTo>
                  <a:lnTo>
                    <a:pt x="0" y="15888"/>
                  </a:lnTo>
                  <a:lnTo>
                    <a:pt x="0" y="16384"/>
                  </a:lnTo>
                  <a:lnTo>
                    <a:pt x="16384" y="794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79" name="Объект 2170">
              <a:extLst>
                <a:ext uri="{FF2B5EF4-FFF2-40B4-BE49-F238E27FC236}">
                  <a16:creationId xmlns:a16="http://schemas.microsoft.com/office/drawing/2014/main" id="{00000000-0008-0000-0F00-000043340000}"/>
                </a:ext>
              </a:extLst>
            </xdr:cNvPr>
            <xdr:cNvSpPr>
              <a:spLocks/>
            </xdr:cNvSpPr>
          </xdr:nvSpPr>
          <xdr:spPr bwMode="auto">
            <a:xfrm>
              <a:off x="20520000" y="12660000"/>
              <a:ext cx="20000" cy="54000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5375"/>
                </a:cxn>
                <a:cxn ang="0">
                  <a:pos x="0" y="9449"/>
                </a:cxn>
                <a:cxn ang="0">
                  <a:pos x="0" y="12310"/>
                </a:cxn>
                <a:cxn ang="0">
                  <a:pos x="0" y="14390"/>
                </a:cxn>
                <a:cxn ang="0">
                  <a:pos x="0" y="15604"/>
                </a:cxn>
                <a:cxn ang="0">
                  <a:pos x="0" y="16124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5375"/>
                  </a:lnTo>
                  <a:lnTo>
                    <a:pt x="0" y="9449"/>
                  </a:lnTo>
                  <a:lnTo>
                    <a:pt x="0" y="12310"/>
                  </a:lnTo>
                  <a:lnTo>
                    <a:pt x="0" y="14390"/>
                  </a:lnTo>
                  <a:lnTo>
                    <a:pt x="0" y="15604"/>
                  </a:lnTo>
                  <a:lnTo>
                    <a:pt x="0" y="16124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380" name="Объект 2172">
              <a:extLst>
                <a:ext uri="{FF2B5EF4-FFF2-40B4-BE49-F238E27FC236}">
                  <a16:creationId xmlns:a16="http://schemas.microsoft.com/office/drawing/2014/main" id="{00000000-0008-0000-0F00-000044340000}"/>
                </a:ext>
              </a:extLst>
            </xdr:cNvPr>
            <xdr:cNvSpPr>
              <a:spLocks/>
            </xdr:cNvSpPr>
          </xdr:nvSpPr>
          <xdr:spPr bwMode="auto">
            <a:xfrm>
              <a:off x="21700000" y="12360000"/>
              <a:ext cx="120000" cy="120000"/>
            </a:xfrm>
            <a:custGeom>
              <a:avLst/>
              <a:gdLst/>
              <a:ahLst/>
              <a:cxnLst>
                <a:cxn ang="0">
                  <a:pos x="7680" y="16384"/>
                </a:cxn>
                <a:cxn ang="0">
                  <a:pos x="0" y="0"/>
                </a:cxn>
                <a:cxn ang="0">
                  <a:pos x="0" y="431"/>
                </a:cxn>
                <a:cxn ang="0">
                  <a:pos x="512" y="431"/>
                </a:cxn>
                <a:cxn ang="0">
                  <a:pos x="1024" y="431"/>
                </a:cxn>
                <a:cxn ang="0">
                  <a:pos x="2048" y="862"/>
                </a:cxn>
                <a:cxn ang="0">
                  <a:pos x="2560" y="862"/>
                </a:cxn>
                <a:cxn ang="0">
                  <a:pos x="3072" y="862"/>
                </a:cxn>
                <a:cxn ang="0">
                  <a:pos x="3584" y="1293"/>
                </a:cxn>
                <a:cxn ang="0">
                  <a:pos x="4608" y="1293"/>
                </a:cxn>
                <a:cxn ang="0">
                  <a:pos x="5120" y="1293"/>
                </a:cxn>
                <a:cxn ang="0">
                  <a:pos x="5632" y="1293"/>
                </a:cxn>
                <a:cxn ang="0">
                  <a:pos x="6656" y="1293"/>
                </a:cxn>
                <a:cxn ang="0">
                  <a:pos x="7168" y="1293"/>
                </a:cxn>
                <a:cxn ang="0">
                  <a:pos x="7680" y="1293"/>
                </a:cxn>
                <a:cxn ang="0">
                  <a:pos x="8192" y="1293"/>
                </a:cxn>
                <a:cxn ang="0">
                  <a:pos x="9216" y="1293"/>
                </a:cxn>
                <a:cxn ang="0">
                  <a:pos x="9728" y="1293"/>
                </a:cxn>
                <a:cxn ang="0">
                  <a:pos x="10240" y="1293"/>
                </a:cxn>
                <a:cxn ang="0">
                  <a:pos x="10752" y="1293"/>
                </a:cxn>
                <a:cxn ang="0">
                  <a:pos x="11776" y="1293"/>
                </a:cxn>
                <a:cxn ang="0">
                  <a:pos x="12288" y="1293"/>
                </a:cxn>
                <a:cxn ang="0">
                  <a:pos x="12288" y="862"/>
                </a:cxn>
                <a:cxn ang="0">
                  <a:pos x="12800" y="862"/>
                </a:cxn>
                <a:cxn ang="0">
                  <a:pos x="13824" y="862"/>
                </a:cxn>
                <a:cxn ang="0">
                  <a:pos x="14336" y="862"/>
                </a:cxn>
                <a:cxn ang="0">
                  <a:pos x="14848" y="431"/>
                </a:cxn>
                <a:cxn ang="0">
                  <a:pos x="15360" y="431"/>
                </a:cxn>
                <a:cxn ang="0">
                  <a:pos x="16384" y="0"/>
                </a:cxn>
                <a:cxn ang="0">
                  <a:pos x="7680" y="16384"/>
                </a:cxn>
              </a:cxnLst>
              <a:rect l="0" t="0" r="r" b="b"/>
              <a:pathLst>
                <a:path w="16384" h="16384">
                  <a:moveTo>
                    <a:pt x="7680" y="16384"/>
                  </a:moveTo>
                  <a:lnTo>
                    <a:pt x="0" y="0"/>
                  </a:lnTo>
                  <a:lnTo>
                    <a:pt x="0" y="431"/>
                  </a:lnTo>
                  <a:lnTo>
                    <a:pt x="512" y="431"/>
                  </a:lnTo>
                  <a:lnTo>
                    <a:pt x="1024" y="431"/>
                  </a:lnTo>
                  <a:lnTo>
                    <a:pt x="2048" y="862"/>
                  </a:lnTo>
                  <a:lnTo>
                    <a:pt x="2560" y="862"/>
                  </a:lnTo>
                  <a:lnTo>
                    <a:pt x="3072" y="862"/>
                  </a:lnTo>
                  <a:lnTo>
                    <a:pt x="3584" y="1293"/>
                  </a:lnTo>
                  <a:lnTo>
                    <a:pt x="4608" y="1293"/>
                  </a:lnTo>
                  <a:lnTo>
                    <a:pt x="5120" y="1293"/>
                  </a:lnTo>
                  <a:lnTo>
                    <a:pt x="5632" y="1293"/>
                  </a:lnTo>
                  <a:lnTo>
                    <a:pt x="6656" y="1293"/>
                  </a:lnTo>
                  <a:lnTo>
                    <a:pt x="7168" y="1293"/>
                  </a:lnTo>
                  <a:lnTo>
                    <a:pt x="7680" y="1293"/>
                  </a:lnTo>
                  <a:lnTo>
                    <a:pt x="8192" y="1293"/>
                  </a:lnTo>
                  <a:lnTo>
                    <a:pt x="9216" y="1293"/>
                  </a:lnTo>
                  <a:lnTo>
                    <a:pt x="9728" y="1293"/>
                  </a:lnTo>
                  <a:lnTo>
                    <a:pt x="10240" y="1293"/>
                  </a:lnTo>
                  <a:lnTo>
                    <a:pt x="10752" y="1293"/>
                  </a:lnTo>
                  <a:lnTo>
                    <a:pt x="11776" y="1293"/>
                  </a:lnTo>
                  <a:lnTo>
                    <a:pt x="12288" y="1293"/>
                  </a:lnTo>
                  <a:lnTo>
                    <a:pt x="12288" y="862"/>
                  </a:lnTo>
                  <a:lnTo>
                    <a:pt x="12800" y="862"/>
                  </a:lnTo>
                  <a:lnTo>
                    <a:pt x="13824" y="862"/>
                  </a:lnTo>
                  <a:lnTo>
                    <a:pt x="14336" y="862"/>
                  </a:lnTo>
                  <a:lnTo>
                    <a:pt x="14848" y="431"/>
                  </a:lnTo>
                  <a:lnTo>
                    <a:pt x="15360" y="431"/>
                  </a:lnTo>
                  <a:lnTo>
                    <a:pt x="16384" y="0"/>
                  </a:lnTo>
                  <a:lnTo>
                    <a:pt x="7680" y="16384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81" name="Объект 2174">
              <a:extLst>
                <a:ext uri="{FF2B5EF4-FFF2-40B4-BE49-F238E27FC236}">
                  <a16:creationId xmlns:a16="http://schemas.microsoft.com/office/drawing/2014/main" id="{00000000-0008-0000-0F00-000045340000}"/>
                </a:ext>
              </a:extLst>
            </xdr:cNvPr>
            <xdr:cNvSpPr>
              <a:spLocks/>
            </xdr:cNvSpPr>
          </xdr:nvSpPr>
          <xdr:spPr bwMode="auto">
            <a:xfrm>
              <a:off x="21700000" y="12660000"/>
              <a:ext cx="120000" cy="60000"/>
            </a:xfrm>
            <a:custGeom>
              <a:avLst/>
              <a:gdLst/>
              <a:ahLst/>
              <a:cxnLst>
                <a:cxn ang="0">
                  <a:pos x="7680" y="0"/>
                </a:cxn>
                <a:cxn ang="0">
                  <a:pos x="0" y="16384"/>
                </a:cxn>
                <a:cxn ang="0">
                  <a:pos x="0" y="15544"/>
                </a:cxn>
                <a:cxn ang="0">
                  <a:pos x="512" y="15544"/>
                </a:cxn>
                <a:cxn ang="0">
                  <a:pos x="1024" y="15544"/>
                </a:cxn>
                <a:cxn ang="0">
                  <a:pos x="2048" y="15124"/>
                </a:cxn>
                <a:cxn ang="0">
                  <a:pos x="2560" y="15124"/>
                </a:cxn>
                <a:cxn ang="0">
                  <a:pos x="3072" y="15124"/>
                </a:cxn>
                <a:cxn ang="0">
                  <a:pos x="3584" y="14704"/>
                </a:cxn>
                <a:cxn ang="0">
                  <a:pos x="4608" y="14704"/>
                </a:cxn>
                <a:cxn ang="0">
                  <a:pos x="5120" y="14704"/>
                </a:cxn>
                <a:cxn ang="0">
                  <a:pos x="5632" y="14704"/>
                </a:cxn>
                <a:cxn ang="0">
                  <a:pos x="6656" y="14704"/>
                </a:cxn>
                <a:cxn ang="0">
                  <a:pos x="7168" y="14704"/>
                </a:cxn>
                <a:cxn ang="0">
                  <a:pos x="7680" y="14704"/>
                </a:cxn>
                <a:cxn ang="0">
                  <a:pos x="8192" y="14704"/>
                </a:cxn>
                <a:cxn ang="0">
                  <a:pos x="9216" y="14704"/>
                </a:cxn>
                <a:cxn ang="0">
                  <a:pos x="9728" y="14704"/>
                </a:cxn>
                <a:cxn ang="0">
                  <a:pos x="10240" y="14704"/>
                </a:cxn>
                <a:cxn ang="0">
                  <a:pos x="10752" y="14704"/>
                </a:cxn>
                <a:cxn ang="0">
                  <a:pos x="11776" y="14704"/>
                </a:cxn>
                <a:cxn ang="0">
                  <a:pos x="12288" y="14704"/>
                </a:cxn>
                <a:cxn ang="0">
                  <a:pos x="12288" y="15124"/>
                </a:cxn>
                <a:cxn ang="0">
                  <a:pos x="12800" y="15124"/>
                </a:cxn>
                <a:cxn ang="0">
                  <a:pos x="13824" y="15124"/>
                </a:cxn>
                <a:cxn ang="0">
                  <a:pos x="14336" y="15124"/>
                </a:cxn>
                <a:cxn ang="0">
                  <a:pos x="14848" y="15544"/>
                </a:cxn>
                <a:cxn ang="0">
                  <a:pos x="15360" y="15544"/>
                </a:cxn>
                <a:cxn ang="0">
                  <a:pos x="16384" y="16384"/>
                </a:cxn>
                <a:cxn ang="0">
                  <a:pos x="7680" y="0"/>
                </a:cxn>
              </a:cxnLst>
              <a:rect l="0" t="0" r="r" b="b"/>
              <a:pathLst>
                <a:path w="16384" h="16384">
                  <a:moveTo>
                    <a:pt x="7680" y="0"/>
                  </a:moveTo>
                  <a:lnTo>
                    <a:pt x="0" y="16384"/>
                  </a:lnTo>
                  <a:lnTo>
                    <a:pt x="0" y="15544"/>
                  </a:lnTo>
                  <a:lnTo>
                    <a:pt x="512" y="15544"/>
                  </a:lnTo>
                  <a:lnTo>
                    <a:pt x="1024" y="15544"/>
                  </a:lnTo>
                  <a:lnTo>
                    <a:pt x="2048" y="15124"/>
                  </a:lnTo>
                  <a:lnTo>
                    <a:pt x="2560" y="15124"/>
                  </a:lnTo>
                  <a:lnTo>
                    <a:pt x="3072" y="15124"/>
                  </a:lnTo>
                  <a:lnTo>
                    <a:pt x="3584" y="14704"/>
                  </a:lnTo>
                  <a:lnTo>
                    <a:pt x="4608" y="14704"/>
                  </a:lnTo>
                  <a:lnTo>
                    <a:pt x="5120" y="14704"/>
                  </a:lnTo>
                  <a:lnTo>
                    <a:pt x="5632" y="14704"/>
                  </a:lnTo>
                  <a:lnTo>
                    <a:pt x="6656" y="14704"/>
                  </a:lnTo>
                  <a:lnTo>
                    <a:pt x="7168" y="14704"/>
                  </a:lnTo>
                  <a:lnTo>
                    <a:pt x="7680" y="14704"/>
                  </a:lnTo>
                  <a:lnTo>
                    <a:pt x="8192" y="14704"/>
                  </a:lnTo>
                  <a:lnTo>
                    <a:pt x="9216" y="14704"/>
                  </a:lnTo>
                  <a:lnTo>
                    <a:pt x="9728" y="14704"/>
                  </a:lnTo>
                  <a:lnTo>
                    <a:pt x="10240" y="14704"/>
                  </a:lnTo>
                  <a:lnTo>
                    <a:pt x="10752" y="14704"/>
                  </a:lnTo>
                  <a:lnTo>
                    <a:pt x="11776" y="14704"/>
                  </a:lnTo>
                  <a:lnTo>
                    <a:pt x="12288" y="14704"/>
                  </a:lnTo>
                  <a:lnTo>
                    <a:pt x="12288" y="15124"/>
                  </a:lnTo>
                  <a:lnTo>
                    <a:pt x="12800" y="15124"/>
                  </a:lnTo>
                  <a:lnTo>
                    <a:pt x="13824" y="15124"/>
                  </a:lnTo>
                  <a:lnTo>
                    <a:pt x="14336" y="15124"/>
                  </a:lnTo>
                  <a:lnTo>
                    <a:pt x="14848" y="15544"/>
                  </a:lnTo>
                  <a:lnTo>
                    <a:pt x="15360" y="15544"/>
                  </a:lnTo>
                  <a:lnTo>
                    <a:pt x="16384" y="16384"/>
                  </a:lnTo>
                  <a:lnTo>
                    <a:pt x="7680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82" name="Текст 2176">
              <a:extLst>
                <a:ext uri="{FF2B5EF4-FFF2-40B4-BE49-F238E27FC236}">
                  <a16:creationId xmlns:a16="http://schemas.microsoft.com/office/drawing/2014/main" id="{00000000-0008-0000-0F00-000046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1500000" y="12180000"/>
              <a:ext cx="280000" cy="48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t</a:t>
              </a:r>
            </a:p>
          </xdr:txBody>
        </xdr:sp>
        <xdr:sp macro="" textlink="">
          <xdr:nvSpPr>
            <xdr:cNvPr id="13383" name="Объект 2177">
              <a:extLst>
                <a:ext uri="{FF2B5EF4-FFF2-40B4-BE49-F238E27FC236}">
                  <a16:creationId xmlns:a16="http://schemas.microsoft.com/office/drawing/2014/main" id="{00000000-0008-0000-0F00-000047340000}"/>
                </a:ext>
              </a:extLst>
            </xdr:cNvPr>
            <xdr:cNvSpPr>
              <a:spLocks/>
            </xdr:cNvSpPr>
          </xdr:nvSpPr>
          <xdr:spPr bwMode="auto">
            <a:xfrm>
              <a:off x="22220000" y="12000000"/>
              <a:ext cx="20000" cy="54000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0" y="5358"/>
                </a:cxn>
                <a:cxn ang="0">
                  <a:pos x="0" y="9473"/>
                </a:cxn>
                <a:cxn ang="0">
                  <a:pos x="0" y="12424"/>
                </a:cxn>
                <a:cxn ang="0">
                  <a:pos x="0" y="14365"/>
                </a:cxn>
                <a:cxn ang="0">
                  <a:pos x="0" y="15530"/>
                </a:cxn>
                <a:cxn ang="0">
                  <a:pos x="0" y="16229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0" y="5358"/>
                  </a:lnTo>
                  <a:lnTo>
                    <a:pt x="0" y="9473"/>
                  </a:lnTo>
                  <a:lnTo>
                    <a:pt x="0" y="12424"/>
                  </a:lnTo>
                  <a:lnTo>
                    <a:pt x="0" y="14365"/>
                  </a:lnTo>
                  <a:lnTo>
                    <a:pt x="0" y="15530"/>
                  </a:lnTo>
                  <a:lnTo>
                    <a:pt x="0" y="16229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00008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384" name="Объект 2178">
              <a:extLst>
                <a:ext uri="{FF2B5EF4-FFF2-40B4-BE49-F238E27FC236}">
                  <a16:creationId xmlns:a16="http://schemas.microsoft.com/office/drawing/2014/main" id="{00000000-0008-0000-0F00-000048340000}"/>
                </a:ext>
              </a:extLst>
            </xdr:cNvPr>
            <xdr:cNvSpPr>
              <a:spLocks/>
            </xdr:cNvSpPr>
          </xdr:nvSpPr>
          <xdr:spPr bwMode="auto">
            <a:xfrm>
              <a:off x="21840000" y="12120000"/>
              <a:ext cx="320000" cy="0"/>
            </a:xfrm>
            <a:custGeom>
              <a:avLst/>
              <a:gdLst/>
              <a:ahLst/>
              <a:cxnLst>
                <a:cxn ang="0">
                  <a:pos x="0" y="0"/>
                </a:cxn>
                <a:cxn ang="0">
                  <a:pos x="5330" y="0"/>
                </a:cxn>
                <a:cxn ang="0">
                  <a:pos x="9278" y="0"/>
                </a:cxn>
                <a:cxn ang="0">
                  <a:pos x="12436" y="0"/>
                </a:cxn>
                <a:cxn ang="0">
                  <a:pos x="14410" y="0"/>
                </a:cxn>
                <a:cxn ang="0">
                  <a:pos x="15397" y="0"/>
                </a:cxn>
                <a:cxn ang="0">
                  <a:pos x="16187" y="0"/>
                </a:cxn>
                <a:cxn ang="0">
                  <a:pos x="16384" y="0"/>
                </a:cxn>
              </a:cxnLst>
              <a:rect l="0" t="0" r="r" b="b"/>
              <a:pathLst>
                <a:path w="16384" h="16384">
                  <a:moveTo>
                    <a:pt x="0" y="0"/>
                  </a:moveTo>
                  <a:lnTo>
                    <a:pt x="5330" y="0"/>
                  </a:lnTo>
                  <a:lnTo>
                    <a:pt x="9278" y="0"/>
                  </a:lnTo>
                  <a:lnTo>
                    <a:pt x="12436" y="0"/>
                  </a:lnTo>
                  <a:lnTo>
                    <a:pt x="14410" y="0"/>
                  </a:lnTo>
                  <a:lnTo>
                    <a:pt x="15397" y="0"/>
                  </a:lnTo>
                  <a:lnTo>
                    <a:pt x="16187" y="0"/>
                  </a:lnTo>
                  <a:lnTo>
                    <a:pt x="16384" y="0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385" name="Объект 2179">
              <a:extLst>
                <a:ext uri="{FF2B5EF4-FFF2-40B4-BE49-F238E27FC236}">
                  <a16:creationId xmlns:a16="http://schemas.microsoft.com/office/drawing/2014/main" id="{00000000-0008-0000-0F00-000049340000}"/>
                </a:ext>
              </a:extLst>
            </xdr:cNvPr>
            <xdr:cNvSpPr>
              <a:spLocks/>
            </xdr:cNvSpPr>
          </xdr:nvSpPr>
          <xdr:spPr bwMode="auto">
            <a:xfrm>
              <a:off x="21760000" y="12060000"/>
              <a:ext cx="160000" cy="60000"/>
            </a:xfrm>
            <a:custGeom>
              <a:avLst/>
              <a:gdLst/>
              <a:ahLst/>
              <a:cxnLst>
                <a:cxn ang="0">
                  <a:pos x="0" y="7680"/>
                </a:cxn>
                <a:cxn ang="0">
                  <a:pos x="16384" y="0"/>
                </a:cxn>
                <a:cxn ang="0">
                  <a:pos x="16384" y="512"/>
                </a:cxn>
                <a:cxn ang="0">
                  <a:pos x="15498" y="1024"/>
                </a:cxn>
                <a:cxn ang="0">
                  <a:pos x="15498" y="2048"/>
                </a:cxn>
                <a:cxn ang="0">
                  <a:pos x="15498" y="2560"/>
                </a:cxn>
                <a:cxn ang="0">
                  <a:pos x="15056" y="3072"/>
                </a:cxn>
                <a:cxn ang="0">
                  <a:pos x="15056" y="4096"/>
                </a:cxn>
                <a:cxn ang="0">
                  <a:pos x="15056" y="4608"/>
                </a:cxn>
                <a:cxn ang="0">
                  <a:pos x="15056" y="5120"/>
                </a:cxn>
                <a:cxn ang="0">
                  <a:pos x="14613" y="5120"/>
                </a:cxn>
                <a:cxn ang="0">
                  <a:pos x="14613" y="5632"/>
                </a:cxn>
                <a:cxn ang="0">
                  <a:pos x="14613" y="6656"/>
                </a:cxn>
                <a:cxn ang="0">
                  <a:pos x="14613" y="7168"/>
                </a:cxn>
                <a:cxn ang="0">
                  <a:pos x="14613" y="7680"/>
                </a:cxn>
                <a:cxn ang="0">
                  <a:pos x="14613" y="8704"/>
                </a:cxn>
                <a:cxn ang="0">
                  <a:pos x="14613" y="9216"/>
                </a:cxn>
                <a:cxn ang="0">
                  <a:pos x="14613" y="9728"/>
                </a:cxn>
                <a:cxn ang="0">
                  <a:pos x="14613" y="10240"/>
                </a:cxn>
                <a:cxn ang="0">
                  <a:pos x="15056" y="11264"/>
                </a:cxn>
                <a:cxn ang="0">
                  <a:pos x="15056" y="11776"/>
                </a:cxn>
                <a:cxn ang="0">
                  <a:pos x="15056" y="12288"/>
                </a:cxn>
                <a:cxn ang="0">
                  <a:pos x="15056" y="12800"/>
                </a:cxn>
                <a:cxn ang="0">
                  <a:pos x="15498" y="13824"/>
                </a:cxn>
                <a:cxn ang="0">
                  <a:pos x="15498" y="14336"/>
                </a:cxn>
                <a:cxn ang="0">
                  <a:pos x="15498" y="14848"/>
                </a:cxn>
                <a:cxn ang="0">
                  <a:pos x="16384" y="14848"/>
                </a:cxn>
                <a:cxn ang="0">
                  <a:pos x="16384" y="15872"/>
                </a:cxn>
                <a:cxn ang="0">
                  <a:pos x="16384" y="16384"/>
                </a:cxn>
                <a:cxn ang="0">
                  <a:pos x="0" y="7680"/>
                </a:cxn>
              </a:cxnLst>
              <a:rect l="0" t="0" r="r" b="b"/>
              <a:pathLst>
                <a:path w="16384" h="16384">
                  <a:moveTo>
                    <a:pt x="0" y="7680"/>
                  </a:moveTo>
                  <a:lnTo>
                    <a:pt x="16384" y="0"/>
                  </a:lnTo>
                  <a:lnTo>
                    <a:pt x="16384" y="512"/>
                  </a:lnTo>
                  <a:lnTo>
                    <a:pt x="15498" y="1024"/>
                  </a:lnTo>
                  <a:lnTo>
                    <a:pt x="15498" y="2048"/>
                  </a:lnTo>
                  <a:lnTo>
                    <a:pt x="15498" y="2560"/>
                  </a:lnTo>
                  <a:lnTo>
                    <a:pt x="15056" y="3072"/>
                  </a:lnTo>
                  <a:lnTo>
                    <a:pt x="15056" y="4096"/>
                  </a:lnTo>
                  <a:lnTo>
                    <a:pt x="15056" y="4608"/>
                  </a:lnTo>
                  <a:lnTo>
                    <a:pt x="15056" y="5120"/>
                  </a:lnTo>
                  <a:lnTo>
                    <a:pt x="14613" y="5120"/>
                  </a:lnTo>
                  <a:lnTo>
                    <a:pt x="14613" y="5632"/>
                  </a:lnTo>
                  <a:lnTo>
                    <a:pt x="14613" y="6656"/>
                  </a:lnTo>
                  <a:lnTo>
                    <a:pt x="14613" y="7168"/>
                  </a:lnTo>
                  <a:lnTo>
                    <a:pt x="14613" y="7680"/>
                  </a:lnTo>
                  <a:lnTo>
                    <a:pt x="14613" y="8704"/>
                  </a:lnTo>
                  <a:lnTo>
                    <a:pt x="14613" y="9216"/>
                  </a:lnTo>
                  <a:lnTo>
                    <a:pt x="14613" y="9728"/>
                  </a:lnTo>
                  <a:lnTo>
                    <a:pt x="14613" y="10240"/>
                  </a:lnTo>
                  <a:lnTo>
                    <a:pt x="15056" y="11264"/>
                  </a:lnTo>
                  <a:lnTo>
                    <a:pt x="15056" y="11776"/>
                  </a:lnTo>
                  <a:lnTo>
                    <a:pt x="15056" y="12288"/>
                  </a:lnTo>
                  <a:lnTo>
                    <a:pt x="15056" y="12800"/>
                  </a:lnTo>
                  <a:lnTo>
                    <a:pt x="15498" y="13824"/>
                  </a:lnTo>
                  <a:lnTo>
                    <a:pt x="15498" y="14336"/>
                  </a:lnTo>
                  <a:lnTo>
                    <a:pt x="15498" y="14848"/>
                  </a:lnTo>
                  <a:lnTo>
                    <a:pt x="16384" y="14848"/>
                  </a:lnTo>
                  <a:lnTo>
                    <a:pt x="16384" y="15872"/>
                  </a:lnTo>
                  <a:lnTo>
                    <a:pt x="16384" y="16384"/>
                  </a:lnTo>
                  <a:lnTo>
                    <a:pt x="0" y="768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86" name="Объект 2180">
              <a:extLst>
                <a:ext uri="{FF2B5EF4-FFF2-40B4-BE49-F238E27FC236}">
                  <a16:creationId xmlns:a16="http://schemas.microsoft.com/office/drawing/2014/main" id="{00000000-0008-0000-0F00-00004A340000}"/>
                </a:ext>
              </a:extLst>
            </xdr:cNvPr>
            <xdr:cNvSpPr>
              <a:spLocks/>
            </xdr:cNvSpPr>
          </xdr:nvSpPr>
          <xdr:spPr bwMode="auto">
            <a:xfrm>
              <a:off x="22080000" y="12060000"/>
              <a:ext cx="140000" cy="60000"/>
            </a:xfrm>
            <a:custGeom>
              <a:avLst/>
              <a:gdLst/>
              <a:ahLst/>
              <a:cxnLst>
                <a:cxn ang="0">
                  <a:pos x="16384" y="7680"/>
                </a:cxn>
                <a:cxn ang="0">
                  <a:pos x="0" y="0"/>
                </a:cxn>
                <a:cxn ang="0">
                  <a:pos x="0" y="512"/>
                </a:cxn>
                <a:cxn ang="0">
                  <a:pos x="443" y="512"/>
                </a:cxn>
                <a:cxn ang="0">
                  <a:pos x="443" y="1024"/>
                </a:cxn>
                <a:cxn ang="0">
                  <a:pos x="443" y="2048"/>
                </a:cxn>
                <a:cxn ang="0">
                  <a:pos x="886" y="2560"/>
                </a:cxn>
                <a:cxn ang="0">
                  <a:pos x="886" y="3072"/>
                </a:cxn>
                <a:cxn ang="0">
                  <a:pos x="886" y="4096"/>
                </a:cxn>
                <a:cxn ang="0">
                  <a:pos x="1771" y="4608"/>
                </a:cxn>
                <a:cxn ang="0">
                  <a:pos x="1771" y="5120"/>
                </a:cxn>
                <a:cxn ang="0">
                  <a:pos x="1771" y="5632"/>
                </a:cxn>
                <a:cxn ang="0">
                  <a:pos x="1771" y="6656"/>
                </a:cxn>
                <a:cxn ang="0">
                  <a:pos x="1771" y="7168"/>
                </a:cxn>
                <a:cxn ang="0">
                  <a:pos x="1771" y="7680"/>
                </a:cxn>
                <a:cxn ang="0">
                  <a:pos x="1771" y="8704"/>
                </a:cxn>
                <a:cxn ang="0">
                  <a:pos x="1771" y="9216"/>
                </a:cxn>
                <a:cxn ang="0">
                  <a:pos x="1771" y="9728"/>
                </a:cxn>
                <a:cxn ang="0">
                  <a:pos x="1771" y="10240"/>
                </a:cxn>
                <a:cxn ang="0">
                  <a:pos x="1771" y="11264"/>
                </a:cxn>
                <a:cxn ang="0">
                  <a:pos x="1771" y="11776"/>
                </a:cxn>
                <a:cxn ang="0">
                  <a:pos x="886" y="12288"/>
                </a:cxn>
                <a:cxn ang="0">
                  <a:pos x="886" y="12800"/>
                </a:cxn>
                <a:cxn ang="0">
                  <a:pos x="886" y="13824"/>
                </a:cxn>
                <a:cxn ang="0">
                  <a:pos x="443" y="14336"/>
                </a:cxn>
                <a:cxn ang="0">
                  <a:pos x="443" y="14848"/>
                </a:cxn>
                <a:cxn ang="0">
                  <a:pos x="0" y="15872"/>
                </a:cxn>
                <a:cxn ang="0">
                  <a:pos x="0" y="16384"/>
                </a:cxn>
                <a:cxn ang="0">
                  <a:pos x="16384" y="7680"/>
                </a:cxn>
              </a:cxnLst>
              <a:rect l="0" t="0" r="r" b="b"/>
              <a:pathLst>
                <a:path w="16384" h="16384">
                  <a:moveTo>
                    <a:pt x="16384" y="7680"/>
                  </a:moveTo>
                  <a:lnTo>
                    <a:pt x="0" y="0"/>
                  </a:lnTo>
                  <a:lnTo>
                    <a:pt x="0" y="512"/>
                  </a:lnTo>
                  <a:lnTo>
                    <a:pt x="443" y="512"/>
                  </a:lnTo>
                  <a:lnTo>
                    <a:pt x="443" y="1024"/>
                  </a:lnTo>
                  <a:lnTo>
                    <a:pt x="443" y="2048"/>
                  </a:lnTo>
                  <a:lnTo>
                    <a:pt x="886" y="2560"/>
                  </a:lnTo>
                  <a:lnTo>
                    <a:pt x="886" y="3072"/>
                  </a:lnTo>
                  <a:lnTo>
                    <a:pt x="886" y="4096"/>
                  </a:lnTo>
                  <a:lnTo>
                    <a:pt x="1771" y="4608"/>
                  </a:lnTo>
                  <a:lnTo>
                    <a:pt x="1771" y="5120"/>
                  </a:lnTo>
                  <a:lnTo>
                    <a:pt x="1771" y="5632"/>
                  </a:lnTo>
                  <a:lnTo>
                    <a:pt x="1771" y="6656"/>
                  </a:lnTo>
                  <a:lnTo>
                    <a:pt x="1771" y="7168"/>
                  </a:lnTo>
                  <a:lnTo>
                    <a:pt x="1771" y="7680"/>
                  </a:lnTo>
                  <a:lnTo>
                    <a:pt x="1771" y="8704"/>
                  </a:lnTo>
                  <a:lnTo>
                    <a:pt x="1771" y="9216"/>
                  </a:lnTo>
                  <a:lnTo>
                    <a:pt x="1771" y="9728"/>
                  </a:lnTo>
                  <a:lnTo>
                    <a:pt x="1771" y="10240"/>
                  </a:lnTo>
                  <a:lnTo>
                    <a:pt x="1771" y="11264"/>
                  </a:lnTo>
                  <a:lnTo>
                    <a:pt x="1771" y="11776"/>
                  </a:lnTo>
                  <a:lnTo>
                    <a:pt x="886" y="12288"/>
                  </a:lnTo>
                  <a:lnTo>
                    <a:pt x="886" y="12800"/>
                  </a:lnTo>
                  <a:lnTo>
                    <a:pt x="886" y="13824"/>
                  </a:lnTo>
                  <a:lnTo>
                    <a:pt x="443" y="14336"/>
                  </a:lnTo>
                  <a:lnTo>
                    <a:pt x="443" y="14848"/>
                  </a:lnTo>
                  <a:lnTo>
                    <a:pt x="0" y="15872"/>
                  </a:lnTo>
                  <a:lnTo>
                    <a:pt x="0" y="16384"/>
                  </a:lnTo>
                  <a:lnTo>
                    <a:pt x="16384" y="768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87" name="Текст 2181">
              <a:extLst>
                <a:ext uri="{FF2B5EF4-FFF2-40B4-BE49-F238E27FC236}">
                  <a16:creationId xmlns:a16="http://schemas.microsoft.com/office/drawing/2014/main" id="{00000000-0008-0000-0F00-00004B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1880000" y="11520000"/>
              <a:ext cx="300000" cy="42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b </a:t>
              </a:r>
            </a:p>
          </xdr:txBody>
        </xdr:sp>
        <xdr:sp macro="" textlink="">
          <xdr:nvSpPr>
            <xdr:cNvPr id="13388" name="Текст 2182">
              <a:extLst>
                <a:ext uri="{FF2B5EF4-FFF2-40B4-BE49-F238E27FC236}">
                  <a16:creationId xmlns:a16="http://schemas.microsoft.com/office/drawing/2014/main" id="{00000000-0008-0000-0F00-00004C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1860000" y="11760000"/>
              <a:ext cx="300000" cy="42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4</a:t>
              </a:r>
            </a:p>
          </xdr:txBody>
        </xdr:sp>
        <xdr:sp macro="" textlink="">
          <xdr:nvSpPr>
            <xdr:cNvPr id="13389" name="Текст 2253">
              <a:extLst>
                <a:ext uri="{FF2B5EF4-FFF2-40B4-BE49-F238E27FC236}">
                  <a16:creationId xmlns:a16="http://schemas.microsoft.com/office/drawing/2014/main" id="{00000000-0008-0000-0F00-00004D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1860000" y="10860000"/>
              <a:ext cx="420000" cy="50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X</a:t>
              </a:r>
            </a:p>
          </xdr:txBody>
        </xdr:sp>
        <xdr:sp macro="" textlink="">
          <xdr:nvSpPr>
            <xdr:cNvPr id="13390" name="Текст 2254">
              <a:extLst>
                <a:ext uri="{FF2B5EF4-FFF2-40B4-BE49-F238E27FC236}">
                  <a16:creationId xmlns:a16="http://schemas.microsoft.com/office/drawing/2014/main" id="{00000000-0008-0000-0F00-00004E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0420000" y="10860000"/>
              <a:ext cx="420000" cy="50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X</a:t>
              </a:r>
            </a:p>
          </xdr:txBody>
        </xdr:sp>
        <xdr:sp macro="" textlink="">
          <xdr:nvSpPr>
            <xdr:cNvPr id="13391" name="Объект 2256">
              <a:extLst>
                <a:ext uri="{FF2B5EF4-FFF2-40B4-BE49-F238E27FC236}">
                  <a16:creationId xmlns:a16="http://schemas.microsoft.com/office/drawing/2014/main" id="{00000000-0008-0000-0F00-00004F340000}"/>
                </a:ext>
              </a:extLst>
            </xdr:cNvPr>
            <xdr:cNvSpPr>
              <a:spLocks/>
            </xdr:cNvSpPr>
          </xdr:nvSpPr>
          <xdr:spPr bwMode="auto">
            <a:xfrm>
              <a:off x="21140000" y="10740000"/>
              <a:ext cx="140000" cy="60000"/>
            </a:xfrm>
            <a:custGeom>
              <a:avLst/>
              <a:gdLst/>
              <a:ahLst/>
              <a:cxnLst>
                <a:cxn ang="0">
                  <a:pos x="16384" y="7680"/>
                </a:cxn>
                <a:cxn ang="0">
                  <a:pos x="0" y="16384"/>
                </a:cxn>
                <a:cxn ang="0">
                  <a:pos x="431" y="15360"/>
                </a:cxn>
                <a:cxn ang="0">
                  <a:pos x="431" y="14848"/>
                </a:cxn>
                <a:cxn ang="0">
                  <a:pos x="1293" y="14336"/>
                </a:cxn>
                <a:cxn ang="0">
                  <a:pos x="1293" y="13824"/>
                </a:cxn>
                <a:cxn ang="0">
                  <a:pos x="1293" y="12800"/>
                </a:cxn>
                <a:cxn ang="0">
                  <a:pos x="1725" y="12288"/>
                </a:cxn>
                <a:cxn ang="0">
                  <a:pos x="1725" y="11776"/>
                </a:cxn>
                <a:cxn ang="0">
                  <a:pos x="1725" y="10752"/>
                </a:cxn>
                <a:cxn ang="0">
                  <a:pos x="1725" y="10240"/>
                </a:cxn>
                <a:cxn ang="0">
                  <a:pos x="1725" y="9728"/>
                </a:cxn>
                <a:cxn ang="0">
                  <a:pos x="2156" y="9728"/>
                </a:cxn>
                <a:cxn ang="0">
                  <a:pos x="2156" y="9216"/>
                </a:cxn>
                <a:cxn ang="0">
                  <a:pos x="2156" y="8192"/>
                </a:cxn>
                <a:cxn ang="0">
                  <a:pos x="2156" y="7680"/>
                </a:cxn>
                <a:cxn ang="0">
                  <a:pos x="2156" y="7168"/>
                </a:cxn>
                <a:cxn ang="0">
                  <a:pos x="2156" y="6144"/>
                </a:cxn>
                <a:cxn ang="0">
                  <a:pos x="1725" y="5632"/>
                </a:cxn>
                <a:cxn ang="0">
                  <a:pos x="1725" y="5120"/>
                </a:cxn>
                <a:cxn ang="0">
                  <a:pos x="1725" y="4608"/>
                </a:cxn>
                <a:cxn ang="0">
                  <a:pos x="1725" y="3584"/>
                </a:cxn>
                <a:cxn ang="0">
                  <a:pos x="1725" y="3072"/>
                </a:cxn>
                <a:cxn ang="0">
                  <a:pos x="1293" y="2560"/>
                </a:cxn>
                <a:cxn ang="0">
                  <a:pos x="1293" y="2048"/>
                </a:cxn>
                <a:cxn ang="0">
                  <a:pos x="1293" y="1024"/>
                </a:cxn>
                <a:cxn ang="0">
                  <a:pos x="431" y="512"/>
                </a:cxn>
                <a:cxn ang="0">
                  <a:pos x="431" y="0"/>
                </a:cxn>
                <a:cxn ang="0">
                  <a:pos x="0" y="0"/>
                </a:cxn>
                <a:cxn ang="0">
                  <a:pos x="16384" y="7680"/>
                </a:cxn>
              </a:cxnLst>
              <a:rect l="0" t="0" r="r" b="b"/>
              <a:pathLst>
                <a:path w="16384" h="16384">
                  <a:moveTo>
                    <a:pt x="16384" y="7680"/>
                  </a:moveTo>
                  <a:lnTo>
                    <a:pt x="0" y="16384"/>
                  </a:lnTo>
                  <a:lnTo>
                    <a:pt x="431" y="15360"/>
                  </a:lnTo>
                  <a:lnTo>
                    <a:pt x="431" y="14848"/>
                  </a:lnTo>
                  <a:lnTo>
                    <a:pt x="1293" y="14336"/>
                  </a:lnTo>
                  <a:lnTo>
                    <a:pt x="1293" y="13824"/>
                  </a:lnTo>
                  <a:lnTo>
                    <a:pt x="1293" y="12800"/>
                  </a:lnTo>
                  <a:lnTo>
                    <a:pt x="1725" y="12288"/>
                  </a:lnTo>
                  <a:lnTo>
                    <a:pt x="1725" y="11776"/>
                  </a:lnTo>
                  <a:lnTo>
                    <a:pt x="1725" y="10752"/>
                  </a:lnTo>
                  <a:lnTo>
                    <a:pt x="1725" y="10240"/>
                  </a:lnTo>
                  <a:lnTo>
                    <a:pt x="1725" y="9728"/>
                  </a:lnTo>
                  <a:lnTo>
                    <a:pt x="2156" y="9728"/>
                  </a:lnTo>
                  <a:lnTo>
                    <a:pt x="2156" y="9216"/>
                  </a:lnTo>
                  <a:lnTo>
                    <a:pt x="2156" y="8192"/>
                  </a:lnTo>
                  <a:lnTo>
                    <a:pt x="2156" y="7680"/>
                  </a:lnTo>
                  <a:lnTo>
                    <a:pt x="2156" y="7168"/>
                  </a:lnTo>
                  <a:lnTo>
                    <a:pt x="2156" y="6144"/>
                  </a:lnTo>
                  <a:lnTo>
                    <a:pt x="1725" y="5632"/>
                  </a:lnTo>
                  <a:lnTo>
                    <a:pt x="1725" y="5120"/>
                  </a:lnTo>
                  <a:lnTo>
                    <a:pt x="1725" y="4608"/>
                  </a:lnTo>
                  <a:lnTo>
                    <a:pt x="1725" y="3584"/>
                  </a:lnTo>
                  <a:lnTo>
                    <a:pt x="1725" y="3072"/>
                  </a:lnTo>
                  <a:lnTo>
                    <a:pt x="1293" y="2560"/>
                  </a:lnTo>
                  <a:lnTo>
                    <a:pt x="1293" y="2048"/>
                  </a:lnTo>
                  <a:lnTo>
                    <a:pt x="1293" y="1024"/>
                  </a:lnTo>
                  <a:lnTo>
                    <a:pt x="431" y="512"/>
                  </a:lnTo>
                  <a:lnTo>
                    <a:pt x="431" y="0"/>
                  </a:lnTo>
                  <a:lnTo>
                    <a:pt x="0" y="0"/>
                  </a:lnTo>
                  <a:lnTo>
                    <a:pt x="16384" y="768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92" name="Объект 2258">
              <a:extLst>
                <a:ext uri="{FF2B5EF4-FFF2-40B4-BE49-F238E27FC236}">
                  <a16:creationId xmlns:a16="http://schemas.microsoft.com/office/drawing/2014/main" id="{00000000-0008-0000-0F00-000050340000}"/>
                </a:ext>
              </a:extLst>
            </xdr:cNvPr>
            <xdr:cNvSpPr>
              <a:spLocks/>
            </xdr:cNvSpPr>
          </xdr:nvSpPr>
          <xdr:spPr bwMode="auto">
            <a:xfrm>
              <a:off x="21480000" y="10740000"/>
              <a:ext cx="140000" cy="60000"/>
            </a:xfrm>
            <a:custGeom>
              <a:avLst/>
              <a:gdLst/>
              <a:ahLst/>
              <a:cxnLst>
                <a:cxn ang="0">
                  <a:pos x="0" y="7680"/>
                </a:cxn>
                <a:cxn ang="0">
                  <a:pos x="16384" y="16384"/>
                </a:cxn>
                <a:cxn ang="0">
                  <a:pos x="16384" y="15360"/>
                </a:cxn>
                <a:cxn ang="0">
                  <a:pos x="15941" y="14848"/>
                </a:cxn>
                <a:cxn ang="0">
                  <a:pos x="15941" y="14336"/>
                </a:cxn>
                <a:cxn ang="0">
                  <a:pos x="15498" y="13824"/>
                </a:cxn>
                <a:cxn ang="0">
                  <a:pos x="15498" y="12800"/>
                </a:cxn>
                <a:cxn ang="0">
                  <a:pos x="15498" y="12288"/>
                </a:cxn>
                <a:cxn ang="0">
                  <a:pos x="15498" y="11776"/>
                </a:cxn>
                <a:cxn ang="0">
                  <a:pos x="15056" y="10752"/>
                </a:cxn>
                <a:cxn ang="0">
                  <a:pos x="15056" y="10240"/>
                </a:cxn>
                <a:cxn ang="0">
                  <a:pos x="15056" y="9728"/>
                </a:cxn>
                <a:cxn ang="0">
                  <a:pos x="15056" y="9216"/>
                </a:cxn>
                <a:cxn ang="0">
                  <a:pos x="15056" y="8192"/>
                </a:cxn>
                <a:cxn ang="0">
                  <a:pos x="15056" y="7680"/>
                </a:cxn>
                <a:cxn ang="0">
                  <a:pos x="15056" y="7168"/>
                </a:cxn>
                <a:cxn ang="0">
                  <a:pos x="15056" y="6144"/>
                </a:cxn>
                <a:cxn ang="0">
                  <a:pos x="15056" y="5632"/>
                </a:cxn>
                <a:cxn ang="0">
                  <a:pos x="15056" y="5120"/>
                </a:cxn>
                <a:cxn ang="0">
                  <a:pos x="15056" y="4608"/>
                </a:cxn>
                <a:cxn ang="0">
                  <a:pos x="15498" y="4608"/>
                </a:cxn>
                <a:cxn ang="0">
                  <a:pos x="15498" y="3584"/>
                </a:cxn>
                <a:cxn ang="0">
                  <a:pos x="15498" y="3072"/>
                </a:cxn>
                <a:cxn ang="0">
                  <a:pos x="15498" y="2560"/>
                </a:cxn>
                <a:cxn ang="0">
                  <a:pos x="15498" y="2048"/>
                </a:cxn>
                <a:cxn ang="0">
                  <a:pos x="15941" y="2048"/>
                </a:cxn>
                <a:cxn ang="0">
                  <a:pos x="15941" y="1024"/>
                </a:cxn>
                <a:cxn ang="0">
                  <a:pos x="15941" y="512"/>
                </a:cxn>
                <a:cxn ang="0">
                  <a:pos x="16384" y="0"/>
                </a:cxn>
                <a:cxn ang="0">
                  <a:pos x="0" y="7680"/>
                </a:cxn>
              </a:cxnLst>
              <a:rect l="0" t="0" r="r" b="b"/>
              <a:pathLst>
                <a:path w="16384" h="16384">
                  <a:moveTo>
                    <a:pt x="0" y="7680"/>
                  </a:moveTo>
                  <a:lnTo>
                    <a:pt x="16384" y="16384"/>
                  </a:lnTo>
                  <a:lnTo>
                    <a:pt x="16384" y="15360"/>
                  </a:lnTo>
                  <a:lnTo>
                    <a:pt x="15941" y="14848"/>
                  </a:lnTo>
                  <a:lnTo>
                    <a:pt x="15941" y="14336"/>
                  </a:lnTo>
                  <a:lnTo>
                    <a:pt x="15498" y="13824"/>
                  </a:lnTo>
                  <a:lnTo>
                    <a:pt x="15498" y="12800"/>
                  </a:lnTo>
                  <a:lnTo>
                    <a:pt x="15498" y="12288"/>
                  </a:lnTo>
                  <a:lnTo>
                    <a:pt x="15498" y="11776"/>
                  </a:lnTo>
                  <a:lnTo>
                    <a:pt x="15056" y="10752"/>
                  </a:lnTo>
                  <a:lnTo>
                    <a:pt x="15056" y="10240"/>
                  </a:lnTo>
                  <a:lnTo>
                    <a:pt x="15056" y="9728"/>
                  </a:lnTo>
                  <a:lnTo>
                    <a:pt x="15056" y="9216"/>
                  </a:lnTo>
                  <a:lnTo>
                    <a:pt x="15056" y="8192"/>
                  </a:lnTo>
                  <a:lnTo>
                    <a:pt x="15056" y="7680"/>
                  </a:lnTo>
                  <a:lnTo>
                    <a:pt x="15056" y="7168"/>
                  </a:lnTo>
                  <a:lnTo>
                    <a:pt x="15056" y="6144"/>
                  </a:lnTo>
                  <a:lnTo>
                    <a:pt x="15056" y="5632"/>
                  </a:lnTo>
                  <a:lnTo>
                    <a:pt x="15056" y="5120"/>
                  </a:lnTo>
                  <a:lnTo>
                    <a:pt x="15056" y="4608"/>
                  </a:lnTo>
                  <a:lnTo>
                    <a:pt x="15498" y="4608"/>
                  </a:lnTo>
                  <a:lnTo>
                    <a:pt x="15498" y="3584"/>
                  </a:lnTo>
                  <a:lnTo>
                    <a:pt x="15498" y="3072"/>
                  </a:lnTo>
                  <a:lnTo>
                    <a:pt x="15498" y="2560"/>
                  </a:lnTo>
                  <a:lnTo>
                    <a:pt x="15498" y="2048"/>
                  </a:lnTo>
                  <a:lnTo>
                    <a:pt x="15941" y="2048"/>
                  </a:lnTo>
                  <a:lnTo>
                    <a:pt x="15941" y="1024"/>
                  </a:lnTo>
                  <a:lnTo>
                    <a:pt x="15941" y="512"/>
                  </a:lnTo>
                  <a:lnTo>
                    <a:pt x="16384" y="0"/>
                  </a:lnTo>
                  <a:lnTo>
                    <a:pt x="0" y="768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93" name="Текст 2260">
              <a:extLst>
                <a:ext uri="{FF2B5EF4-FFF2-40B4-BE49-F238E27FC236}">
                  <a16:creationId xmlns:a16="http://schemas.microsoft.com/office/drawing/2014/main" id="{00000000-0008-0000-0F00-0000513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0820000" y="10440000"/>
              <a:ext cx="360000" cy="48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s</a:t>
              </a:r>
            </a:p>
          </xdr:txBody>
        </xdr:sp>
        <xdr:sp macro="" textlink="">
          <xdr:nvSpPr>
            <xdr:cNvPr id="13394" name="Объект 2261">
              <a:extLst>
                <a:ext uri="{FF2B5EF4-FFF2-40B4-BE49-F238E27FC236}">
                  <a16:creationId xmlns:a16="http://schemas.microsoft.com/office/drawing/2014/main" id="{00000000-0008-0000-0F00-000052340000}"/>
                </a:ext>
              </a:extLst>
            </xdr:cNvPr>
            <xdr:cNvSpPr>
              <a:spLocks/>
            </xdr:cNvSpPr>
          </xdr:nvSpPr>
          <xdr:spPr bwMode="auto">
            <a:xfrm>
              <a:off x="20760000" y="10020000"/>
              <a:ext cx="480000" cy="180000"/>
            </a:xfrm>
            <a:custGeom>
              <a:avLst/>
              <a:gdLst/>
              <a:ahLst/>
              <a:cxnLst>
                <a:cxn ang="0">
                  <a:pos x="16384" y="0"/>
                </a:cxn>
                <a:cxn ang="0">
                  <a:pos x="8688" y="16384"/>
                </a:cxn>
                <a:cxn ang="0">
                  <a:pos x="0" y="16384"/>
                </a:cxn>
              </a:cxnLst>
              <a:rect l="0" t="0" r="r" b="b"/>
              <a:pathLst>
                <a:path w="16384" h="16384">
                  <a:moveTo>
                    <a:pt x="16384" y="0"/>
                  </a:moveTo>
                  <a:lnTo>
                    <a:pt x="8688" y="16384"/>
                  </a:lnTo>
                  <a:lnTo>
                    <a:pt x="0" y="16384"/>
                  </a:lnTo>
                </a:path>
              </a:pathLst>
            </a:custGeom>
            <a:noFill/>
            <a:ln w="1" cap="flat">
              <a:solidFill>
                <a:srgbClr val="660066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395" name="Объект 2262">
              <a:extLst>
                <a:ext uri="{FF2B5EF4-FFF2-40B4-BE49-F238E27FC236}">
                  <a16:creationId xmlns:a16="http://schemas.microsoft.com/office/drawing/2014/main" id="{00000000-0008-0000-0F00-000053340000}"/>
                </a:ext>
              </a:extLst>
            </xdr:cNvPr>
            <xdr:cNvSpPr>
              <a:spLocks/>
            </xdr:cNvSpPr>
          </xdr:nvSpPr>
          <xdr:spPr bwMode="auto">
            <a:xfrm>
              <a:off x="21100000" y="10020000"/>
              <a:ext cx="140000" cy="60000"/>
            </a:xfrm>
            <a:custGeom>
              <a:avLst/>
              <a:gdLst/>
              <a:ahLst/>
              <a:cxnLst>
                <a:cxn ang="0">
                  <a:pos x="16384" y="0"/>
                </a:cxn>
                <a:cxn ang="0">
                  <a:pos x="12288" y="16384"/>
                </a:cxn>
                <a:cxn ang="0">
                  <a:pos x="11378" y="15585"/>
                </a:cxn>
                <a:cxn ang="0">
                  <a:pos x="11378" y="15185"/>
                </a:cxn>
                <a:cxn ang="0">
                  <a:pos x="10923" y="14786"/>
                </a:cxn>
                <a:cxn ang="0">
                  <a:pos x="10923" y="13986"/>
                </a:cxn>
                <a:cxn ang="0">
                  <a:pos x="10468" y="13587"/>
                </a:cxn>
                <a:cxn ang="0">
                  <a:pos x="10012" y="13187"/>
                </a:cxn>
                <a:cxn ang="0">
                  <a:pos x="9102" y="12788"/>
                </a:cxn>
                <a:cxn ang="0">
                  <a:pos x="8647" y="11988"/>
                </a:cxn>
                <a:cxn ang="0">
                  <a:pos x="8192" y="11589"/>
                </a:cxn>
                <a:cxn ang="0">
                  <a:pos x="7282" y="11189"/>
                </a:cxn>
                <a:cxn ang="0">
                  <a:pos x="6827" y="11189"/>
                </a:cxn>
                <a:cxn ang="0">
                  <a:pos x="6827" y="10390"/>
                </a:cxn>
                <a:cxn ang="0">
                  <a:pos x="6372" y="10390"/>
                </a:cxn>
                <a:cxn ang="0">
                  <a:pos x="5916" y="9990"/>
                </a:cxn>
                <a:cxn ang="0">
                  <a:pos x="5006" y="9990"/>
                </a:cxn>
                <a:cxn ang="0">
                  <a:pos x="4551" y="9591"/>
                </a:cxn>
                <a:cxn ang="0">
                  <a:pos x="4096" y="9591"/>
                </a:cxn>
                <a:cxn ang="0">
                  <a:pos x="3186" y="9191"/>
                </a:cxn>
                <a:cxn ang="0">
                  <a:pos x="2731" y="9191"/>
                </a:cxn>
                <a:cxn ang="0">
                  <a:pos x="2276" y="9191"/>
                </a:cxn>
                <a:cxn ang="0">
                  <a:pos x="1820" y="8392"/>
                </a:cxn>
                <a:cxn ang="0">
                  <a:pos x="910" y="8392"/>
                </a:cxn>
                <a:cxn ang="0">
                  <a:pos x="455" y="8392"/>
                </a:cxn>
                <a:cxn ang="0">
                  <a:pos x="0" y="8392"/>
                </a:cxn>
                <a:cxn ang="0">
                  <a:pos x="16384" y="0"/>
                </a:cxn>
              </a:cxnLst>
              <a:rect l="0" t="0" r="r" b="b"/>
              <a:pathLst>
                <a:path w="16384" h="16384">
                  <a:moveTo>
                    <a:pt x="16384" y="0"/>
                  </a:moveTo>
                  <a:lnTo>
                    <a:pt x="12288" y="16384"/>
                  </a:lnTo>
                  <a:lnTo>
                    <a:pt x="11378" y="15585"/>
                  </a:lnTo>
                  <a:lnTo>
                    <a:pt x="11378" y="15185"/>
                  </a:lnTo>
                  <a:lnTo>
                    <a:pt x="10923" y="14786"/>
                  </a:lnTo>
                  <a:lnTo>
                    <a:pt x="10923" y="13986"/>
                  </a:lnTo>
                  <a:lnTo>
                    <a:pt x="10468" y="13587"/>
                  </a:lnTo>
                  <a:lnTo>
                    <a:pt x="10012" y="13187"/>
                  </a:lnTo>
                  <a:lnTo>
                    <a:pt x="9102" y="12788"/>
                  </a:lnTo>
                  <a:lnTo>
                    <a:pt x="8647" y="11988"/>
                  </a:lnTo>
                  <a:lnTo>
                    <a:pt x="8192" y="11589"/>
                  </a:lnTo>
                  <a:lnTo>
                    <a:pt x="7282" y="11189"/>
                  </a:lnTo>
                  <a:lnTo>
                    <a:pt x="6827" y="11189"/>
                  </a:lnTo>
                  <a:lnTo>
                    <a:pt x="6827" y="10390"/>
                  </a:lnTo>
                  <a:lnTo>
                    <a:pt x="6372" y="10390"/>
                  </a:lnTo>
                  <a:lnTo>
                    <a:pt x="5916" y="9990"/>
                  </a:lnTo>
                  <a:lnTo>
                    <a:pt x="5006" y="9990"/>
                  </a:lnTo>
                  <a:lnTo>
                    <a:pt x="4551" y="9591"/>
                  </a:lnTo>
                  <a:lnTo>
                    <a:pt x="4096" y="9591"/>
                  </a:lnTo>
                  <a:lnTo>
                    <a:pt x="3186" y="9191"/>
                  </a:lnTo>
                  <a:lnTo>
                    <a:pt x="2731" y="9191"/>
                  </a:lnTo>
                  <a:lnTo>
                    <a:pt x="2276" y="9191"/>
                  </a:lnTo>
                  <a:lnTo>
                    <a:pt x="1820" y="8392"/>
                  </a:lnTo>
                  <a:lnTo>
                    <a:pt x="910" y="8392"/>
                  </a:lnTo>
                  <a:lnTo>
                    <a:pt x="455" y="8392"/>
                  </a:lnTo>
                  <a:lnTo>
                    <a:pt x="0" y="8392"/>
                  </a:lnTo>
                  <a:lnTo>
                    <a:pt x="16384" y="0"/>
                  </a:lnTo>
                  <a:close/>
                </a:path>
              </a:pathLst>
            </a:custGeom>
            <a:solidFill>
              <a:srgbClr val="000080"/>
            </a:solidFill>
            <a:ln w="9525">
              <a:noFill/>
              <a:round/>
              <a:headEnd/>
              <a:tailEnd/>
            </a:ln>
          </xdr:spPr>
        </xdr:sp>
        <xdr:sp macro="" textlink="">
          <xdr:nvSpPr>
            <xdr:cNvPr id="13396" name="Line 84">
              <a:extLst>
                <a:ext uri="{FF2B5EF4-FFF2-40B4-BE49-F238E27FC236}">
                  <a16:creationId xmlns:a16="http://schemas.microsoft.com/office/drawing/2014/main" id="{00000000-0008-0000-0F00-0000543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380000" y="9600000"/>
              <a:ext cx="0" cy="324000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" textlink="">
          <xdr:nvSpPr>
            <xdr:cNvPr id="13397" name="Line 85">
              <a:extLst>
                <a:ext uri="{FF2B5EF4-FFF2-40B4-BE49-F238E27FC236}">
                  <a16:creationId xmlns:a16="http://schemas.microsoft.com/office/drawing/2014/main" id="{00000000-0008-0000-0F00-0000553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0500000" y="11220000"/>
              <a:ext cx="1620000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Dot"/>
              <a:round/>
              <a:headEnd/>
              <a:tailEnd/>
            </a:ln>
          </xdr:spPr>
        </xdr:sp>
        <xdr:sp macro="" textlink="">
          <xdr:nvSpPr>
            <xdr:cNvPr id="13398" name="Line 86">
              <a:extLst>
                <a:ext uri="{FF2B5EF4-FFF2-40B4-BE49-F238E27FC236}">
                  <a16:creationId xmlns:a16="http://schemas.microsoft.com/office/drawing/2014/main" id="{00000000-0008-0000-0F00-0000563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0800000" y="10740000"/>
              <a:ext cx="36000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13399" name="Line 87">
              <a:extLst>
                <a:ext uri="{FF2B5EF4-FFF2-40B4-BE49-F238E27FC236}">
                  <a16:creationId xmlns:a16="http://schemas.microsoft.com/office/drawing/2014/main" id="{00000000-0008-0000-0F00-0000573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600000" y="10740000"/>
              <a:ext cx="26000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13400" name="Line 88">
              <a:extLst>
                <a:ext uri="{FF2B5EF4-FFF2-40B4-BE49-F238E27FC236}">
                  <a16:creationId xmlns:a16="http://schemas.microsoft.com/office/drawing/2014/main" id="{00000000-0008-0000-0F00-0000583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840000" y="11760000"/>
              <a:ext cx="30000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13401" name="Line 89">
              <a:extLst>
                <a:ext uri="{FF2B5EF4-FFF2-40B4-BE49-F238E27FC236}">
                  <a16:creationId xmlns:a16="http://schemas.microsoft.com/office/drawing/2014/main" id="{00000000-0008-0000-0F00-0000593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760000" y="12720000"/>
              <a:ext cx="0" cy="12000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13402" name="Line 90">
              <a:extLst>
                <a:ext uri="{FF2B5EF4-FFF2-40B4-BE49-F238E27FC236}">
                  <a16:creationId xmlns:a16="http://schemas.microsoft.com/office/drawing/2014/main" id="{00000000-0008-0000-0F00-00005A3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760000" y="12000000"/>
              <a:ext cx="0" cy="42000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13403" name="Line 91">
              <a:extLst>
                <a:ext uri="{FF2B5EF4-FFF2-40B4-BE49-F238E27FC236}">
                  <a16:creationId xmlns:a16="http://schemas.microsoft.com/office/drawing/2014/main" id="{00000000-0008-0000-0F00-00005B3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9920000" y="9840000"/>
              <a:ext cx="58000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13404" name="Line 92">
              <a:extLst>
                <a:ext uri="{FF2B5EF4-FFF2-40B4-BE49-F238E27FC236}">
                  <a16:creationId xmlns:a16="http://schemas.microsoft.com/office/drawing/2014/main" id="{00000000-0008-0000-0F00-00005C3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9880000" y="12660000"/>
              <a:ext cx="62000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grpSp>
          <xdr:nvGrpSpPr>
            <xdr:cNvPr id="13410" name="Group 98">
              <a:extLst>
                <a:ext uri="{FF2B5EF4-FFF2-40B4-BE49-F238E27FC236}">
                  <a16:creationId xmlns:a16="http://schemas.microsoft.com/office/drawing/2014/main" id="{00000000-0008-0000-0F00-0000623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80000" y="120000"/>
              <a:ext cx="2600000" cy="4160000"/>
              <a:chOff x="180000" y="120000"/>
              <a:chExt cx="2600000" cy="4160000"/>
            </a:xfrm>
          </xdr:grpSpPr>
          <xdr:sp macro="" textlink="">
            <xdr:nvSpPr>
              <xdr:cNvPr id="13320" name="Rectangle 8">
                <a:extLst>
                  <a:ext uri="{FF2B5EF4-FFF2-40B4-BE49-F238E27FC236}">
                    <a16:creationId xmlns:a16="http://schemas.microsoft.com/office/drawing/2014/main" id="{00000000-0008-0000-0F00-0000083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80000" y="120000"/>
                <a:ext cx="2600000" cy="3960000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3322" name="Объект 1972">
                <a:extLst>
                  <a:ext uri="{FF2B5EF4-FFF2-40B4-BE49-F238E27FC236}">
                    <a16:creationId xmlns:a16="http://schemas.microsoft.com/office/drawing/2014/main" id="{00000000-0008-0000-0F00-00000A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420000"/>
                <a:ext cx="1700000" cy="2820000"/>
              </a:xfrm>
              <a:custGeom>
                <a:avLst/>
                <a:gdLst/>
                <a:ahLst/>
                <a:cxnLst>
                  <a:cxn ang="0">
                    <a:pos x="16384" y="767"/>
                  </a:cxn>
                  <a:cxn ang="0">
                    <a:pos x="16384" y="0"/>
                  </a:cxn>
                  <a:cxn ang="0">
                    <a:pos x="0" y="0"/>
                  </a:cxn>
                  <a:cxn ang="0">
                    <a:pos x="0" y="767"/>
                  </a:cxn>
                  <a:cxn ang="0">
                    <a:pos x="6076" y="767"/>
                  </a:cxn>
                  <a:cxn ang="0">
                    <a:pos x="6510" y="782"/>
                  </a:cxn>
                  <a:cxn ang="0">
                    <a:pos x="6836" y="827"/>
                  </a:cxn>
                  <a:cxn ang="0">
                    <a:pos x="7125" y="887"/>
                  </a:cxn>
                  <a:cxn ang="0">
                    <a:pos x="7270" y="962"/>
                  </a:cxn>
                  <a:cxn ang="0">
                    <a:pos x="7414" y="1037"/>
                  </a:cxn>
                  <a:cxn ang="0">
                    <a:pos x="7451" y="1157"/>
                  </a:cxn>
                  <a:cxn ang="0">
                    <a:pos x="7487" y="1293"/>
                  </a:cxn>
                  <a:cxn ang="0">
                    <a:pos x="7487" y="1428"/>
                  </a:cxn>
                  <a:cxn ang="0">
                    <a:pos x="7487" y="3096"/>
                  </a:cxn>
                  <a:cxn ang="0">
                    <a:pos x="7487" y="4795"/>
                  </a:cxn>
                  <a:cxn ang="0">
                    <a:pos x="7487" y="6478"/>
                  </a:cxn>
                  <a:cxn ang="0">
                    <a:pos x="7487" y="8177"/>
                  </a:cxn>
                  <a:cxn ang="0">
                    <a:pos x="7487" y="9875"/>
                  </a:cxn>
                  <a:cxn ang="0">
                    <a:pos x="7487" y="11559"/>
                  </a:cxn>
                  <a:cxn ang="0">
                    <a:pos x="7487" y="13242"/>
                  </a:cxn>
                  <a:cxn ang="0">
                    <a:pos x="7487" y="14911"/>
                  </a:cxn>
                  <a:cxn ang="0">
                    <a:pos x="7487" y="15046"/>
                  </a:cxn>
                  <a:cxn ang="0">
                    <a:pos x="7451" y="15182"/>
                  </a:cxn>
                  <a:cxn ang="0">
                    <a:pos x="7414" y="15302"/>
                  </a:cxn>
                  <a:cxn ang="0">
                    <a:pos x="7306" y="15392"/>
                  </a:cxn>
                  <a:cxn ang="0">
                    <a:pos x="7161" y="15497"/>
                  </a:cxn>
                  <a:cxn ang="0">
                    <a:pos x="6944" y="15557"/>
                  </a:cxn>
                  <a:cxn ang="0">
                    <a:pos x="6691" y="15602"/>
                  </a:cxn>
                  <a:cxn ang="0">
                    <a:pos x="6402" y="15602"/>
                  </a:cxn>
                  <a:cxn ang="0">
                    <a:pos x="0" y="15602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15602"/>
                  </a:cxn>
                  <a:cxn ang="0">
                    <a:pos x="10380" y="15602"/>
                  </a:cxn>
                  <a:cxn ang="0">
                    <a:pos x="9946" y="15602"/>
                  </a:cxn>
                  <a:cxn ang="0">
                    <a:pos x="9657" y="15572"/>
                  </a:cxn>
                  <a:cxn ang="0">
                    <a:pos x="9440" y="15497"/>
                  </a:cxn>
                  <a:cxn ang="0">
                    <a:pos x="9259" y="15422"/>
                  </a:cxn>
                  <a:cxn ang="0">
                    <a:pos x="9150" y="15302"/>
                  </a:cxn>
                  <a:cxn ang="0">
                    <a:pos x="9114" y="15182"/>
                  </a:cxn>
                  <a:cxn ang="0">
                    <a:pos x="9078" y="15046"/>
                  </a:cxn>
                  <a:cxn ang="0">
                    <a:pos x="9078" y="14911"/>
                  </a:cxn>
                  <a:cxn ang="0">
                    <a:pos x="9078" y="13273"/>
                  </a:cxn>
                  <a:cxn ang="0">
                    <a:pos x="9078" y="11589"/>
                  </a:cxn>
                  <a:cxn ang="0">
                    <a:pos x="9078" y="9891"/>
                  </a:cxn>
                  <a:cxn ang="0">
                    <a:pos x="9078" y="8177"/>
                  </a:cxn>
                  <a:cxn ang="0">
                    <a:pos x="9078" y="6463"/>
                  </a:cxn>
                  <a:cxn ang="0">
                    <a:pos x="9078" y="4750"/>
                  </a:cxn>
                  <a:cxn ang="0">
                    <a:pos x="9078" y="3081"/>
                  </a:cxn>
                  <a:cxn ang="0">
                    <a:pos x="9078" y="1428"/>
                  </a:cxn>
                  <a:cxn ang="0">
                    <a:pos x="9078" y="1263"/>
                  </a:cxn>
                  <a:cxn ang="0">
                    <a:pos x="9114" y="1127"/>
                  </a:cxn>
                  <a:cxn ang="0">
                    <a:pos x="9150" y="1037"/>
                  </a:cxn>
                  <a:cxn ang="0">
                    <a:pos x="9259" y="947"/>
                  </a:cxn>
                  <a:cxn ang="0">
                    <a:pos x="9404" y="857"/>
                  </a:cxn>
                  <a:cxn ang="0">
                    <a:pos x="9621" y="827"/>
                  </a:cxn>
                  <a:cxn ang="0">
                    <a:pos x="9946" y="782"/>
                  </a:cxn>
                  <a:cxn ang="0">
                    <a:pos x="10380" y="767"/>
                  </a:cxn>
                  <a:cxn ang="0">
                    <a:pos x="16384" y="767"/>
                  </a:cxn>
                </a:cxnLst>
                <a:rect l="0" t="0" r="r" b="b"/>
                <a:pathLst>
                  <a:path w="16384" h="16384">
                    <a:moveTo>
                      <a:pt x="16384" y="767"/>
                    </a:moveTo>
                    <a:lnTo>
                      <a:pt x="16384" y="0"/>
                    </a:lnTo>
                    <a:lnTo>
                      <a:pt x="0" y="0"/>
                    </a:lnTo>
                    <a:lnTo>
                      <a:pt x="0" y="767"/>
                    </a:lnTo>
                    <a:lnTo>
                      <a:pt x="6076" y="767"/>
                    </a:lnTo>
                    <a:lnTo>
                      <a:pt x="6510" y="782"/>
                    </a:lnTo>
                    <a:lnTo>
                      <a:pt x="6836" y="827"/>
                    </a:lnTo>
                    <a:lnTo>
                      <a:pt x="7125" y="887"/>
                    </a:lnTo>
                    <a:lnTo>
                      <a:pt x="7270" y="962"/>
                    </a:lnTo>
                    <a:lnTo>
                      <a:pt x="7414" y="1037"/>
                    </a:lnTo>
                    <a:lnTo>
                      <a:pt x="7451" y="1157"/>
                    </a:lnTo>
                    <a:lnTo>
                      <a:pt x="7487" y="1293"/>
                    </a:lnTo>
                    <a:lnTo>
                      <a:pt x="7487" y="1428"/>
                    </a:lnTo>
                    <a:lnTo>
                      <a:pt x="7487" y="3096"/>
                    </a:lnTo>
                    <a:lnTo>
                      <a:pt x="7487" y="4795"/>
                    </a:lnTo>
                    <a:lnTo>
                      <a:pt x="7487" y="6478"/>
                    </a:lnTo>
                    <a:lnTo>
                      <a:pt x="7487" y="8177"/>
                    </a:lnTo>
                    <a:lnTo>
                      <a:pt x="7487" y="9875"/>
                    </a:lnTo>
                    <a:lnTo>
                      <a:pt x="7487" y="11559"/>
                    </a:lnTo>
                    <a:lnTo>
                      <a:pt x="7487" y="13242"/>
                    </a:lnTo>
                    <a:lnTo>
                      <a:pt x="7487" y="14911"/>
                    </a:lnTo>
                    <a:lnTo>
                      <a:pt x="7487" y="15046"/>
                    </a:lnTo>
                    <a:lnTo>
                      <a:pt x="7451" y="15182"/>
                    </a:lnTo>
                    <a:lnTo>
                      <a:pt x="7414" y="15302"/>
                    </a:lnTo>
                    <a:lnTo>
                      <a:pt x="7306" y="15392"/>
                    </a:lnTo>
                    <a:lnTo>
                      <a:pt x="7161" y="15497"/>
                    </a:lnTo>
                    <a:lnTo>
                      <a:pt x="6944" y="15557"/>
                    </a:lnTo>
                    <a:lnTo>
                      <a:pt x="6691" y="15602"/>
                    </a:lnTo>
                    <a:lnTo>
                      <a:pt x="6402" y="15602"/>
                    </a:lnTo>
                    <a:lnTo>
                      <a:pt x="0" y="15602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15602"/>
                    </a:lnTo>
                    <a:lnTo>
                      <a:pt x="10380" y="15602"/>
                    </a:lnTo>
                    <a:lnTo>
                      <a:pt x="9946" y="15602"/>
                    </a:lnTo>
                    <a:lnTo>
                      <a:pt x="9657" y="15572"/>
                    </a:lnTo>
                    <a:lnTo>
                      <a:pt x="9440" y="15497"/>
                    </a:lnTo>
                    <a:lnTo>
                      <a:pt x="9259" y="15422"/>
                    </a:lnTo>
                    <a:lnTo>
                      <a:pt x="9150" y="15302"/>
                    </a:lnTo>
                    <a:lnTo>
                      <a:pt x="9114" y="15182"/>
                    </a:lnTo>
                    <a:lnTo>
                      <a:pt x="9078" y="15046"/>
                    </a:lnTo>
                    <a:lnTo>
                      <a:pt x="9078" y="14911"/>
                    </a:lnTo>
                    <a:lnTo>
                      <a:pt x="9078" y="13273"/>
                    </a:lnTo>
                    <a:lnTo>
                      <a:pt x="9078" y="11589"/>
                    </a:lnTo>
                    <a:lnTo>
                      <a:pt x="9078" y="9891"/>
                    </a:lnTo>
                    <a:lnTo>
                      <a:pt x="9078" y="8177"/>
                    </a:lnTo>
                    <a:lnTo>
                      <a:pt x="9078" y="6463"/>
                    </a:lnTo>
                    <a:lnTo>
                      <a:pt x="9078" y="4750"/>
                    </a:lnTo>
                    <a:lnTo>
                      <a:pt x="9078" y="3081"/>
                    </a:lnTo>
                    <a:lnTo>
                      <a:pt x="9078" y="1428"/>
                    </a:lnTo>
                    <a:lnTo>
                      <a:pt x="9078" y="1263"/>
                    </a:lnTo>
                    <a:lnTo>
                      <a:pt x="9114" y="1127"/>
                    </a:lnTo>
                    <a:lnTo>
                      <a:pt x="9150" y="1037"/>
                    </a:lnTo>
                    <a:lnTo>
                      <a:pt x="9259" y="947"/>
                    </a:lnTo>
                    <a:lnTo>
                      <a:pt x="9404" y="857"/>
                    </a:lnTo>
                    <a:lnTo>
                      <a:pt x="9621" y="827"/>
                    </a:lnTo>
                    <a:lnTo>
                      <a:pt x="9946" y="782"/>
                    </a:lnTo>
                    <a:lnTo>
                      <a:pt x="10380" y="767"/>
                    </a:lnTo>
                    <a:lnTo>
                      <a:pt x="16384" y="767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23" name="Объект 1973">
                <a:extLst>
                  <a:ext uri="{FF2B5EF4-FFF2-40B4-BE49-F238E27FC236}">
                    <a16:creationId xmlns:a16="http://schemas.microsoft.com/office/drawing/2014/main" id="{00000000-0008-0000-0F00-00000B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420000"/>
                <a:ext cx="1700000" cy="2820000"/>
              </a:xfrm>
              <a:custGeom>
                <a:avLst/>
                <a:gdLst/>
                <a:ahLst/>
                <a:cxnLst>
                  <a:cxn ang="0">
                    <a:pos x="16384" y="767"/>
                  </a:cxn>
                  <a:cxn ang="0">
                    <a:pos x="16384" y="0"/>
                  </a:cxn>
                  <a:cxn ang="0">
                    <a:pos x="0" y="0"/>
                  </a:cxn>
                  <a:cxn ang="0">
                    <a:pos x="0" y="767"/>
                  </a:cxn>
                  <a:cxn ang="0">
                    <a:pos x="6076" y="767"/>
                  </a:cxn>
                  <a:cxn ang="0">
                    <a:pos x="6510" y="782"/>
                  </a:cxn>
                  <a:cxn ang="0">
                    <a:pos x="6836" y="827"/>
                  </a:cxn>
                  <a:cxn ang="0">
                    <a:pos x="7125" y="887"/>
                  </a:cxn>
                  <a:cxn ang="0">
                    <a:pos x="7270" y="962"/>
                  </a:cxn>
                  <a:cxn ang="0">
                    <a:pos x="7414" y="1037"/>
                  </a:cxn>
                  <a:cxn ang="0">
                    <a:pos x="7451" y="1157"/>
                  </a:cxn>
                  <a:cxn ang="0">
                    <a:pos x="7487" y="1293"/>
                  </a:cxn>
                  <a:cxn ang="0">
                    <a:pos x="7487" y="1428"/>
                  </a:cxn>
                  <a:cxn ang="0">
                    <a:pos x="7487" y="3096"/>
                  </a:cxn>
                  <a:cxn ang="0">
                    <a:pos x="7487" y="4795"/>
                  </a:cxn>
                  <a:cxn ang="0">
                    <a:pos x="7487" y="6478"/>
                  </a:cxn>
                  <a:cxn ang="0">
                    <a:pos x="7487" y="8177"/>
                  </a:cxn>
                  <a:cxn ang="0">
                    <a:pos x="7487" y="9875"/>
                  </a:cxn>
                  <a:cxn ang="0">
                    <a:pos x="7487" y="11559"/>
                  </a:cxn>
                  <a:cxn ang="0">
                    <a:pos x="7487" y="13242"/>
                  </a:cxn>
                  <a:cxn ang="0">
                    <a:pos x="7487" y="14911"/>
                  </a:cxn>
                  <a:cxn ang="0">
                    <a:pos x="7487" y="15046"/>
                  </a:cxn>
                  <a:cxn ang="0">
                    <a:pos x="7451" y="15182"/>
                  </a:cxn>
                  <a:cxn ang="0">
                    <a:pos x="7414" y="15302"/>
                  </a:cxn>
                  <a:cxn ang="0">
                    <a:pos x="7306" y="15392"/>
                  </a:cxn>
                  <a:cxn ang="0">
                    <a:pos x="7161" y="15497"/>
                  </a:cxn>
                  <a:cxn ang="0">
                    <a:pos x="6944" y="15557"/>
                  </a:cxn>
                  <a:cxn ang="0">
                    <a:pos x="6691" y="15602"/>
                  </a:cxn>
                  <a:cxn ang="0">
                    <a:pos x="6402" y="15602"/>
                  </a:cxn>
                  <a:cxn ang="0">
                    <a:pos x="0" y="15602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15602"/>
                  </a:cxn>
                  <a:cxn ang="0">
                    <a:pos x="10380" y="15602"/>
                  </a:cxn>
                  <a:cxn ang="0">
                    <a:pos x="9946" y="15602"/>
                  </a:cxn>
                  <a:cxn ang="0">
                    <a:pos x="9657" y="15572"/>
                  </a:cxn>
                  <a:cxn ang="0">
                    <a:pos x="9440" y="15497"/>
                  </a:cxn>
                  <a:cxn ang="0">
                    <a:pos x="9259" y="15422"/>
                  </a:cxn>
                  <a:cxn ang="0">
                    <a:pos x="9150" y="15302"/>
                  </a:cxn>
                  <a:cxn ang="0">
                    <a:pos x="9114" y="15182"/>
                  </a:cxn>
                  <a:cxn ang="0">
                    <a:pos x="9078" y="15046"/>
                  </a:cxn>
                  <a:cxn ang="0">
                    <a:pos x="9078" y="14911"/>
                  </a:cxn>
                  <a:cxn ang="0">
                    <a:pos x="9078" y="13273"/>
                  </a:cxn>
                  <a:cxn ang="0">
                    <a:pos x="9078" y="11589"/>
                  </a:cxn>
                  <a:cxn ang="0">
                    <a:pos x="9078" y="9891"/>
                  </a:cxn>
                  <a:cxn ang="0">
                    <a:pos x="9078" y="8177"/>
                  </a:cxn>
                  <a:cxn ang="0">
                    <a:pos x="9078" y="6463"/>
                  </a:cxn>
                  <a:cxn ang="0">
                    <a:pos x="9078" y="4750"/>
                  </a:cxn>
                  <a:cxn ang="0">
                    <a:pos x="9078" y="3081"/>
                  </a:cxn>
                  <a:cxn ang="0">
                    <a:pos x="9078" y="1428"/>
                  </a:cxn>
                  <a:cxn ang="0">
                    <a:pos x="9078" y="1263"/>
                  </a:cxn>
                  <a:cxn ang="0">
                    <a:pos x="9114" y="1127"/>
                  </a:cxn>
                  <a:cxn ang="0">
                    <a:pos x="9150" y="1037"/>
                  </a:cxn>
                  <a:cxn ang="0">
                    <a:pos x="9259" y="947"/>
                  </a:cxn>
                  <a:cxn ang="0">
                    <a:pos x="9404" y="857"/>
                  </a:cxn>
                  <a:cxn ang="0">
                    <a:pos x="9621" y="827"/>
                  </a:cxn>
                  <a:cxn ang="0">
                    <a:pos x="9946" y="782"/>
                  </a:cxn>
                  <a:cxn ang="0">
                    <a:pos x="10380" y="767"/>
                  </a:cxn>
                  <a:cxn ang="0">
                    <a:pos x="16384" y="767"/>
                  </a:cxn>
                </a:cxnLst>
                <a:rect l="0" t="0" r="r" b="b"/>
                <a:pathLst>
                  <a:path w="16384" h="16384">
                    <a:moveTo>
                      <a:pt x="16384" y="767"/>
                    </a:moveTo>
                    <a:lnTo>
                      <a:pt x="16384" y="0"/>
                    </a:lnTo>
                    <a:lnTo>
                      <a:pt x="0" y="0"/>
                    </a:lnTo>
                    <a:lnTo>
                      <a:pt x="0" y="767"/>
                    </a:lnTo>
                    <a:lnTo>
                      <a:pt x="6076" y="767"/>
                    </a:lnTo>
                    <a:lnTo>
                      <a:pt x="6510" y="782"/>
                    </a:lnTo>
                    <a:lnTo>
                      <a:pt x="6836" y="827"/>
                    </a:lnTo>
                    <a:lnTo>
                      <a:pt x="7125" y="887"/>
                    </a:lnTo>
                    <a:lnTo>
                      <a:pt x="7270" y="962"/>
                    </a:lnTo>
                    <a:lnTo>
                      <a:pt x="7414" y="1037"/>
                    </a:lnTo>
                    <a:lnTo>
                      <a:pt x="7451" y="1157"/>
                    </a:lnTo>
                    <a:lnTo>
                      <a:pt x="7487" y="1293"/>
                    </a:lnTo>
                    <a:lnTo>
                      <a:pt x="7487" y="1428"/>
                    </a:lnTo>
                    <a:lnTo>
                      <a:pt x="7487" y="3096"/>
                    </a:lnTo>
                    <a:lnTo>
                      <a:pt x="7487" y="4795"/>
                    </a:lnTo>
                    <a:lnTo>
                      <a:pt x="7487" y="6478"/>
                    </a:lnTo>
                    <a:lnTo>
                      <a:pt x="7487" y="8177"/>
                    </a:lnTo>
                    <a:lnTo>
                      <a:pt x="7487" y="9875"/>
                    </a:lnTo>
                    <a:lnTo>
                      <a:pt x="7487" y="11559"/>
                    </a:lnTo>
                    <a:lnTo>
                      <a:pt x="7487" y="13242"/>
                    </a:lnTo>
                    <a:lnTo>
                      <a:pt x="7487" y="14911"/>
                    </a:lnTo>
                    <a:lnTo>
                      <a:pt x="7487" y="15046"/>
                    </a:lnTo>
                    <a:lnTo>
                      <a:pt x="7451" y="15182"/>
                    </a:lnTo>
                    <a:lnTo>
                      <a:pt x="7414" y="15302"/>
                    </a:lnTo>
                    <a:lnTo>
                      <a:pt x="7306" y="15392"/>
                    </a:lnTo>
                    <a:lnTo>
                      <a:pt x="7161" y="15497"/>
                    </a:lnTo>
                    <a:lnTo>
                      <a:pt x="6944" y="15557"/>
                    </a:lnTo>
                    <a:lnTo>
                      <a:pt x="6691" y="15602"/>
                    </a:lnTo>
                    <a:lnTo>
                      <a:pt x="6402" y="15602"/>
                    </a:lnTo>
                    <a:lnTo>
                      <a:pt x="0" y="15602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15602"/>
                    </a:lnTo>
                    <a:lnTo>
                      <a:pt x="10380" y="15602"/>
                    </a:lnTo>
                    <a:lnTo>
                      <a:pt x="9946" y="15602"/>
                    </a:lnTo>
                    <a:lnTo>
                      <a:pt x="9657" y="15572"/>
                    </a:lnTo>
                    <a:lnTo>
                      <a:pt x="9440" y="15497"/>
                    </a:lnTo>
                    <a:lnTo>
                      <a:pt x="9259" y="15422"/>
                    </a:lnTo>
                    <a:lnTo>
                      <a:pt x="9150" y="15302"/>
                    </a:lnTo>
                    <a:lnTo>
                      <a:pt x="9114" y="15182"/>
                    </a:lnTo>
                    <a:lnTo>
                      <a:pt x="9078" y="15046"/>
                    </a:lnTo>
                    <a:lnTo>
                      <a:pt x="9078" y="14911"/>
                    </a:lnTo>
                    <a:lnTo>
                      <a:pt x="9078" y="13273"/>
                    </a:lnTo>
                    <a:lnTo>
                      <a:pt x="9078" y="11589"/>
                    </a:lnTo>
                    <a:lnTo>
                      <a:pt x="9078" y="9891"/>
                    </a:lnTo>
                    <a:lnTo>
                      <a:pt x="9078" y="8177"/>
                    </a:lnTo>
                    <a:lnTo>
                      <a:pt x="9078" y="6463"/>
                    </a:lnTo>
                    <a:lnTo>
                      <a:pt x="9078" y="4750"/>
                    </a:lnTo>
                    <a:lnTo>
                      <a:pt x="9078" y="3081"/>
                    </a:lnTo>
                    <a:lnTo>
                      <a:pt x="9078" y="1428"/>
                    </a:lnTo>
                    <a:lnTo>
                      <a:pt x="9078" y="1263"/>
                    </a:lnTo>
                    <a:lnTo>
                      <a:pt x="9114" y="1127"/>
                    </a:lnTo>
                    <a:lnTo>
                      <a:pt x="9150" y="1037"/>
                    </a:lnTo>
                    <a:lnTo>
                      <a:pt x="9259" y="947"/>
                    </a:lnTo>
                    <a:lnTo>
                      <a:pt x="9404" y="857"/>
                    </a:lnTo>
                    <a:lnTo>
                      <a:pt x="9621" y="827"/>
                    </a:lnTo>
                    <a:lnTo>
                      <a:pt x="9946" y="782"/>
                    </a:lnTo>
                    <a:lnTo>
                      <a:pt x="10380" y="767"/>
                    </a:lnTo>
                    <a:lnTo>
                      <a:pt x="16384" y="767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24" name="Текст 1974">
                <a:extLst>
                  <a:ext uri="{FF2B5EF4-FFF2-40B4-BE49-F238E27FC236}">
                    <a16:creationId xmlns:a16="http://schemas.microsoft.com/office/drawing/2014/main" id="{00000000-0008-0000-0F00-00000C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00000" y="60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13325" name="Объект 1976">
                <a:extLst>
                  <a:ext uri="{FF2B5EF4-FFF2-40B4-BE49-F238E27FC236}">
                    <a16:creationId xmlns:a16="http://schemas.microsoft.com/office/drawing/2014/main" id="{00000000-0008-0000-0F00-00000D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000" y="480000"/>
                <a:ext cx="0" cy="27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94"/>
                  </a:cxn>
                  <a:cxn ang="0">
                    <a:pos x="0" y="9471"/>
                  </a:cxn>
                  <a:cxn ang="0">
                    <a:pos x="0" y="12369"/>
                  </a:cxn>
                  <a:cxn ang="0">
                    <a:pos x="0" y="14338"/>
                  </a:cxn>
                  <a:cxn ang="0">
                    <a:pos x="0" y="15500"/>
                  </a:cxn>
                  <a:cxn ang="0">
                    <a:pos x="0" y="16120"/>
                  </a:cxn>
                  <a:cxn ang="0">
                    <a:pos x="0" y="16337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94"/>
                    </a:lnTo>
                    <a:lnTo>
                      <a:pt x="0" y="9471"/>
                    </a:lnTo>
                    <a:lnTo>
                      <a:pt x="0" y="12369"/>
                    </a:lnTo>
                    <a:lnTo>
                      <a:pt x="0" y="14338"/>
                    </a:lnTo>
                    <a:lnTo>
                      <a:pt x="0" y="15500"/>
                    </a:lnTo>
                    <a:lnTo>
                      <a:pt x="0" y="16120"/>
                    </a:lnTo>
                    <a:lnTo>
                      <a:pt x="0" y="16337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26" name="Объект 1977">
                <a:extLst>
                  <a:ext uri="{FF2B5EF4-FFF2-40B4-BE49-F238E27FC236}">
                    <a16:creationId xmlns:a16="http://schemas.microsoft.com/office/drawing/2014/main" id="{00000000-0008-0000-0F00-00000E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0000" y="42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440" y="0"/>
                  </a:cxn>
                  <a:cxn ang="0">
                    <a:pos x="16384" y="16384"/>
                  </a:cxn>
                  <a:cxn ang="0">
                    <a:pos x="15888" y="15953"/>
                  </a:cxn>
                  <a:cxn ang="0">
                    <a:pos x="15391" y="15953"/>
                  </a:cxn>
                  <a:cxn ang="0">
                    <a:pos x="14398" y="15522"/>
                  </a:cxn>
                  <a:cxn ang="0">
                    <a:pos x="13902" y="15522"/>
                  </a:cxn>
                  <a:cxn ang="0">
                    <a:pos x="13405" y="15522"/>
                  </a:cxn>
                  <a:cxn ang="0">
                    <a:pos x="12412" y="15091"/>
                  </a:cxn>
                  <a:cxn ang="0">
                    <a:pos x="11916" y="15091"/>
                  </a:cxn>
                  <a:cxn ang="0">
                    <a:pos x="11419" y="15091"/>
                  </a:cxn>
                  <a:cxn ang="0">
                    <a:pos x="10923" y="15091"/>
                  </a:cxn>
                  <a:cxn ang="0">
                    <a:pos x="9930" y="15091"/>
                  </a:cxn>
                  <a:cxn ang="0">
                    <a:pos x="9433" y="15091"/>
                  </a:cxn>
                  <a:cxn ang="0">
                    <a:pos x="9433" y="14228"/>
                  </a:cxn>
                  <a:cxn ang="0">
                    <a:pos x="8937" y="14228"/>
                  </a:cxn>
                  <a:cxn ang="0">
                    <a:pos x="8440" y="14228"/>
                  </a:cxn>
                  <a:cxn ang="0">
                    <a:pos x="7447" y="14228"/>
                  </a:cxn>
                  <a:cxn ang="0">
                    <a:pos x="6951" y="14228"/>
                  </a:cxn>
                  <a:cxn ang="0">
                    <a:pos x="6951" y="15091"/>
                  </a:cxn>
                  <a:cxn ang="0">
                    <a:pos x="6454" y="15091"/>
                  </a:cxn>
                  <a:cxn ang="0">
                    <a:pos x="5461" y="15091"/>
                  </a:cxn>
                  <a:cxn ang="0">
                    <a:pos x="4965" y="15091"/>
                  </a:cxn>
                  <a:cxn ang="0">
                    <a:pos x="4468" y="15091"/>
                  </a:cxn>
                  <a:cxn ang="0">
                    <a:pos x="3972" y="15091"/>
                  </a:cxn>
                  <a:cxn ang="0">
                    <a:pos x="2979" y="15522"/>
                  </a:cxn>
                  <a:cxn ang="0">
                    <a:pos x="2482" y="15522"/>
                  </a:cxn>
                  <a:cxn ang="0">
                    <a:pos x="1986" y="15522"/>
                  </a:cxn>
                  <a:cxn ang="0">
                    <a:pos x="993" y="15953"/>
                  </a:cxn>
                  <a:cxn ang="0">
                    <a:pos x="496" y="15953"/>
                  </a:cxn>
                  <a:cxn ang="0">
                    <a:pos x="0" y="16384"/>
                  </a:cxn>
                  <a:cxn ang="0">
                    <a:pos x="8440" y="0"/>
                  </a:cxn>
                </a:cxnLst>
                <a:rect l="0" t="0" r="r" b="b"/>
                <a:pathLst>
                  <a:path w="16384" h="16384">
                    <a:moveTo>
                      <a:pt x="8440" y="0"/>
                    </a:moveTo>
                    <a:lnTo>
                      <a:pt x="16384" y="16384"/>
                    </a:lnTo>
                    <a:lnTo>
                      <a:pt x="15888" y="15953"/>
                    </a:lnTo>
                    <a:lnTo>
                      <a:pt x="15391" y="15953"/>
                    </a:lnTo>
                    <a:lnTo>
                      <a:pt x="14398" y="15522"/>
                    </a:lnTo>
                    <a:lnTo>
                      <a:pt x="13902" y="15522"/>
                    </a:lnTo>
                    <a:lnTo>
                      <a:pt x="13405" y="15522"/>
                    </a:lnTo>
                    <a:lnTo>
                      <a:pt x="12412" y="15091"/>
                    </a:lnTo>
                    <a:lnTo>
                      <a:pt x="11916" y="15091"/>
                    </a:lnTo>
                    <a:lnTo>
                      <a:pt x="11419" y="15091"/>
                    </a:lnTo>
                    <a:lnTo>
                      <a:pt x="10923" y="15091"/>
                    </a:lnTo>
                    <a:lnTo>
                      <a:pt x="9930" y="15091"/>
                    </a:lnTo>
                    <a:lnTo>
                      <a:pt x="9433" y="15091"/>
                    </a:lnTo>
                    <a:lnTo>
                      <a:pt x="9433" y="14228"/>
                    </a:lnTo>
                    <a:lnTo>
                      <a:pt x="8937" y="14228"/>
                    </a:lnTo>
                    <a:lnTo>
                      <a:pt x="8440" y="14228"/>
                    </a:lnTo>
                    <a:lnTo>
                      <a:pt x="7447" y="14228"/>
                    </a:lnTo>
                    <a:lnTo>
                      <a:pt x="6951" y="14228"/>
                    </a:lnTo>
                    <a:lnTo>
                      <a:pt x="6951" y="15091"/>
                    </a:lnTo>
                    <a:lnTo>
                      <a:pt x="6454" y="15091"/>
                    </a:lnTo>
                    <a:lnTo>
                      <a:pt x="5461" y="15091"/>
                    </a:lnTo>
                    <a:lnTo>
                      <a:pt x="4965" y="15091"/>
                    </a:lnTo>
                    <a:lnTo>
                      <a:pt x="4468" y="15091"/>
                    </a:lnTo>
                    <a:lnTo>
                      <a:pt x="3972" y="15091"/>
                    </a:lnTo>
                    <a:lnTo>
                      <a:pt x="2979" y="15522"/>
                    </a:lnTo>
                    <a:lnTo>
                      <a:pt x="2482" y="15522"/>
                    </a:lnTo>
                    <a:lnTo>
                      <a:pt x="1986" y="15522"/>
                    </a:lnTo>
                    <a:lnTo>
                      <a:pt x="993" y="15953"/>
                    </a:lnTo>
                    <a:lnTo>
                      <a:pt x="496" y="15953"/>
                    </a:lnTo>
                    <a:lnTo>
                      <a:pt x="0" y="16384"/>
                    </a:lnTo>
                    <a:lnTo>
                      <a:pt x="844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27" name="Объект 1978">
                <a:extLst>
                  <a:ext uri="{FF2B5EF4-FFF2-40B4-BE49-F238E27FC236}">
                    <a16:creationId xmlns:a16="http://schemas.microsoft.com/office/drawing/2014/main" id="{00000000-0008-0000-0F00-00000F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0000" y="312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440" y="16384"/>
                  </a:cxn>
                  <a:cxn ang="0">
                    <a:pos x="16384" y="0"/>
                  </a:cxn>
                  <a:cxn ang="0">
                    <a:pos x="15888" y="840"/>
                  </a:cxn>
                  <a:cxn ang="0">
                    <a:pos x="15391" y="840"/>
                  </a:cxn>
                  <a:cxn ang="0">
                    <a:pos x="14398" y="840"/>
                  </a:cxn>
                  <a:cxn ang="0">
                    <a:pos x="13902" y="1260"/>
                  </a:cxn>
                  <a:cxn ang="0">
                    <a:pos x="13405" y="1260"/>
                  </a:cxn>
                  <a:cxn ang="0">
                    <a:pos x="12412" y="1260"/>
                  </a:cxn>
                  <a:cxn ang="0">
                    <a:pos x="11916" y="1680"/>
                  </a:cxn>
                  <a:cxn ang="0">
                    <a:pos x="11419" y="1680"/>
                  </a:cxn>
                  <a:cxn ang="0">
                    <a:pos x="10923" y="1680"/>
                  </a:cxn>
                  <a:cxn ang="0">
                    <a:pos x="9930" y="1680"/>
                  </a:cxn>
                  <a:cxn ang="0">
                    <a:pos x="9433" y="1680"/>
                  </a:cxn>
                  <a:cxn ang="0">
                    <a:pos x="8937" y="1680"/>
                  </a:cxn>
                  <a:cxn ang="0">
                    <a:pos x="8440" y="1680"/>
                  </a:cxn>
                  <a:cxn ang="0">
                    <a:pos x="7447" y="1680"/>
                  </a:cxn>
                  <a:cxn ang="0">
                    <a:pos x="6951" y="1680"/>
                  </a:cxn>
                  <a:cxn ang="0">
                    <a:pos x="6454" y="1680"/>
                  </a:cxn>
                  <a:cxn ang="0">
                    <a:pos x="5461" y="1680"/>
                  </a:cxn>
                  <a:cxn ang="0">
                    <a:pos x="4965" y="1680"/>
                  </a:cxn>
                  <a:cxn ang="0">
                    <a:pos x="4468" y="1680"/>
                  </a:cxn>
                  <a:cxn ang="0">
                    <a:pos x="3972" y="1260"/>
                  </a:cxn>
                  <a:cxn ang="0">
                    <a:pos x="2979" y="1260"/>
                  </a:cxn>
                  <a:cxn ang="0">
                    <a:pos x="2482" y="1260"/>
                  </a:cxn>
                  <a:cxn ang="0">
                    <a:pos x="1986" y="840"/>
                  </a:cxn>
                  <a:cxn ang="0">
                    <a:pos x="993" y="840"/>
                  </a:cxn>
                  <a:cxn ang="0">
                    <a:pos x="496" y="840"/>
                  </a:cxn>
                  <a:cxn ang="0">
                    <a:pos x="0" y="0"/>
                  </a:cxn>
                  <a:cxn ang="0">
                    <a:pos x="8440" y="16384"/>
                  </a:cxn>
                </a:cxnLst>
                <a:rect l="0" t="0" r="r" b="b"/>
                <a:pathLst>
                  <a:path w="16384" h="16384">
                    <a:moveTo>
                      <a:pt x="8440" y="16384"/>
                    </a:moveTo>
                    <a:lnTo>
                      <a:pt x="16384" y="0"/>
                    </a:lnTo>
                    <a:lnTo>
                      <a:pt x="15888" y="840"/>
                    </a:lnTo>
                    <a:lnTo>
                      <a:pt x="15391" y="840"/>
                    </a:lnTo>
                    <a:lnTo>
                      <a:pt x="14398" y="840"/>
                    </a:lnTo>
                    <a:lnTo>
                      <a:pt x="13902" y="1260"/>
                    </a:lnTo>
                    <a:lnTo>
                      <a:pt x="13405" y="1260"/>
                    </a:lnTo>
                    <a:lnTo>
                      <a:pt x="12412" y="1260"/>
                    </a:lnTo>
                    <a:lnTo>
                      <a:pt x="11916" y="1680"/>
                    </a:lnTo>
                    <a:lnTo>
                      <a:pt x="11419" y="1680"/>
                    </a:lnTo>
                    <a:lnTo>
                      <a:pt x="10923" y="1680"/>
                    </a:lnTo>
                    <a:lnTo>
                      <a:pt x="9930" y="1680"/>
                    </a:lnTo>
                    <a:lnTo>
                      <a:pt x="9433" y="1680"/>
                    </a:lnTo>
                    <a:lnTo>
                      <a:pt x="8937" y="1680"/>
                    </a:lnTo>
                    <a:lnTo>
                      <a:pt x="8440" y="1680"/>
                    </a:lnTo>
                    <a:lnTo>
                      <a:pt x="7447" y="1680"/>
                    </a:lnTo>
                    <a:lnTo>
                      <a:pt x="6951" y="1680"/>
                    </a:lnTo>
                    <a:lnTo>
                      <a:pt x="6454" y="1680"/>
                    </a:lnTo>
                    <a:lnTo>
                      <a:pt x="5461" y="1680"/>
                    </a:lnTo>
                    <a:lnTo>
                      <a:pt x="4965" y="1680"/>
                    </a:lnTo>
                    <a:lnTo>
                      <a:pt x="4468" y="1680"/>
                    </a:lnTo>
                    <a:lnTo>
                      <a:pt x="3972" y="1260"/>
                    </a:lnTo>
                    <a:lnTo>
                      <a:pt x="2979" y="1260"/>
                    </a:lnTo>
                    <a:lnTo>
                      <a:pt x="2482" y="1260"/>
                    </a:lnTo>
                    <a:lnTo>
                      <a:pt x="1986" y="840"/>
                    </a:lnTo>
                    <a:lnTo>
                      <a:pt x="993" y="840"/>
                    </a:lnTo>
                    <a:lnTo>
                      <a:pt x="496" y="840"/>
                    </a:lnTo>
                    <a:lnTo>
                      <a:pt x="0" y="0"/>
                    </a:lnTo>
                    <a:lnTo>
                      <a:pt x="844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28" name="Текст 1980">
                <a:extLst>
                  <a:ext uri="{FF2B5EF4-FFF2-40B4-BE49-F238E27FC236}">
                    <a16:creationId xmlns:a16="http://schemas.microsoft.com/office/drawing/2014/main" id="{00000000-0008-0000-0F00-000010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0000" y="168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13330" name="Текст 2164">
                <a:extLst>
                  <a:ext uri="{FF2B5EF4-FFF2-40B4-BE49-F238E27FC236}">
                    <a16:creationId xmlns:a16="http://schemas.microsoft.com/office/drawing/2014/main" id="{00000000-0008-0000-0F00-000012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500000" y="324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3331" name="Текст 2165">
                <a:extLst>
                  <a:ext uri="{FF2B5EF4-FFF2-40B4-BE49-F238E27FC236}">
                    <a16:creationId xmlns:a16="http://schemas.microsoft.com/office/drawing/2014/main" id="{00000000-0008-0000-0F00-000013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20000" y="366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13332" name="Объект 2166">
                <a:extLst>
                  <a:ext uri="{FF2B5EF4-FFF2-40B4-BE49-F238E27FC236}">
                    <a16:creationId xmlns:a16="http://schemas.microsoft.com/office/drawing/2014/main" id="{00000000-0008-0000-0F00-000014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40000" y="3300000"/>
                <a:ext cx="20000" cy="4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449"/>
                  </a:cxn>
                  <a:cxn ang="0">
                    <a:pos x="0" y="12310"/>
                  </a:cxn>
                  <a:cxn ang="0">
                    <a:pos x="0" y="14390"/>
                  </a:cxn>
                  <a:cxn ang="0">
                    <a:pos x="0" y="15604"/>
                  </a:cxn>
                  <a:cxn ang="0">
                    <a:pos x="0" y="1612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449"/>
                    </a:lnTo>
                    <a:lnTo>
                      <a:pt x="0" y="12310"/>
                    </a:lnTo>
                    <a:lnTo>
                      <a:pt x="0" y="14390"/>
                    </a:lnTo>
                    <a:lnTo>
                      <a:pt x="0" y="15604"/>
                    </a:lnTo>
                    <a:lnTo>
                      <a:pt x="0" y="1612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33" name="Объект 2167">
                <a:extLst>
                  <a:ext uri="{FF2B5EF4-FFF2-40B4-BE49-F238E27FC236}">
                    <a16:creationId xmlns:a16="http://schemas.microsoft.com/office/drawing/2014/main" id="{00000000-0008-0000-0F00-000015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0000" y="3660000"/>
                <a:ext cx="154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08" y="0"/>
                  </a:cxn>
                  <a:cxn ang="0">
                    <a:pos x="9465" y="0"/>
                  </a:cxn>
                  <a:cxn ang="0">
                    <a:pos x="12407" y="0"/>
                  </a:cxn>
                  <a:cxn ang="0">
                    <a:pos x="14356" y="0"/>
                  </a:cxn>
                  <a:cxn ang="0">
                    <a:pos x="15509" y="0"/>
                  </a:cxn>
                  <a:cxn ang="0">
                    <a:pos x="16145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08" y="0"/>
                    </a:lnTo>
                    <a:lnTo>
                      <a:pt x="9465" y="0"/>
                    </a:lnTo>
                    <a:lnTo>
                      <a:pt x="12407" y="0"/>
                    </a:lnTo>
                    <a:lnTo>
                      <a:pt x="14356" y="0"/>
                    </a:lnTo>
                    <a:lnTo>
                      <a:pt x="15509" y="0"/>
                    </a:lnTo>
                    <a:lnTo>
                      <a:pt x="16145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34" name="Объект 2168">
                <a:extLst>
                  <a:ext uri="{FF2B5EF4-FFF2-40B4-BE49-F238E27FC236}">
                    <a16:creationId xmlns:a16="http://schemas.microsoft.com/office/drawing/2014/main" id="{00000000-0008-0000-0F00-000016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3660000"/>
                <a:ext cx="160000" cy="60000"/>
              </a:xfrm>
              <a:custGeom>
                <a:avLst/>
                <a:gdLst/>
                <a:ahLst/>
                <a:cxnLst>
                  <a:cxn ang="0">
                    <a:pos x="0" y="7944"/>
                  </a:cxn>
                  <a:cxn ang="0">
                    <a:pos x="16384" y="0"/>
                  </a:cxn>
                  <a:cxn ang="0">
                    <a:pos x="16384" y="496"/>
                  </a:cxn>
                  <a:cxn ang="0">
                    <a:pos x="15953" y="993"/>
                  </a:cxn>
                  <a:cxn ang="0">
                    <a:pos x="15953" y="1489"/>
                  </a:cxn>
                  <a:cxn ang="0">
                    <a:pos x="15953" y="2482"/>
                  </a:cxn>
                  <a:cxn ang="0">
                    <a:pos x="15522" y="2482"/>
                  </a:cxn>
                  <a:cxn ang="0">
                    <a:pos x="15522" y="2979"/>
                  </a:cxn>
                  <a:cxn ang="0">
                    <a:pos x="15522" y="3475"/>
                  </a:cxn>
                  <a:cxn ang="0">
                    <a:pos x="15522" y="4468"/>
                  </a:cxn>
                  <a:cxn ang="0">
                    <a:pos x="14659" y="4468"/>
                  </a:cxn>
                  <a:cxn ang="0">
                    <a:pos x="14659" y="4965"/>
                  </a:cxn>
                  <a:cxn ang="0">
                    <a:pos x="14659" y="5461"/>
                  </a:cxn>
                  <a:cxn ang="0">
                    <a:pos x="14659" y="5958"/>
                  </a:cxn>
                  <a:cxn ang="0">
                    <a:pos x="14659" y="6951"/>
                  </a:cxn>
                  <a:cxn ang="0">
                    <a:pos x="14659" y="7447"/>
                  </a:cxn>
                  <a:cxn ang="0">
                    <a:pos x="14659" y="7944"/>
                  </a:cxn>
                  <a:cxn ang="0">
                    <a:pos x="14659" y="8440"/>
                  </a:cxn>
                  <a:cxn ang="0">
                    <a:pos x="14659" y="9433"/>
                  </a:cxn>
                  <a:cxn ang="0">
                    <a:pos x="14659" y="9930"/>
                  </a:cxn>
                  <a:cxn ang="0">
                    <a:pos x="14659" y="10426"/>
                  </a:cxn>
                  <a:cxn ang="0">
                    <a:pos x="14659" y="11419"/>
                  </a:cxn>
                  <a:cxn ang="0">
                    <a:pos x="14659" y="11916"/>
                  </a:cxn>
                  <a:cxn ang="0">
                    <a:pos x="15522" y="11916"/>
                  </a:cxn>
                  <a:cxn ang="0">
                    <a:pos x="15522" y="12412"/>
                  </a:cxn>
                  <a:cxn ang="0">
                    <a:pos x="15522" y="12909"/>
                  </a:cxn>
                  <a:cxn ang="0">
                    <a:pos x="15522" y="13902"/>
                  </a:cxn>
                  <a:cxn ang="0">
                    <a:pos x="15953" y="13902"/>
                  </a:cxn>
                  <a:cxn ang="0">
                    <a:pos x="15953" y="14398"/>
                  </a:cxn>
                  <a:cxn ang="0">
                    <a:pos x="15953" y="14895"/>
                  </a:cxn>
                  <a:cxn ang="0">
                    <a:pos x="16384" y="15888"/>
                  </a:cxn>
                  <a:cxn ang="0">
                    <a:pos x="16384" y="16384"/>
                  </a:cxn>
                  <a:cxn ang="0">
                    <a:pos x="0" y="7944"/>
                  </a:cxn>
                </a:cxnLst>
                <a:rect l="0" t="0" r="r" b="b"/>
                <a:pathLst>
                  <a:path w="16384" h="16384">
                    <a:moveTo>
                      <a:pt x="0" y="7944"/>
                    </a:moveTo>
                    <a:lnTo>
                      <a:pt x="16384" y="0"/>
                    </a:lnTo>
                    <a:lnTo>
                      <a:pt x="16384" y="496"/>
                    </a:lnTo>
                    <a:lnTo>
                      <a:pt x="15953" y="993"/>
                    </a:lnTo>
                    <a:lnTo>
                      <a:pt x="15953" y="1489"/>
                    </a:lnTo>
                    <a:lnTo>
                      <a:pt x="15953" y="2482"/>
                    </a:lnTo>
                    <a:lnTo>
                      <a:pt x="15522" y="2482"/>
                    </a:lnTo>
                    <a:lnTo>
                      <a:pt x="15522" y="2979"/>
                    </a:lnTo>
                    <a:lnTo>
                      <a:pt x="15522" y="3475"/>
                    </a:lnTo>
                    <a:lnTo>
                      <a:pt x="15522" y="4468"/>
                    </a:lnTo>
                    <a:lnTo>
                      <a:pt x="14659" y="4468"/>
                    </a:lnTo>
                    <a:lnTo>
                      <a:pt x="14659" y="4965"/>
                    </a:lnTo>
                    <a:lnTo>
                      <a:pt x="14659" y="5461"/>
                    </a:lnTo>
                    <a:lnTo>
                      <a:pt x="14659" y="5958"/>
                    </a:lnTo>
                    <a:lnTo>
                      <a:pt x="14659" y="6951"/>
                    </a:lnTo>
                    <a:lnTo>
                      <a:pt x="14659" y="7447"/>
                    </a:lnTo>
                    <a:lnTo>
                      <a:pt x="14659" y="7944"/>
                    </a:lnTo>
                    <a:lnTo>
                      <a:pt x="14659" y="8440"/>
                    </a:lnTo>
                    <a:lnTo>
                      <a:pt x="14659" y="9433"/>
                    </a:lnTo>
                    <a:lnTo>
                      <a:pt x="14659" y="9930"/>
                    </a:lnTo>
                    <a:lnTo>
                      <a:pt x="14659" y="10426"/>
                    </a:lnTo>
                    <a:lnTo>
                      <a:pt x="14659" y="11419"/>
                    </a:lnTo>
                    <a:lnTo>
                      <a:pt x="14659" y="11916"/>
                    </a:lnTo>
                    <a:lnTo>
                      <a:pt x="15522" y="11916"/>
                    </a:lnTo>
                    <a:lnTo>
                      <a:pt x="15522" y="12412"/>
                    </a:lnTo>
                    <a:lnTo>
                      <a:pt x="15522" y="12909"/>
                    </a:lnTo>
                    <a:lnTo>
                      <a:pt x="15522" y="13902"/>
                    </a:lnTo>
                    <a:lnTo>
                      <a:pt x="15953" y="13902"/>
                    </a:lnTo>
                    <a:lnTo>
                      <a:pt x="15953" y="14398"/>
                    </a:lnTo>
                    <a:lnTo>
                      <a:pt x="15953" y="14895"/>
                    </a:lnTo>
                    <a:lnTo>
                      <a:pt x="16384" y="15888"/>
                    </a:lnTo>
                    <a:lnTo>
                      <a:pt x="16384" y="16384"/>
                    </a:lnTo>
                    <a:lnTo>
                      <a:pt x="0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35" name="Объект 2169">
                <a:extLst>
                  <a:ext uri="{FF2B5EF4-FFF2-40B4-BE49-F238E27FC236}">
                    <a16:creationId xmlns:a16="http://schemas.microsoft.com/office/drawing/2014/main" id="{00000000-0008-0000-0F00-000017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00000" y="3660000"/>
                <a:ext cx="140000" cy="60000"/>
              </a:xfrm>
              <a:custGeom>
                <a:avLst/>
                <a:gdLst/>
                <a:ahLst/>
                <a:cxnLst>
                  <a:cxn ang="0">
                    <a:pos x="16384" y="7944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993"/>
                  </a:cxn>
                  <a:cxn ang="0">
                    <a:pos x="886" y="1489"/>
                  </a:cxn>
                  <a:cxn ang="0">
                    <a:pos x="886" y="2482"/>
                  </a:cxn>
                  <a:cxn ang="0">
                    <a:pos x="886" y="2979"/>
                  </a:cxn>
                  <a:cxn ang="0">
                    <a:pos x="1328" y="3475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461"/>
                  </a:cxn>
                  <a:cxn ang="0">
                    <a:pos x="1328" y="5958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7944"/>
                  </a:cxn>
                  <a:cxn ang="0">
                    <a:pos x="1771" y="8440"/>
                  </a:cxn>
                  <a:cxn ang="0">
                    <a:pos x="1771" y="9433"/>
                  </a:cxn>
                  <a:cxn ang="0">
                    <a:pos x="1328" y="9930"/>
                  </a:cxn>
                  <a:cxn ang="0">
                    <a:pos x="1328" y="10426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412"/>
                  </a:cxn>
                  <a:cxn ang="0">
                    <a:pos x="886" y="12909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4895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7944"/>
                  </a:cxn>
                </a:cxnLst>
                <a:rect l="0" t="0" r="r" b="b"/>
                <a:pathLst>
                  <a:path w="16384" h="16384">
                    <a:moveTo>
                      <a:pt x="16384" y="7944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993"/>
                    </a:lnTo>
                    <a:lnTo>
                      <a:pt x="886" y="1489"/>
                    </a:lnTo>
                    <a:lnTo>
                      <a:pt x="886" y="2482"/>
                    </a:lnTo>
                    <a:lnTo>
                      <a:pt x="886" y="2979"/>
                    </a:lnTo>
                    <a:lnTo>
                      <a:pt x="1328" y="3475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461"/>
                    </a:lnTo>
                    <a:lnTo>
                      <a:pt x="1328" y="5958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7944"/>
                    </a:lnTo>
                    <a:lnTo>
                      <a:pt x="1771" y="8440"/>
                    </a:lnTo>
                    <a:lnTo>
                      <a:pt x="1771" y="9433"/>
                    </a:lnTo>
                    <a:lnTo>
                      <a:pt x="1328" y="9930"/>
                    </a:lnTo>
                    <a:lnTo>
                      <a:pt x="1328" y="10426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412"/>
                    </a:lnTo>
                    <a:lnTo>
                      <a:pt x="886" y="12909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4895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36" name="Объект 2170">
                <a:extLst>
                  <a:ext uri="{FF2B5EF4-FFF2-40B4-BE49-F238E27FC236}">
                    <a16:creationId xmlns:a16="http://schemas.microsoft.com/office/drawing/2014/main" id="{00000000-0008-0000-0F00-000018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0000" y="3300000"/>
                <a:ext cx="20000" cy="4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449"/>
                  </a:cxn>
                  <a:cxn ang="0">
                    <a:pos x="0" y="12310"/>
                  </a:cxn>
                  <a:cxn ang="0">
                    <a:pos x="0" y="14390"/>
                  </a:cxn>
                  <a:cxn ang="0">
                    <a:pos x="0" y="15604"/>
                  </a:cxn>
                  <a:cxn ang="0">
                    <a:pos x="0" y="1612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449"/>
                    </a:lnTo>
                    <a:lnTo>
                      <a:pt x="0" y="12310"/>
                    </a:lnTo>
                    <a:lnTo>
                      <a:pt x="0" y="14390"/>
                    </a:lnTo>
                    <a:lnTo>
                      <a:pt x="0" y="15604"/>
                    </a:lnTo>
                    <a:lnTo>
                      <a:pt x="0" y="1612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37" name="Объект 2172">
                <a:extLst>
                  <a:ext uri="{FF2B5EF4-FFF2-40B4-BE49-F238E27FC236}">
                    <a16:creationId xmlns:a16="http://schemas.microsoft.com/office/drawing/2014/main" id="{00000000-0008-0000-0F00-000019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20000" y="300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16384"/>
                  </a:cxn>
                  <a:cxn ang="0">
                    <a:pos x="0" y="0"/>
                  </a:cxn>
                  <a:cxn ang="0">
                    <a:pos x="0" y="431"/>
                  </a:cxn>
                  <a:cxn ang="0">
                    <a:pos x="512" y="431"/>
                  </a:cxn>
                  <a:cxn ang="0">
                    <a:pos x="1024" y="431"/>
                  </a:cxn>
                  <a:cxn ang="0">
                    <a:pos x="2048" y="862"/>
                  </a:cxn>
                  <a:cxn ang="0">
                    <a:pos x="2560" y="862"/>
                  </a:cxn>
                  <a:cxn ang="0">
                    <a:pos x="3072" y="862"/>
                  </a:cxn>
                  <a:cxn ang="0">
                    <a:pos x="3584" y="1293"/>
                  </a:cxn>
                  <a:cxn ang="0">
                    <a:pos x="4608" y="1293"/>
                  </a:cxn>
                  <a:cxn ang="0">
                    <a:pos x="5120" y="1293"/>
                  </a:cxn>
                  <a:cxn ang="0">
                    <a:pos x="5632" y="1293"/>
                  </a:cxn>
                  <a:cxn ang="0">
                    <a:pos x="6656" y="1293"/>
                  </a:cxn>
                  <a:cxn ang="0">
                    <a:pos x="7168" y="1293"/>
                  </a:cxn>
                  <a:cxn ang="0">
                    <a:pos x="7680" y="1293"/>
                  </a:cxn>
                  <a:cxn ang="0">
                    <a:pos x="8192" y="1293"/>
                  </a:cxn>
                  <a:cxn ang="0">
                    <a:pos x="9216" y="1293"/>
                  </a:cxn>
                  <a:cxn ang="0">
                    <a:pos x="9728" y="1293"/>
                  </a:cxn>
                  <a:cxn ang="0">
                    <a:pos x="10240" y="1293"/>
                  </a:cxn>
                  <a:cxn ang="0">
                    <a:pos x="10752" y="1293"/>
                  </a:cxn>
                  <a:cxn ang="0">
                    <a:pos x="11776" y="1293"/>
                  </a:cxn>
                  <a:cxn ang="0">
                    <a:pos x="12288" y="1293"/>
                  </a:cxn>
                  <a:cxn ang="0">
                    <a:pos x="12288" y="862"/>
                  </a:cxn>
                  <a:cxn ang="0">
                    <a:pos x="12800" y="862"/>
                  </a:cxn>
                  <a:cxn ang="0">
                    <a:pos x="13824" y="862"/>
                  </a:cxn>
                  <a:cxn ang="0">
                    <a:pos x="14336" y="862"/>
                  </a:cxn>
                  <a:cxn ang="0">
                    <a:pos x="14848" y="431"/>
                  </a:cxn>
                  <a:cxn ang="0">
                    <a:pos x="15360" y="431"/>
                  </a:cxn>
                  <a:cxn ang="0">
                    <a:pos x="16384" y="0"/>
                  </a:cxn>
                  <a:cxn ang="0">
                    <a:pos x="7680" y="16384"/>
                  </a:cxn>
                </a:cxnLst>
                <a:rect l="0" t="0" r="r" b="b"/>
                <a:pathLst>
                  <a:path w="16384" h="16384">
                    <a:moveTo>
                      <a:pt x="7680" y="16384"/>
                    </a:moveTo>
                    <a:lnTo>
                      <a:pt x="0" y="0"/>
                    </a:lnTo>
                    <a:lnTo>
                      <a:pt x="0" y="431"/>
                    </a:lnTo>
                    <a:lnTo>
                      <a:pt x="512" y="431"/>
                    </a:lnTo>
                    <a:lnTo>
                      <a:pt x="1024" y="431"/>
                    </a:lnTo>
                    <a:lnTo>
                      <a:pt x="2048" y="862"/>
                    </a:lnTo>
                    <a:lnTo>
                      <a:pt x="2560" y="862"/>
                    </a:lnTo>
                    <a:lnTo>
                      <a:pt x="3072" y="862"/>
                    </a:lnTo>
                    <a:lnTo>
                      <a:pt x="3584" y="1293"/>
                    </a:lnTo>
                    <a:lnTo>
                      <a:pt x="4608" y="1293"/>
                    </a:lnTo>
                    <a:lnTo>
                      <a:pt x="5120" y="1293"/>
                    </a:lnTo>
                    <a:lnTo>
                      <a:pt x="5632" y="1293"/>
                    </a:lnTo>
                    <a:lnTo>
                      <a:pt x="6656" y="1293"/>
                    </a:lnTo>
                    <a:lnTo>
                      <a:pt x="7168" y="1293"/>
                    </a:lnTo>
                    <a:lnTo>
                      <a:pt x="7680" y="1293"/>
                    </a:lnTo>
                    <a:lnTo>
                      <a:pt x="8192" y="1293"/>
                    </a:lnTo>
                    <a:lnTo>
                      <a:pt x="9216" y="1293"/>
                    </a:lnTo>
                    <a:lnTo>
                      <a:pt x="9728" y="1293"/>
                    </a:lnTo>
                    <a:lnTo>
                      <a:pt x="10240" y="1293"/>
                    </a:lnTo>
                    <a:lnTo>
                      <a:pt x="10752" y="1293"/>
                    </a:lnTo>
                    <a:lnTo>
                      <a:pt x="11776" y="1293"/>
                    </a:lnTo>
                    <a:lnTo>
                      <a:pt x="12288" y="1293"/>
                    </a:lnTo>
                    <a:lnTo>
                      <a:pt x="12288" y="862"/>
                    </a:lnTo>
                    <a:lnTo>
                      <a:pt x="12800" y="862"/>
                    </a:lnTo>
                    <a:lnTo>
                      <a:pt x="13824" y="862"/>
                    </a:lnTo>
                    <a:lnTo>
                      <a:pt x="14336" y="862"/>
                    </a:lnTo>
                    <a:lnTo>
                      <a:pt x="14848" y="431"/>
                    </a:lnTo>
                    <a:lnTo>
                      <a:pt x="15360" y="431"/>
                    </a:lnTo>
                    <a:lnTo>
                      <a:pt x="16384" y="0"/>
                    </a:lnTo>
                    <a:lnTo>
                      <a:pt x="768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38" name="Объект 2174">
                <a:extLst>
                  <a:ext uri="{FF2B5EF4-FFF2-40B4-BE49-F238E27FC236}">
                    <a16:creationId xmlns:a16="http://schemas.microsoft.com/office/drawing/2014/main" id="{00000000-0008-0000-0F00-00001A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20000" y="324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0"/>
                  </a:cxn>
                  <a:cxn ang="0">
                    <a:pos x="0" y="16384"/>
                  </a:cxn>
                  <a:cxn ang="0">
                    <a:pos x="0" y="15544"/>
                  </a:cxn>
                  <a:cxn ang="0">
                    <a:pos x="512" y="15544"/>
                  </a:cxn>
                  <a:cxn ang="0">
                    <a:pos x="1024" y="15544"/>
                  </a:cxn>
                  <a:cxn ang="0">
                    <a:pos x="2048" y="15124"/>
                  </a:cxn>
                  <a:cxn ang="0">
                    <a:pos x="2560" y="15124"/>
                  </a:cxn>
                  <a:cxn ang="0">
                    <a:pos x="3072" y="15124"/>
                  </a:cxn>
                  <a:cxn ang="0">
                    <a:pos x="3584" y="14704"/>
                  </a:cxn>
                  <a:cxn ang="0">
                    <a:pos x="4608" y="14704"/>
                  </a:cxn>
                  <a:cxn ang="0">
                    <a:pos x="5120" y="14704"/>
                  </a:cxn>
                  <a:cxn ang="0">
                    <a:pos x="5632" y="14704"/>
                  </a:cxn>
                  <a:cxn ang="0">
                    <a:pos x="6656" y="14704"/>
                  </a:cxn>
                  <a:cxn ang="0">
                    <a:pos x="7168" y="14704"/>
                  </a:cxn>
                  <a:cxn ang="0">
                    <a:pos x="7680" y="14704"/>
                  </a:cxn>
                  <a:cxn ang="0">
                    <a:pos x="8192" y="14704"/>
                  </a:cxn>
                  <a:cxn ang="0">
                    <a:pos x="9216" y="14704"/>
                  </a:cxn>
                  <a:cxn ang="0">
                    <a:pos x="9728" y="14704"/>
                  </a:cxn>
                  <a:cxn ang="0">
                    <a:pos x="10240" y="14704"/>
                  </a:cxn>
                  <a:cxn ang="0">
                    <a:pos x="10752" y="14704"/>
                  </a:cxn>
                  <a:cxn ang="0">
                    <a:pos x="11776" y="14704"/>
                  </a:cxn>
                  <a:cxn ang="0">
                    <a:pos x="12288" y="14704"/>
                  </a:cxn>
                  <a:cxn ang="0">
                    <a:pos x="12288" y="15124"/>
                  </a:cxn>
                  <a:cxn ang="0">
                    <a:pos x="12800" y="15124"/>
                  </a:cxn>
                  <a:cxn ang="0">
                    <a:pos x="13824" y="15124"/>
                  </a:cxn>
                  <a:cxn ang="0">
                    <a:pos x="14336" y="15124"/>
                  </a:cxn>
                  <a:cxn ang="0">
                    <a:pos x="14848" y="15544"/>
                  </a:cxn>
                  <a:cxn ang="0">
                    <a:pos x="15360" y="15544"/>
                  </a:cxn>
                  <a:cxn ang="0">
                    <a:pos x="16384" y="16384"/>
                  </a:cxn>
                  <a:cxn ang="0">
                    <a:pos x="7680" y="0"/>
                  </a:cxn>
                </a:cxnLst>
                <a:rect l="0" t="0" r="r" b="b"/>
                <a:pathLst>
                  <a:path w="16384" h="16384">
                    <a:moveTo>
                      <a:pt x="7680" y="0"/>
                    </a:moveTo>
                    <a:lnTo>
                      <a:pt x="0" y="16384"/>
                    </a:lnTo>
                    <a:lnTo>
                      <a:pt x="0" y="15544"/>
                    </a:lnTo>
                    <a:lnTo>
                      <a:pt x="512" y="15544"/>
                    </a:lnTo>
                    <a:lnTo>
                      <a:pt x="1024" y="15544"/>
                    </a:lnTo>
                    <a:lnTo>
                      <a:pt x="2048" y="15124"/>
                    </a:lnTo>
                    <a:lnTo>
                      <a:pt x="2560" y="15124"/>
                    </a:lnTo>
                    <a:lnTo>
                      <a:pt x="3072" y="15124"/>
                    </a:lnTo>
                    <a:lnTo>
                      <a:pt x="3584" y="14704"/>
                    </a:lnTo>
                    <a:lnTo>
                      <a:pt x="4608" y="14704"/>
                    </a:lnTo>
                    <a:lnTo>
                      <a:pt x="5120" y="14704"/>
                    </a:lnTo>
                    <a:lnTo>
                      <a:pt x="5632" y="14704"/>
                    </a:lnTo>
                    <a:lnTo>
                      <a:pt x="6656" y="14704"/>
                    </a:lnTo>
                    <a:lnTo>
                      <a:pt x="7168" y="14704"/>
                    </a:lnTo>
                    <a:lnTo>
                      <a:pt x="7680" y="14704"/>
                    </a:lnTo>
                    <a:lnTo>
                      <a:pt x="8192" y="14704"/>
                    </a:lnTo>
                    <a:lnTo>
                      <a:pt x="9216" y="14704"/>
                    </a:lnTo>
                    <a:lnTo>
                      <a:pt x="9728" y="14704"/>
                    </a:lnTo>
                    <a:lnTo>
                      <a:pt x="10240" y="14704"/>
                    </a:lnTo>
                    <a:lnTo>
                      <a:pt x="10752" y="14704"/>
                    </a:lnTo>
                    <a:lnTo>
                      <a:pt x="11776" y="14704"/>
                    </a:lnTo>
                    <a:lnTo>
                      <a:pt x="12288" y="14704"/>
                    </a:lnTo>
                    <a:lnTo>
                      <a:pt x="12288" y="15124"/>
                    </a:lnTo>
                    <a:lnTo>
                      <a:pt x="12800" y="15124"/>
                    </a:lnTo>
                    <a:lnTo>
                      <a:pt x="13824" y="15124"/>
                    </a:lnTo>
                    <a:lnTo>
                      <a:pt x="14336" y="15124"/>
                    </a:lnTo>
                    <a:lnTo>
                      <a:pt x="14848" y="15544"/>
                    </a:lnTo>
                    <a:lnTo>
                      <a:pt x="15360" y="15544"/>
                    </a:lnTo>
                    <a:lnTo>
                      <a:pt x="16384" y="16384"/>
                    </a:lnTo>
                    <a:lnTo>
                      <a:pt x="768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39" name="Текст 2176">
                <a:extLst>
                  <a:ext uri="{FF2B5EF4-FFF2-40B4-BE49-F238E27FC236}">
                    <a16:creationId xmlns:a16="http://schemas.microsoft.com/office/drawing/2014/main" id="{00000000-0008-0000-0F00-00001B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920000" y="282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13340" name="Объект 2177">
                <a:extLst>
                  <a:ext uri="{FF2B5EF4-FFF2-40B4-BE49-F238E27FC236}">
                    <a16:creationId xmlns:a16="http://schemas.microsoft.com/office/drawing/2014/main" id="{00000000-0008-0000-0F00-00001C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40000" y="2640000"/>
                <a:ext cx="20000" cy="4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58"/>
                  </a:cxn>
                  <a:cxn ang="0">
                    <a:pos x="0" y="9473"/>
                  </a:cxn>
                  <a:cxn ang="0">
                    <a:pos x="0" y="12424"/>
                  </a:cxn>
                  <a:cxn ang="0">
                    <a:pos x="0" y="14365"/>
                  </a:cxn>
                  <a:cxn ang="0">
                    <a:pos x="0" y="15530"/>
                  </a:cxn>
                  <a:cxn ang="0">
                    <a:pos x="0" y="16229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58"/>
                    </a:lnTo>
                    <a:lnTo>
                      <a:pt x="0" y="9473"/>
                    </a:lnTo>
                    <a:lnTo>
                      <a:pt x="0" y="12424"/>
                    </a:lnTo>
                    <a:lnTo>
                      <a:pt x="0" y="14365"/>
                    </a:lnTo>
                    <a:lnTo>
                      <a:pt x="0" y="15530"/>
                    </a:lnTo>
                    <a:lnTo>
                      <a:pt x="0" y="16229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41" name="Объект 2178">
                <a:extLst>
                  <a:ext uri="{FF2B5EF4-FFF2-40B4-BE49-F238E27FC236}">
                    <a16:creationId xmlns:a16="http://schemas.microsoft.com/office/drawing/2014/main" id="{00000000-0008-0000-0F00-00001D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60000" y="2700000"/>
                <a:ext cx="320000" cy="6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330" y="0"/>
                  </a:cxn>
                  <a:cxn ang="0">
                    <a:pos x="9278" y="0"/>
                  </a:cxn>
                  <a:cxn ang="0">
                    <a:pos x="12436" y="0"/>
                  </a:cxn>
                  <a:cxn ang="0">
                    <a:pos x="14410" y="0"/>
                  </a:cxn>
                  <a:cxn ang="0">
                    <a:pos x="15397" y="0"/>
                  </a:cxn>
                  <a:cxn ang="0">
                    <a:pos x="1618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330" y="0"/>
                    </a:lnTo>
                    <a:lnTo>
                      <a:pt x="9278" y="0"/>
                    </a:lnTo>
                    <a:lnTo>
                      <a:pt x="12436" y="0"/>
                    </a:lnTo>
                    <a:lnTo>
                      <a:pt x="14410" y="0"/>
                    </a:lnTo>
                    <a:lnTo>
                      <a:pt x="15397" y="0"/>
                    </a:lnTo>
                    <a:lnTo>
                      <a:pt x="1618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42" name="Объект 2179">
                <a:extLst>
                  <a:ext uri="{FF2B5EF4-FFF2-40B4-BE49-F238E27FC236}">
                    <a16:creationId xmlns:a16="http://schemas.microsoft.com/office/drawing/2014/main" id="{00000000-0008-0000-0F00-00001E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80000" y="2700000"/>
                <a:ext cx="160000" cy="6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0"/>
                  </a:cxn>
                  <a:cxn ang="0">
                    <a:pos x="16384" y="512"/>
                  </a:cxn>
                  <a:cxn ang="0">
                    <a:pos x="15498" y="1024"/>
                  </a:cxn>
                  <a:cxn ang="0">
                    <a:pos x="15498" y="2048"/>
                  </a:cxn>
                  <a:cxn ang="0">
                    <a:pos x="15498" y="2560"/>
                  </a:cxn>
                  <a:cxn ang="0">
                    <a:pos x="15056" y="3072"/>
                  </a:cxn>
                  <a:cxn ang="0">
                    <a:pos x="15056" y="4096"/>
                  </a:cxn>
                  <a:cxn ang="0">
                    <a:pos x="15056" y="4608"/>
                  </a:cxn>
                  <a:cxn ang="0">
                    <a:pos x="15056" y="5120"/>
                  </a:cxn>
                  <a:cxn ang="0">
                    <a:pos x="14613" y="5120"/>
                  </a:cxn>
                  <a:cxn ang="0">
                    <a:pos x="14613" y="5632"/>
                  </a:cxn>
                  <a:cxn ang="0">
                    <a:pos x="14613" y="6656"/>
                  </a:cxn>
                  <a:cxn ang="0">
                    <a:pos x="14613" y="7168"/>
                  </a:cxn>
                  <a:cxn ang="0">
                    <a:pos x="14613" y="7680"/>
                  </a:cxn>
                  <a:cxn ang="0">
                    <a:pos x="14613" y="8704"/>
                  </a:cxn>
                  <a:cxn ang="0">
                    <a:pos x="14613" y="9216"/>
                  </a:cxn>
                  <a:cxn ang="0">
                    <a:pos x="14613" y="9728"/>
                  </a:cxn>
                  <a:cxn ang="0">
                    <a:pos x="14613" y="10240"/>
                  </a:cxn>
                  <a:cxn ang="0">
                    <a:pos x="15056" y="11264"/>
                  </a:cxn>
                  <a:cxn ang="0">
                    <a:pos x="15056" y="11776"/>
                  </a:cxn>
                  <a:cxn ang="0">
                    <a:pos x="15056" y="12288"/>
                  </a:cxn>
                  <a:cxn ang="0">
                    <a:pos x="15056" y="12800"/>
                  </a:cxn>
                  <a:cxn ang="0">
                    <a:pos x="15498" y="13824"/>
                  </a:cxn>
                  <a:cxn ang="0">
                    <a:pos x="15498" y="14336"/>
                  </a:cxn>
                  <a:cxn ang="0">
                    <a:pos x="15498" y="14848"/>
                  </a:cxn>
                  <a:cxn ang="0">
                    <a:pos x="16384" y="14848"/>
                  </a:cxn>
                  <a:cxn ang="0">
                    <a:pos x="16384" y="15872"/>
                  </a:cxn>
                  <a:cxn ang="0">
                    <a:pos x="16384" y="16384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0"/>
                    </a:lnTo>
                    <a:lnTo>
                      <a:pt x="16384" y="512"/>
                    </a:lnTo>
                    <a:lnTo>
                      <a:pt x="15498" y="1024"/>
                    </a:lnTo>
                    <a:lnTo>
                      <a:pt x="15498" y="2048"/>
                    </a:lnTo>
                    <a:lnTo>
                      <a:pt x="15498" y="2560"/>
                    </a:lnTo>
                    <a:lnTo>
                      <a:pt x="15056" y="3072"/>
                    </a:lnTo>
                    <a:lnTo>
                      <a:pt x="15056" y="4096"/>
                    </a:lnTo>
                    <a:lnTo>
                      <a:pt x="15056" y="4608"/>
                    </a:lnTo>
                    <a:lnTo>
                      <a:pt x="15056" y="5120"/>
                    </a:lnTo>
                    <a:lnTo>
                      <a:pt x="14613" y="5120"/>
                    </a:lnTo>
                    <a:lnTo>
                      <a:pt x="14613" y="5632"/>
                    </a:lnTo>
                    <a:lnTo>
                      <a:pt x="14613" y="6656"/>
                    </a:lnTo>
                    <a:lnTo>
                      <a:pt x="14613" y="7168"/>
                    </a:lnTo>
                    <a:lnTo>
                      <a:pt x="14613" y="7680"/>
                    </a:lnTo>
                    <a:lnTo>
                      <a:pt x="14613" y="8704"/>
                    </a:lnTo>
                    <a:lnTo>
                      <a:pt x="14613" y="9216"/>
                    </a:lnTo>
                    <a:lnTo>
                      <a:pt x="14613" y="9728"/>
                    </a:lnTo>
                    <a:lnTo>
                      <a:pt x="14613" y="10240"/>
                    </a:lnTo>
                    <a:lnTo>
                      <a:pt x="15056" y="11264"/>
                    </a:lnTo>
                    <a:lnTo>
                      <a:pt x="15056" y="11776"/>
                    </a:lnTo>
                    <a:lnTo>
                      <a:pt x="15056" y="12288"/>
                    </a:lnTo>
                    <a:lnTo>
                      <a:pt x="15056" y="12800"/>
                    </a:lnTo>
                    <a:lnTo>
                      <a:pt x="15498" y="13824"/>
                    </a:lnTo>
                    <a:lnTo>
                      <a:pt x="15498" y="14336"/>
                    </a:lnTo>
                    <a:lnTo>
                      <a:pt x="15498" y="14848"/>
                    </a:lnTo>
                    <a:lnTo>
                      <a:pt x="16384" y="14848"/>
                    </a:lnTo>
                    <a:lnTo>
                      <a:pt x="16384" y="15872"/>
                    </a:lnTo>
                    <a:lnTo>
                      <a:pt x="16384" y="16384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43" name="Объект 2180">
                <a:extLst>
                  <a:ext uri="{FF2B5EF4-FFF2-40B4-BE49-F238E27FC236}">
                    <a16:creationId xmlns:a16="http://schemas.microsoft.com/office/drawing/2014/main" id="{00000000-0008-0000-0F00-00001F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00000" y="2700000"/>
                <a:ext cx="140000" cy="6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0"/>
                  </a:cxn>
                  <a:cxn ang="0">
                    <a:pos x="0" y="512"/>
                  </a:cxn>
                  <a:cxn ang="0">
                    <a:pos x="443" y="512"/>
                  </a:cxn>
                  <a:cxn ang="0">
                    <a:pos x="443" y="1024"/>
                  </a:cxn>
                  <a:cxn ang="0">
                    <a:pos x="443" y="2048"/>
                  </a:cxn>
                  <a:cxn ang="0">
                    <a:pos x="886" y="2560"/>
                  </a:cxn>
                  <a:cxn ang="0">
                    <a:pos x="886" y="3072"/>
                  </a:cxn>
                  <a:cxn ang="0">
                    <a:pos x="886" y="4096"/>
                  </a:cxn>
                  <a:cxn ang="0">
                    <a:pos x="1771" y="4608"/>
                  </a:cxn>
                  <a:cxn ang="0">
                    <a:pos x="1771" y="5120"/>
                  </a:cxn>
                  <a:cxn ang="0">
                    <a:pos x="1771" y="5632"/>
                  </a:cxn>
                  <a:cxn ang="0">
                    <a:pos x="1771" y="6656"/>
                  </a:cxn>
                  <a:cxn ang="0">
                    <a:pos x="1771" y="7168"/>
                  </a:cxn>
                  <a:cxn ang="0">
                    <a:pos x="1771" y="7680"/>
                  </a:cxn>
                  <a:cxn ang="0">
                    <a:pos x="1771" y="8704"/>
                  </a:cxn>
                  <a:cxn ang="0">
                    <a:pos x="1771" y="9216"/>
                  </a:cxn>
                  <a:cxn ang="0">
                    <a:pos x="1771" y="9728"/>
                  </a:cxn>
                  <a:cxn ang="0">
                    <a:pos x="1771" y="10240"/>
                  </a:cxn>
                  <a:cxn ang="0">
                    <a:pos x="1771" y="11264"/>
                  </a:cxn>
                  <a:cxn ang="0">
                    <a:pos x="1771" y="11776"/>
                  </a:cxn>
                  <a:cxn ang="0">
                    <a:pos x="886" y="12288"/>
                  </a:cxn>
                  <a:cxn ang="0">
                    <a:pos x="886" y="12800"/>
                  </a:cxn>
                  <a:cxn ang="0">
                    <a:pos x="886" y="13824"/>
                  </a:cxn>
                  <a:cxn ang="0">
                    <a:pos x="443" y="14336"/>
                  </a:cxn>
                  <a:cxn ang="0">
                    <a:pos x="443" y="14848"/>
                  </a:cxn>
                  <a:cxn ang="0">
                    <a:pos x="0" y="15872"/>
                  </a:cxn>
                  <a:cxn ang="0">
                    <a:pos x="0" y="16384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0"/>
                    </a:lnTo>
                    <a:lnTo>
                      <a:pt x="0" y="512"/>
                    </a:lnTo>
                    <a:lnTo>
                      <a:pt x="443" y="512"/>
                    </a:lnTo>
                    <a:lnTo>
                      <a:pt x="443" y="1024"/>
                    </a:lnTo>
                    <a:lnTo>
                      <a:pt x="443" y="2048"/>
                    </a:lnTo>
                    <a:lnTo>
                      <a:pt x="886" y="2560"/>
                    </a:lnTo>
                    <a:lnTo>
                      <a:pt x="886" y="3072"/>
                    </a:lnTo>
                    <a:lnTo>
                      <a:pt x="886" y="4096"/>
                    </a:lnTo>
                    <a:lnTo>
                      <a:pt x="1771" y="4608"/>
                    </a:lnTo>
                    <a:lnTo>
                      <a:pt x="1771" y="5120"/>
                    </a:lnTo>
                    <a:lnTo>
                      <a:pt x="1771" y="5632"/>
                    </a:lnTo>
                    <a:lnTo>
                      <a:pt x="1771" y="6656"/>
                    </a:lnTo>
                    <a:lnTo>
                      <a:pt x="1771" y="7168"/>
                    </a:lnTo>
                    <a:lnTo>
                      <a:pt x="1771" y="7680"/>
                    </a:lnTo>
                    <a:lnTo>
                      <a:pt x="1771" y="8704"/>
                    </a:lnTo>
                    <a:lnTo>
                      <a:pt x="1771" y="9216"/>
                    </a:lnTo>
                    <a:lnTo>
                      <a:pt x="1771" y="9728"/>
                    </a:lnTo>
                    <a:lnTo>
                      <a:pt x="1771" y="10240"/>
                    </a:lnTo>
                    <a:lnTo>
                      <a:pt x="1771" y="11264"/>
                    </a:lnTo>
                    <a:lnTo>
                      <a:pt x="1771" y="11776"/>
                    </a:lnTo>
                    <a:lnTo>
                      <a:pt x="886" y="12288"/>
                    </a:lnTo>
                    <a:lnTo>
                      <a:pt x="886" y="12800"/>
                    </a:lnTo>
                    <a:lnTo>
                      <a:pt x="886" y="13824"/>
                    </a:lnTo>
                    <a:lnTo>
                      <a:pt x="443" y="14336"/>
                    </a:lnTo>
                    <a:lnTo>
                      <a:pt x="443" y="14848"/>
                    </a:lnTo>
                    <a:lnTo>
                      <a:pt x="0" y="15872"/>
                    </a:lnTo>
                    <a:lnTo>
                      <a:pt x="0" y="16384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44" name="Текст 2181">
                <a:extLst>
                  <a:ext uri="{FF2B5EF4-FFF2-40B4-BE49-F238E27FC236}">
                    <a16:creationId xmlns:a16="http://schemas.microsoft.com/office/drawing/2014/main" id="{00000000-0008-0000-0F00-000020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300000" y="216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 </a:t>
                </a:r>
              </a:p>
            </xdr:txBody>
          </xdr:sp>
          <xdr:sp macro="" textlink="">
            <xdr:nvSpPr>
              <xdr:cNvPr id="13345" name="Текст 2182">
                <a:extLst>
                  <a:ext uri="{FF2B5EF4-FFF2-40B4-BE49-F238E27FC236}">
                    <a16:creationId xmlns:a16="http://schemas.microsoft.com/office/drawing/2014/main" id="{00000000-0008-0000-0F00-000021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80000" y="234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4</a:t>
                </a:r>
              </a:p>
            </xdr:txBody>
          </xdr:sp>
          <xdr:sp macro="" textlink="">
            <xdr:nvSpPr>
              <xdr:cNvPr id="13346" name="Текст 2253">
                <a:extLst>
                  <a:ext uri="{FF2B5EF4-FFF2-40B4-BE49-F238E27FC236}">
                    <a16:creationId xmlns:a16="http://schemas.microsoft.com/office/drawing/2014/main" id="{00000000-0008-0000-0F00-000022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80000" y="150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3347" name="Текст 2254">
                <a:extLst>
                  <a:ext uri="{FF2B5EF4-FFF2-40B4-BE49-F238E27FC236}">
                    <a16:creationId xmlns:a16="http://schemas.microsoft.com/office/drawing/2014/main" id="{00000000-0008-0000-0F00-000023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40000" y="150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3348" name="Объект 2256">
                <a:extLst>
                  <a:ext uri="{FF2B5EF4-FFF2-40B4-BE49-F238E27FC236}">
                    <a16:creationId xmlns:a16="http://schemas.microsoft.com/office/drawing/2014/main" id="{00000000-0008-0000-0F00-000024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60000" y="132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16384"/>
                  </a:cxn>
                  <a:cxn ang="0">
                    <a:pos x="431" y="15360"/>
                  </a:cxn>
                  <a:cxn ang="0">
                    <a:pos x="431" y="14848"/>
                  </a:cxn>
                  <a:cxn ang="0">
                    <a:pos x="1293" y="14336"/>
                  </a:cxn>
                  <a:cxn ang="0">
                    <a:pos x="1293" y="13824"/>
                  </a:cxn>
                  <a:cxn ang="0">
                    <a:pos x="1293" y="12800"/>
                  </a:cxn>
                  <a:cxn ang="0">
                    <a:pos x="1725" y="12288"/>
                  </a:cxn>
                  <a:cxn ang="0">
                    <a:pos x="1725" y="11776"/>
                  </a:cxn>
                  <a:cxn ang="0">
                    <a:pos x="1725" y="10752"/>
                  </a:cxn>
                  <a:cxn ang="0">
                    <a:pos x="1725" y="10240"/>
                  </a:cxn>
                  <a:cxn ang="0">
                    <a:pos x="1725" y="9728"/>
                  </a:cxn>
                  <a:cxn ang="0">
                    <a:pos x="2156" y="9728"/>
                  </a:cxn>
                  <a:cxn ang="0">
                    <a:pos x="2156" y="9216"/>
                  </a:cxn>
                  <a:cxn ang="0">
                    <a:pos x="2156" y="8192"/>
                  </a:cxn>
                  <a:cxn ang="0">
                    <a:pos x="2156" y="7680"/>
                  </a:cxn>
                  <a:cxn ang="0">
                    <a:pos x="2156" y="7168"/>
                  </a:cxn>
                  <a:cxn ang="0">
                    <a:pos x="2156" y="6144"/>
                  </a:cxn>
                  <a:cxn ang="0">
                    <a:pos x="1725" y="5632"/>
                  </a:cxn>
                  <a:cxn ang="0">
                    <a:pos x="1725" y="5120"/>
                  </a:cxn>
                  <a:cxn ang="0">
                    <a:pos x="1725" y="4608"/>
                  </a:cxn>
                  <a:cxn ang="0">
                    <a:pos x="1725" y="3584"/>
                  </a:cxn>
                  <a:cxn ang="0">
                    <a:pos x="1725" y="3072"/>
                  </a:cxn>
                  <a:cxn ang="0">
                    <a:pos x="1293" y="2560"/>
                  </a:cxn>
                  <a:cxn ang="0">
                    <a:pos x="1293" y="2048"/>
                  </a:cxn>
                  <a:cxn ang="0">
                    <a:pos x="1293" y="1024"/>
                  </a:cxn>
                  <a:cxn ang="0">
                    <a:pos x="431" y="512"/>
                  </a:cxn>
                  <a:cxn ang="0">
                    <a:pos x="431" y="0"/>
                  </a:cxn>
                  <a:cxn ang="0">
                    <a:pos x="0" y="0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16384"/>
                    </a:lnTo>
                    <a:lnTo>
                      <a:pt x="431" y="15360"/>
                    </a:lnTo>
                    <a:lnTo>
                      <a:pt x="431" y="14848"/>
                    </a:lnTo>
                    <a:lnTo>
                      <a:pt x="1293" y="14336"/>
                    </a:lnTo>
                    <a:lnTo>
                      <a:pt x="1293" y="13824"/>
                    </a:lnTo>
                    <a:lnTo>
                      <a:pt x="1293" y="12800"/>
                    </a:lnTo>
                    <a:lnTo>
                      <a:pt x="1725" y="12288"/>
                    </a:lnTo>
                    <a:lnTo>
                      <a:pt x="1725" y="11776"/>
                    </a:lnTo>
                    <a:lnTo>
                      <a:pt x="1725" y="10752"/>
                    </a:lnTo>
                    <a:lnTo>
                      <a:pt x="1725" y="10240"/>
                    </a:lnTo>
                    <a:lnTo>
                      <a:pt x="1725" y="9728"/>
                    </a:lnTo>
                    <a:lnTo>
                      <a:pt x="2156" y="9728"/>
                    </a:lnTo>
                    <a:lnTo>
                      <a:pt x="2156" y="9216"/>
                    </a:lnTo>
                    <a:lnTo>
                      <a:pt x="2156" y="8192"/>
                    </a:lnTo>
                    <a:lnTo>
                      <a:pt x="2156" y="7680"/>
                    </a:lnTo>
                    <a:lnTo>
                      <a:pt x="2156" y="7168"/>
                    </a:lnTo>
                    <a:lnTo>
                      <a:pt x="2156" y="6144"/>
                    </a:lnTo>
                    <a:lnTo>
                      <a:pt x="1725" y="5632"/>
                    </a:lnTo>
                    <a:lnTo>
                      <a:pt x="1725" y="5120"/>
                    </a:lnTo>
                    <a:lnTo>
                      <a:pt x="1725" y="4608"/>
                    </a:lnTo>
                    <a:lnTo>
                      <a:pt x="1725" y="3584"/>
                    </a:lnTo>
                    <a:lnTo>
                      <a:pt x="1725" y="3072"/>
                    </a:lnTo>
                    <a:lnTo>
                      <a:pt x="1293" y="2560"/>
                    </a:lnTo>
                    <a:lnTo>
                      <a:pt x="1293" y="2048"/>
                    </a:lnTo>
                    <a:lnTo>
                      <a:pt x="1293" y="1024"/>
                    </a:lnTo>
                    <a:lnTo>
                      <a:pt x="431" y="512"/>
                    </a:lnTo>
                    <a:lnTo>
                      <a:pt x="431" y="0"/>
                    </a:lnTo>
                    <a:lnTo>
                      <a:pt x="0" y="0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49" name="Объект 2258">
                <a:extLst>
                  <a:ext uri="{FF2B5EF4-FFF2-40B4-BE49-F238E27FC236}">
                    <a16:creationId xmlns:a16="http://schemas.microsoft.com/office/drawing/2014/main" id="{00000000-0008-0000-0F00-000025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00000" y="132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16384"/>
                  </a:cxn>
                  <a:cxn ang="0">
                    <a:pos x="16384" y="15360"/>
                  </a:cxn>
                  <a:cxn ang="0">
                    <a:pos x="15941" y="14848"/>
                  </a:cxn>
                  <a:cxn ang="0">
                    <a:pos x="15941" y="14336"/>
                  </a:cxn>
                  <a:cxn ang="0">
                    <a:pos x="15498" y="13824"/>
                  </a:cxn>
                  <a:cxn ang="0">
                    <a:pos x="15498" y="12800"/>
                  </a:cxn>
                  <a:cxn ang="0">
                    <a:pos x="15498" y="12288"/>
                  </a:cxn>
                  <a:cxn ang="0">
                    <a:pos x="15498" y="11776"/>
                  </a:cxn>
                  <a:cxn ang="0">
                    <a:pos x="15056" y="10752"/>
                  </a:cxn>
                  <a:cxn ang="0">
                    <a:pos x="15056" y="10240"/>
                  </a:cxn>
                  <a:cxn ang="0">
                    <a:pos x="15056" y="9728"/>
                  </a:cxn>
                  <a:cxn ang="0">
                    <a:pos x="15056" y="9216"/>
                  </a:cxn>
                  <a:cxn ang="0">
                    <a:pos x="15056" y="8192"/>
                  </a:cxn>
                  <a:cxn ang="0">
                    <a:pos x="15056" y="7680"/>
                  </a:cxn>
                  <a:cxn ang="0">
                    <a:pos x="15056" y="7168"/>
                  </a:cxn>
                  <a:cxn ang="0">
                    <a:pos x="15056" y="6144"/>
                  </a:cxn>
                  <a:cxn ang="0">
                    <a:pos x="15056" y="5632"/>
                  </a:cxn>
                  <a:cxn ang="0">
                    <a:pos x="15056" y="5120"/>
                  </a:cxn>
                  <a:cxn ang="0">
                    <a:pos x="15056" y="4608"/>
                  </a:cxn>
                  <a:cxn ang="0">
                    <a:pos x="15498" y="4608"/>
                  </a:cxn>
                  <a:cxn ang="0">
                    <a:pos x="15498" y="3584"/>
                  </a:cxn>
                  <a:cxn ang="0">
                    <a:pos x="15498" y="3072"/>
                  </a:cxn>
                  <a:cxn ang="0">
                    <a:pos x="15498" y="2560"/>
                  </a:cxn>
                  <a:cxn ang="0">
                    <a:pos x="15498" y="2048"/>
                  </a:cxn>
                  <a:cxn ang="0">
                    <a:pos x="15941" y="2048"/>
                  </a:cxn>
                  <a:cxn ang="0">
                    <a:pos x="15941" y="1024"/>
                  </a:cxn>
                  <a:cxn ang="0">
                    <a:pos x="15941" y="512"/>
                  </a:cxn>
                  <a:cxn ang="0">
                    <a:pos x="16384" y="0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16384"/>
                    </a:lnTo>
                    <a:lnTo>
                      <a:pt x="16384" y="15360"/>
                    </a:lnTo>
                    <a:lnTo>
                      <a:pt x="15941" y="14848"/>
                    </a:lnTo>
                    <a:lnTo>
                      <a:pt x="15941" y="14336"/>
                    </a:lnTo>
                    <a:lnTo>
                      <a:pt x="15498" y="13824"/>
                    </a:lnTo>
                    <a:lnTo>
                      <a:pt x="15498" y="12800"/>
                    </a:lnTo>
                    <a:lnTo>
                      <a:pt x="15498" y="12288"/>
                    </a:lnTo>
                    <a:lnTo>
                      <a:pt x="15498" y="11776"/>
                    </a:lnTo>
                    <a:lnTo>
                      <a:pt x="15056" y="10752"/>
                    </a:lnTo>
                    <a:lnTo>
                      <a:pt x="15056" y="10240"/>
                    </a:lnTo>
                    <a:lnTo>
                      <a:pt x="15056" y="9728"/>
                    </a:lnTo>
                    <a:lnTo>
                      <a:pt x="15056" y="9216"/>
                    </a:lnTo>
                    <a:lnTo>
                      <a:pt x="15056" y="8192"/>
                    </a:lnTo>
                    <a:lnTo>
                      <a:pt x="15056" y="7680"/>
                    </a:lnTo>
                    <a:lnTo>
                      <a:pt x="15056" y="7168"/>
                    </a:lnTo>
                    <a:lnTo>
                      <a:pt x="15056" y="6144"/>
                    </a:lnTo>
                    <a:lnTo>
                      <a:pt x="15056" y="5632"/>
                    </a:lnTo>
                    <a:lnTo>
                      <a:pt x="15056" y="5120"/>
                    </a:lnTo>
                    <a:lnTo>
                      <a:pt x="15056" y="4608"/>
                    </a:lnTo>
                    <a:lnTo>
                      <a:pt x="15498" y="4608"/>
                    </a:lnTo>
                    <a:lnTo>
                      <a:pt x="15498" y="3584"/>
                    </a:lnTo>
                    <a:lnTo>
                      <a:pt x="15498" y="3072"/>
                    </a:lnTo>
                    <a:lnTo>
                      <a:pt x="15498" y="2560"/>
                    </a:lnTo>
                    <a:lnTo>
                      <a:pt x="15498" y="2048"/>
                    </a:lnTo>
                    <a:lnTo>
                      <a:pt x="15941" y="2048"/>
                    </a:lnTo>
                    <a:lnTo>
                      <a:pt x="15941" y="1024"/>
                    </a:lnTo>
                    <a:lnTo>
                      <a:pt x="15941" y="512"/>
                    </a:lnTo>
                    <a:lnTo>
                      <a:pt x="16384" y="0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50" name="Текст 2260">
                <a:extLst>
                  <a:ext uri="{FF2B5EF4-FFF2-40B4-BE49-F238E27FC236}">
                    <a16:creationId xmlns:a16="http://schemas.microsoft.com/office/drawing/2014/main" id="{00000000-0008-0000-0F00-000026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40000" y="102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13351" name="Объект 2261">
                <a:extLst>
                  <a:ext uri="{FF2B5EF4-FFF2-40B4-BE49-F238E27FC236}">
                    <a16:creationId xmlns:a16="http://schemas.microsoft.com/office/drawing/2014/main" id="{00000000-0008-0000-0F00-000027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80000" y="600000"/>
                <a:ext cx="480000" cy="24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8688" y="1638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8688" y="1638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52" name="Объект 2262">
                <a:extLst>
                  <a:ext uri="{FF2B5EF4-FFF2-40B4-BE49-F238E27FC236}">
                    <a16:creationId xmlns:a16="http://schemas.microsoft.com/office/drawing/2014/main" id="{00000000-0008-0000-0F00-0000283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20000" y="60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2288" y="16384"/>
                  </a:cxn>
                  <a:cxn ang="0">
                    <a:pos x="11378" y="15585"/>
                  </a:cxn>
                  <a:cxn ang="0">
                    <a:pos x="11378" y="15185"/>
                  </a:cxn>
                  <a:cxn ang="0">
                    <a:pos x="10923" y="14786"/>
                  </a:cxn>
                  <a:cxn ang="0">
                    <a:pos x="10923" y="13986"/>
                  </a:cxn>
                  <a:cxn ang="0">
                    <a:pos x="10468" y="13587"/>
                  </a:cxn>
                  <a:cxn ang="0">
                    <a:pos x="10012" y="13187"/>
                  </a:cxn>
                  <a:cxn ang="0">
                    <a:pos x="9102" y="12788"/>
                  </a:cxn>
                  <a:cxn ang="0">
                    <a:pos x="8647" y="11988"/>
                  </a:cxn>
                  <a:cxn ang="0">
                    <a:pos x="8192" y="11589"/>
                  </a:cxn>
                  <a:cxn ang="0">
                    <a:pos x="7282" y="11189"/>
                  </a:cxn>
                  <a:cxn ang="0">
                    <a:pos x="6827" y="11189"/>
                  </a:cxn>
                  <a:cxn ang="0">
                    <a:pos x="6827" y="10390"/>
                  </a:cxn>
                  <a:cxn ang="0">
                    <a:pos x="6372" y="10390"/>
                  </a:cxn>
                  <a:cxn ang="0">
                    <a:pos x="5916" y="9990"/>
                  </a:cxn>
                  <a:cxn ang="0">
                    <a:pos x="5006" y="9990"/>
                  </a:cxn>
                  <a:cxn ang="0">
                    <a:pos x="4551" y="9591"/>
                  </a:cxn>
                  <a:cxn ang="0">
                    <a:pos x="4096" y="9591"/>
                  </a:cxn>
                  <a:cxn ang="0">
                    <a:pos x="3186" y="9191"/>
                  </a:cxn>
                  <a:cxn ang="0">
                    <a:pos x="2731" y="9191"/>
                  </a:cxn>
                  <a:cxn ang="0">
                    <a:pos x="2276" y="9191"/>
                  </a:cxn>
                  <a:cxn ang="0">
                    <a:pos x="1820" y="8392"/>
                  </a:cxn>
                  <a:cxn ang="0">
                    <a:pos x="910" y="8392"/>
                  </a:cxn>
                  <a:cxn ang="0">
                    <a:pos x="455" y="8392"/>
                  </a:cxn>
                  <a:cxn ang="0">
                    <a:pos x="0" y="8392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2288" y="16384"/>
                    </a:lnTo>
                    <a:lnTo>
                      <a:pt x="11378" y="15585"/>
                    </a:lnTo>
                    <a:lnTo>
                      <a:pt x="11378" y="15185"/>
                    </a:lnTo>
                    <a:lnTo>
                      <a:pt x="10923" y="14786"/>
                    </a:lnTo>
                    <a:lnTo>
                      <a:pt x="10923" y="13986"/>
                    </a:lnTo>
                    <a:lnTo>
                      <a:pt x="10468" y="13587"/>
                    </a:lnTo>
                    <a:lnTo>
                      <a:pt x="10012" y="13187"/>
                    </a:lnTo>
                    <a:lnTo>
                      <a:pt x="9102" y="12788"/>
                    </a:lnTo>
                    <a:lnTo>
                      <a:pt x="8647" y="11988"/>
                    </a:lnTo>
                    <a:lnTo>
                      <a:pt x="8192" y="11589"/>
                    </a:lnTo>
                    <a:lnTo>
                      <a:pt x="7282" y="11189"/>
                    </a:lnTo>
                    <a:lnTo>
                      <a:pt x="6827" y="11189"/>
                    </a:lnTo>
                    <a:lnTo>
                      <a:pt x="6827" y="10390"/>
                    </a:lnTo>
                    <a:lnTo>
                      <a:pt x="6372" y="10390"/>
                    </a:lnTo>
                    <a:lnTo>
                      <a:pt x="5916" y="9990"/>
                    </a:lnTo>
                    <a:lnTo>
                      <a:pt x="5006" y="9990"/>
                    </a:lnTo>
                    <a:lnTo>
                      <a:pt x="4551" y="9591"/>
                    </a:lnTo>
                    <a:lnTo>
                      <a:pt x="4096" y="9591"/>
                    </a:lnTo>
                    <a:lnTo>
                      <a:pt x="3186" y="9191"/>
                    </a:lnTo>
                    <a:lnTo>
                      <a:pt x="2731" y="9191"/>
                    </a:lnTo>
                    <a:lnTo>
                      <a:pt x="2276" y="9191"/>
                    </a:lnTo>
                    <a:lnTo>
                      <a:pt x="1820" y="8392"/>
                    </a:lnTo>
                    <a:lnTo>
                      <a:pt x="910" y="8392"/>
                    </a:lnTo>
                    <a:lnTo>
                      <a:pt x="455" y="8392"/>
                    </a:lnTo>
                    <a:lnTo>
                      <a:pt x="0" y="8392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3353" name="Line 41">
                <a:extLst>
                  <a:ext uri="{FF2B5EF4-FFF2-40B4-BE49-F238E27FC236}">
                    <a16:creationId xmlns:a16="http://schemas.microsoft.com/office/drawing/2014/main" id="{00000000-0008-0000-0F00-000029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800000" y="240000"/>
                <a:ext cx="0" cy="324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3354" name="Line 42">
                <a:extLst>
                  <a:ext uri="{FF2B5EF4-FFF2-40B4-BE49-F238E27FC236}">
                    <a16:creationId xmlns:a16="http://schemas.microsoft.com/office/drawing/2014/main" id="{00000000-0008-0000-0F00-00002A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0000" y="1800000"/>
                <a:ext cx="162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3355" name="Line 43">
                <a:extLst>
                  <a:ext uri="{FF2B5EF4-FFF2-40B4-BE49-F238E27FC236}">
                    <a16:creationId xmlns:a16="http://schemas.microsoft.com/office/drawing/2014/main" id="{00000000-0008-0000-0F00-00002B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220000" y="1380000"/>
                <a:ext cx="3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3356" name="Line 44">
                <a:extLst>
                  <a:ext uri="{FF2B5EF4-FFF2-40B4-BE49-F238E27FC236}">
                    <a16:creationId xmlns:a16="http://schemas.microsoft.com/office/drawing/2014/main" id="{00000000-0008-0000-0F00-00002C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020000" y="1380000"/>
                <a:ext cx="2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3357" name="Line 45">
                <a:extLst>
                  <a:ext uri="{FF2B5EF4-FFF2-40B4-BE49-F238E27FC236}">
                    <a16:creationId xmlns:a16="http://schemas.microsoft.com/office/drawing/2014/main" id="{00000000-0008-0000-0F00-00002D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60000" y="2400000"/>
                <a:ext cx="30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3358" name="Line 46">
                <a:extLst>
                  <a:ext uri="{FF2B5EF4-FFF2-40B4-BE49-F238E27FC236}">
                    <a16:creationId xmlns:a16="http://schemas.microsoft.com/office/drawing/2014/main" id="{00000000-0008-0000-0F00-00002E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80000" y="3360000"/>
                <a:ext cx="0" cy="12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3359" name="Line 47">
                <a:extLst>
                  <a:ext uri="{FF2B5EF4-FFF2-40B4-BE49-F238E27FC236}">
                    <a16:creationId xmlns:a16="http://schemas.microsoft.com/office/drawing/2014/main" id="{00000000-0008-0000-0F00-00002F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80000" y="2640000"/>
                <a:ext cx="0" cy="42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3360" name="Line 48">
                <a:extLst>
                  <a:ext uri="{FF2B5EF4-FFF2-40B4-BE49-F238E27FC236}">
                    <a16:creationId xmlns:a16="http://schemas.microsoft.com/office/drawing/2014/main" id="{00000000-0008-0000-0F00-000030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40000" y="420000"/>
                <a:ext cx="58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3361" name="Line 49">
                <a:extLst>
                  <a:ext uri="{FF2B5EF4-FFF2-40B4-BE49-F238E27FC236}">
                    <a16:creationId xmlns:a16="http://schemas.microsoft.com/office/drawing/2014/main" id="{00000000-0008-0000-0F00-0000313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00000" y="3240000"/>
                <a:ext cx="62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3409" name="Текст 97">
                <a:extLst>
                  <a:ext uri="{FF2B5EF4-FFF2-40B4-BE49-F238E27FC236}">
                    <a16:creationId xmlns:a16="http://schemas.microsoft.com/office/drawing/2014/main" id="{00000000-0008-0000-0F00-0000613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0000" y="366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800000"/>
                    </a:solidFill>
                    <a:latin typeface="Arial Cyr"/>
                    <a:cs typeface="Arial Cyr"/>
                  </a:rPr>
                  <a:t>9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</xdr:row>
          <xdr:rowOff>57150</xdr:rowOff>
        </xdr:from>
        <xdr:to>
          <xdr:col>20</xdr:col>
          <xdr:colOff>133350</xdr:colOff>
          <xdr:row>3</xdr:row>
          <xdr:rowOff>76200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</xdr:row>
          <xdr:rowOff>133350</xdr:rowOff>
        </xdr:from>
        <xdr:to>
          <xdr:col>15</xdr:col>
          <xdr:colOff>266700</xdr:colOff>
          <xdr:row>5</xdr:row>
          <xdr:rowOff>9525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F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0</xdr:row>
          <xdr:rowOff>57150</xdr:rowOff>
        </xdr:from>
        <xdr:to>
          <xdr:col>16</xdr:col>
          <xdr:colOff>152400</xdr:colOff>
          <xdr:row>0</xdr:row>
          <xdr:rowOff>219075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F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0</xdr:rowOff>
    </xdr:from>
    <xdr:to>
      <xdr:col>3</xdr:col>
      <xdr:colOff>66675</xdr:colOff>
      <xdr:row>10</xdr:row>
      <xdr:rowOff>104775</xdr:rowOff>
    </xdr:to>
    <xdr:grpSp>
      <xdr:nvGrpSpPr>
        <xdr:cNvPr id="14391" name="Group 55">
          <a:extLst>
            <a:ext uri="{FF2B5EF4-FFF2-40B4-BE49-F238E27FC236}">
              <a16:creationId xmlns:a16="http://schemas.microsoft.com/office/drawing/2014/main" id="{00000000-0008-0000-1100-000037380000}"/>
            </a:ext>
          </a:extLst>
        </xdr:cNvPr>
        <xdr:cNvGrpSpPr>
          <a:grpSpLocks/>
        </xdr:cNvGrpSpPr>
      </xdr:nvGrpSpPr>
      <xdr:grpSpPr bwMode="auto">
        <a:xfrm>
          <a:off x="47625" y="0"/>
          <a:ext cx="1247775" cy="2152650"/>
          <a:chOff x="-6920" y="0"/>
          <a:chExt cx="24366" cy="2034"/>
        </a:xfrm>
      </xdr:grpSpPr>
      <xdr:grpSp>
        <xdr:nvGrpSpPr>
          <xdr:cNvPr id="14386" name="Group 50">
            <a:extLst>
              <a:ext uri="{FF2B5EF4-FFF2-40B4-BE49-F238E27FC236}">
                <a16:creationId xmlns:a16="http://schemas.microsoft.com/office/drawing/2014/main" id="{00000000-0008-0000-1100-000032380000}"/>
              </a:ext>
            </a:extLst>
          </xdr:cNvPr>
          <xdr:cNvGrpSpPr>
            <a:grpSpLocks/>
          </xdr:cNvGrpSpPr>
        </xdr:nvGrpSpPr>
        <xdr:grpSpPr bwMode="auto">
          <a:xfrm>
            <a:off x="-6920" y="0"/>
            <a:ext cx="24366" cy="2034"/>
            <a:chOff x="100000" y="0"/>
            <a:chExt cx="2620000" cy="4520000"/>
          </a:xfrm>
        </xdr:grpSpPr>
        <xdr:sp macro="" textlink="">
          <xdr:nvSpPr>
            <xdr:cNvPr id="14344" name="Rectangle 8">
              <a:extLst>
                <a:ext uri="{FF2B5EF4-FFF2-40B4-BE49-F238E27FC236}">
                  <a16:creationId xmlns:a16="http://schemas.microsoft.com/office/drawing/2014/main" id="{00000000-0008-0000-1100-0000083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0000" y="100000"/>
              <a:ext cx="2600000" cy="4280000"/>
            </a:xfrm>
            <a:prstGeom prst="rect">
              <a:avLst/>
            </a:prstGeom>
            <a:solidFill>
              <a:srgbClr val="CC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4345" name="Group 9">
              <a:extLst>
                <a:ext uri="{FF2B5EF4-FFF2-40B4-BE49-F238E27FC236}">
                  <a16:creationId xmlns:a16="http://schemas.microsoft.com/office/drawing/2014/main" id="{00000000-0008-0000-1100-0000093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0000" y="0"/>
              <a:ext cx="2540000" cy="4520000"/>
              <a:chOff x="100000" y="0"/>
              <a:chExt cx="2540000" cy="4520000"/>
            </a:xfrm>
          </xdr:grpSpPr>
          <xdr:sp macro="" textlink="">
            <xdr:nvSpPr>
              <xdr:cNvPr id="14346" name="Объект 1972">
                <a:extLst>
                  <a:ext uri="{FF2B5EF4-FFF2-40B4-BE49-F238E27FC236}">
                    <a16:creationId xmlns:a16="http://schemas.microsoft.com/office/drawing/2014/main" id="{00000000-0008-0000-1100-00000A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000" y="460000"/>
                <a:ext cx="1700000" cy="3040000"/>
              </a:xfrm>
              <a:custGeom>
                <a:avLst/>
                <a:gdLst/>
                <a:ahLst/>
                <a:cxnLst>
                  <a:cxn ang="0">
                    <a:pos x="16384" y="767"/>
                  </a:cxn>
                  <a:cxn ang="0">
                    <a:pos x="16384" y="0"/>
                  </a:cxn>
                  <a:cxn ang="0">
                    <a:pos x="0" y="0"/>
                  </a:cxn>
                  <a:cxn ang="0">
                    <a:pos x="0" y="767"/>
                  </a:cxn>
                  <a:cxn ang="0">
                    <a:pos x="6076" y="767"/>
                  </a:cxn>
                  <a:cxn ang="0">
                    <a:pos x="6510" y="782"/>
                  </a:cxn>
                  <a:cxn ang="0">
                    <a:pos x="6836" y="827"/>
                  </a:cxn>
                  <a:cxn ang="0">
                    <a:pos x="7125" y="887"/>
                  </a:cxn>
                  <a:cxn ang="0">
                    <a:pos x="7270" y="962"/>
                  </a:cxn>
                  <a:cxn ang="0">
                    <a:pos x="7414" y="1037"/>
                  </a:cxn>
                  <a:cxn ang="0">
                    <a:pos x="7451" y="1157"/>
                  </a:cxn>
                  <a:cxn ang="0">
                    <a:pos x="7487" y="1293"/>
                  </a:cxn>
                  <a:cxn ang="0">
                    <a:pos x="7487" y="1428"/>
                  </a:cxn>
                  <a:cxn ang="0">
                    <a:pos x="7487" y="3096"/>
                  </a:cxn>
                  <a:cxn ang="0">
                    <a:pos x="7487" y="4795"/>
                  </a:cxn>
                  <a:cxn ang="0">
                    <a:pos x="7487" y="6478"/>
                  </a:cxn>
                  <a:cxn ang="0">
                    <a:pos x="7487" y="8177"/>
                  </a:cxn>
                  <a:cxn ang="0">
                    <a:pos x="7487" y="9875"/>
                  </a:cxn>
                  <a:cxn ang="0">
                    <a:pos x="7487" y="11559"/>
                  </a:cxn>
                  <a:cxn ang="0">
                    <a:pos x="7487" y="13242"/>
                  </a:cxn>
                  <a:cxn ang="0">
                    <a:pos x="7487" y="14911"/>
                  </a:cxn>
                  <a:cxn ang="0">
                    <a:pos x="7487" y="15046"/>
                  </a:cxn>
                  <a:cxn ang="0">
                    <a:pos x="7451" y="15182"/>
                  </a:cxn>
                  <a:cxn ang="0">
                    <a:pos x="7414" y="15302"/>
                  </a:cxn>
                  <a:cxn ang="0">
                    <a:pos x="7306" y="15392"/>
                  </a:cxn>
                  <a:cxn ang="0">
                    <a:pos x="7161" y="15497"/>
                  </a:cxn>
                  <a:cxn ang="0">
                    <a:pos x="6944" y="15557"/>
                  </a:cxn>
                  <a:cxn ang="0">
                    <a:pos x="6691" y="15602"/>
                  </a:cxn>
                  <a:cxn ang="0">
                    <a:pos x="6402" y="15602"/>
                  </a:cxn>
                  <a:cxn ang="0">
                    <a:pos x="0" y="15602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15602"/>
                  </a:cxn>
                  <a:cxn ang="0">
                    <a:pos x="10380" y="15602"/>
                  </a:cxn>
                  <a:cxn ang="0">
                    <a:pos x="9946" y="15602"/>
                  </a:cxn>
                  <a:cxn ang="0">
                    <a:pos x="9657" y="15572"/>
                  </a:cxn>
                  <a:cxn ang="0">
                    <a:pos x="9440" y="15497"/>
                  </a:cxn>
                  <a:cxn ang="0">
                    <a:pos x="9259" y="15422"/>
                  </a:cxn>
                  <a:cxn ang="0">
                    <a:pos x="9150" y="15302"/>
                  </a:cxn>
                  <a:cxn ang="0">
                    <a:pos x="9114" y="15182"/>
                  </a:cxn>
                  <a:cxn ang="0">
                    <a:pos x="9078" y="15046"/>
                  </a:cxn>
                  <a:cxn ang="0">
                    <a:pos x="9078" y="14911"/>
                  </a:cxn>
                  <a:cxn ang="0">
                    <a:pos x="9078" y="13273"/>
                  </a:cxn>
                  <a:cxn ang="0">
                    <a:pos x="9078" y="11589"/>
                  </a:cxn>
                  <a:cxn ang="0">
                    <a:pos x="9078" y="9891"/>
                  </a:cxn>
                  <a:cxn ang="0">
                    <a:pos x="9078" y="8177"/>
                  </a:cxn>
                  <a:cxn ang="0">
                    <a:pos x="9078" y="6463"/>
                  </a:cxn>
                  <a:cxn ang="0">
                    <a:pos x="9078" y="4750"/>
                  </a:cxn>
                  <a:cxn ang="0">
                    <a:pos x="9078" y="3081"/>
                  </a:cxn>
                  <a:cxn ang="0">
                    <a:pos x="9078" y="1428"/>
                  </a:cxn>
                  <a:cxn ang="0">
                    <a:pos x="9078" y="1263"/>
                  </a:cxn>
                  <a:cxn ang="0">
                    <a:pos x="9114" y="1127"/>
                  </a:cxn>
                  <a:cxn ang="0">
                    <a:pos x="9150" y="1037"/>
                  </a:cxn>
                  <a:cxn ang="0">
                    <a:pos x="9259" y="947"/>
                  </a:cxn>
                  <a:cxn ang="0">
                    <a:pos x="9404" y="857"/>
                  </a:cxn>
                  <a:cxn ang="0">
                    <a:pos x="9621" y="827"/>
                  </a:cxn>
                  <a:cxn ang="0">
                    <a:pos x="9946" y="782"/>
                  </a:cxn>
                  <a:cxn ang="0">
                    <a:pos x="10380" y="767"/>
                  </a:cxn>
                  <a:cxn ang="0">
                    <a:pos x="16384" y="767"/>
                  </a:cxn>
                </a:cxnLst>
                <a:rect l="0" t="0" r="r" b="b"/>
                <a:pathLst>
                  <a:path w="16384" h="16384">
                    <a:moveTo>
                      <a:pt x="16384" y="767"/>
                    </a:moveTo>
                    <a:lnTo>
                      <a:pt x="16384" y="0"/>
                    </a:lnTo>
                    <a:lnTo>
                      <a:pt x="0" y="0"/>
                    </a:lnTo>
                    <a:lnTo>
                      <a:pt x="0" y="767"/>
                    </a:lnTo>
                    <a:lnTo>
                      <a:pt x="6076" y="767"/>
                    </a:lnTo>
                    <a:lnTo>
                      <a:pt x="6510" y="782"/>
                    </a:lnTo>
                    <a:lnTo>
                      <a:pt x="6836" y="827"/>
                    </a:lnTo>
                    <a:lnTo>
                      <a:pt x="7125" y="887"/>
                    </a:lnTo>
                    <a:lnTo>
                      <a:pt x="7270" y="962"/>
                    </a:lnTo>
                    <a:lnTo>
                      <a:pt x="7414" y="1037"/>
                    </a:lnTo>
                    <a:lnTo>
                      <a:pt x="7451" y="1157"/>
                    </a:lnTo>
                    <a:lnTo>
                      <a:pt x="7487" y="1293"/>
                    </a:lnTo>
                    <a:lnTo>
                      <a:pt x="7487" y="1428"/>
                    </a:lnTo>
                    <a:lnTo>
                      <a:pt x="7487" y="3096"/>
                    </a:lnTo>
                    <a:lnTo>
                      <a:pt x="7487" y="4795"/>
                    </a:lnTo>
                    <a:lnTo>
                      <a:pt x="7487" y="6478"/>
                    </a:lnTo>
                    <a:lnTo>
                      <a:pt x="7487" y="8177"/>
                    </a:lnTo>
                    <a:lnTo>
                      <a:pt x="7487" y="9875"/>
                    </a:lnTo>
                    <a:lnTo>
                      <a:pt x="7487" y="11559"/>
                    </a:lnTo>
                    <a:lnTo>
                      <a:pt x="7487" y="13242"/>
                    </a:lnTo>
                    <a:lnTo>
                      <a:pt x="7487" y="14911"/>
                    </a:lnTo>
                    <a:lnTo>
                      <a:pt x="7487" y="15046"/>
                    </a:lnTo>
                    <a:lnTo>
                      <a:pt x="7451" y="15182"/>
                    </a:lnTo>
                    <a:lnTo>
                      <a:pt x="7414" y="15302"/>
                    </a:lnTo>
                    <a:lnTo>
                      <a:pt x="7306" y="15392"/>
                    </a:lnTo>
                    <a:lnTo>
                      <a:pt x="7161" y="15497"/>
                    </a:lnTo>
                    <a:lnTo>
                      <a:pt x="6944" y="15557"/>
                    </a:lnTo>
                    <a:lnTo>
                      <a:pt x="6691" y="15602"/>
                    </a:lnTo>
                    <a:lnTo>
                      <a:pt x="6402" y="15602"/>
                    </a:lnTo>
                    <a:lnTo>
                      <a:pt x="0" y="15602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15602"/>
                    </a:lnTo>
                    <a:lnTo>
                      <a:pt x="10380" y="15602"/>
                    </a:lnTo>
                    <a:lnTo>
                      <a:pt x="9946" y="15602"/>
                    </a:lnTo>
                    <a:lnTo>
                      <a:pt x="9657" y="15572"/>
                    </a:lnTo>
                    <a:lnTo>
                      <a:pt x="9440" y="15497"/>
                    </a:lnTo>
                    <a:lnTo>
                      <a:pt x="9259" y="15422"/>
                    </a:lnTo>
                    <a:lnTo>
                      <a:pt x="9150" y="15302"/>
                    </a:lnTo>
                    <a:lnTo>
                      <a:pt x="9114" y="15182"/>
                    </a:lnTo>
                    <a:lnTo>
                      <a:pt x="9078" y="15046"/>
                    </a:lnTo>
                    <a:lnTo>
                      <a:pt x="9078" y="14911"/>
                    </a:lnTo>
                    <a:lnTo>
                      <a:pt x="9078" y="13273"/>
                    </a:lnTo>
                    <a:lnTo>
                      <a:pt x="9078" y="11589"/>
                    </a:lnTo>
                    <a:lnTo>
                      <a:pt x="9078" y="9891"/>
                    </a:lnTo>
                    <a:lnTo>
                      <a:pt x="9078" y="8177"/>
                    </a:lnTo>
                    <a:lnTo>
                      <a:pt x="9078" y="6463"/>
                    </a:lnTo>
                    <a:lnTo>
                      <a:pt x="9078" y="4750"/>
                    </a:lnTo>
                    <a:lnTo>
                      <a:pt x="9078" y="3081"/>
                    </a:lnTo>
                    <a:lnTo>
                      <a:pt x="9078" y="1428"/>
                    </a:lnTo>
                    <a:lnTo>
                      <a:pt x="9078" y="1263"/>
                    </a:lnTo>
                    <a:lnTo>
                      <a:pt x="9114" y="1127"/>
                    </a:lnTo>
                    <a:lnTo>
                      <a:pt x="9150" y="1037"/>
                    </a:lnTo>
                    <a:lnTo>
                      <a:pt x="9259" y="947"/>
                    </a:lnTo>
                    <a:lnTo>
                      <a:pt x="9404" y="857"/>
                    </a:lnTo>
                    <a:lnTo>
                      <a:pt x="9621" y="827"/>
                    </a:lnTo>
                    <a:lnTo>
                      <a:pt x="9946" y="782"/>
                    </a:lnTo>
                    <a:lnTo>
                      <a:pt x="10380" y="767"/>
                    </a:lnTo>
                    <a:lnTo>
                      <a:pt x="16384" y="767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47" name="Объект 1973">
                <a:extLst>
                  <a:ext uri="{FF2B5EF4-FFF2-40B4-BE49-F238E27FC236}">
                    <a16:creationId xmlns:a16="http://schemas.microsoft.com/office/drawing/2014/main" id="{00000000-0008-0000-1100-00000B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000" y="460000"/>
                <a:ext cx="1700000" cy="3040000"/>
              </a:xfrm>
              <a:custGeom>
                <a:avLst/>
                <a:gdLst/>
                <a:ahLst/>
                <a:cxnLst>
                  <a:cxn ang="0">
                    <a:pos x="16384" y="767"/>
                  </a:cxn>
                  <a:cxn ang="0">
                    <a:pos x="16384" y="0"/>
                  </a:cxn>
                  <a:cxn ang="0">
                    <a:pos x="0" y="0"/>
                  </a:cxn>
                  <a:cxn ang="0">
                    <a:pos x="0" y="767"/>
                  </a:cxn>
                  <a:cxn ang="0">
                    <a:pos x="6076" y="767"/>
                  </a:cxn>
                  <a:cxn ang="0">
                    <a:pos x="6510" y="782"/>
                  </a:cxn>
                  <a:cxn ang="0">
                    <a:pos x="6836" y="827"/>
                  </a:cxn>
                  <a:cxn ang="0">
                    <a:pos x="7125" y="887"/>
                  </a:cxn>
                  <a:cxn ang="0">
                    <a:pos x="7270" y="962"/>
                  </a:cxn>
                  <a:cxn ang="0">
                    <a:pos x="7414" y="1037"/>
                  </a:cxn>
                  <a:cxn ang="0">
                    <a:pos x="7451" y="1157"/>
                  </a:cxn>
                  <a:cxn ang="0">
                    <a:pos x="7487" y="1293"/>
                  </a:cxn>
                  <a:cxn ang="0">
                    <a:pos x="7487" y="1428"/>
                  </a:cxn>
                  <a:cxn ang="0">
                    <a:pos x="7487" y="3096"/>
                  </a:cxn>
                  <a:cxn ang="0">
                    <a:pos x="7487" y="4795"/>
                  </a:cxn>
                  <a:cxn ang="0">
                    <a:pos x="7487" y="6478"/>
                  </a:cxn>
                  <a:cxn ang="0">
                    <a:pos x="7487" y="8177"/>
                  </a:cxn>
                  <a:cxn ang="0">
                    <a:pos x="7487" y="9875"/>
                  </a:cxn>
                  <a:cxn ang="0">
                    <a:pos x="7487" y="11559"/>
                  </a:cxn>
                  <a:cxn ang="0">
                    <a:pos x="7487" y="13242"/>
                  </a:cxn>
                  <a:cxn ang="0">
                    <a:pos x="7487" y="14911"/>
                  </a:cxn>
                  <a:cxn ang="0">
                    <a:pos x="7487" y="15046"/>
                  </a:cxn>
                  <a:cxn ang="0">
                    <a:pos x="7451" y="15182"/>
                  </a:cxn>
                  <a:cxn ang="0">
                    <a:pos x="7414" y="15302"/>
                  </a:cxn>
                  <a:cxn ang="0">
                    <a:pos x="7306" y="15392"/>
                  </a:cxn>
                  <a:cxn ang="0">
                    <a:pos x="7161" y="15497"/>
                  </a:cxn>
                  <a:cxn ang="0">
                    <a:pos x="6944" y="15557"/>
                  </a:cxn>
                  <a:cxn ang="0">
                    <a:pos x="6691" y="15602"/>
                  </a:cxn>
                  <a:cxn ang="0">
                    <a:pos x="6402" y="15602"/>
                  </a:cxn>
                  <a:cxn ang="0">
                    <a:pos x="0" y="15602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15602"/>
                  </a:cxn>
                  <a:cxn ang="0">
                    <a:pos x="10380" y="15602"/>
                  </a:cxn>
                  <a:cxn ang="0">
                    <a:pos x="9946" y="15602"/>
                  </a:cxn>
                  <a:cxn ang="0">
                    <a:pos x="9657" y="15572"/>
                  </a:cxn>
                  <a:cxn ang="0">
                    <a:pos x="9440" y="15497"/>
                  </a:cxn>
                  <a:cxn ang="0">
                    <a:pos x="9259" y="15422"/>
                  </a:cxn>
                  <a:cxn ang="0">
                    <a:pos x="9150" y="15302"/>
                  </a:cxn>
                  <a:cxn ang="0">
                    <a:pos x="9114" y="15182"/>
                  </a:cxn>
                  <a:cxn ang="0">
                    <a:pos x="9078" y="15046"/>
                  </a:cxn>
                  <a:cxn ang="0">
                    <a:pos x="9078" y="14911"/>
                  </a:cxn>
                  <a:cxn ang="0">
                    <a:pos x="9078" y="13273"/>
                  </a:cxn>
                  <a:cxn ang="0">
                    <a:pos x="9078" y="11589"/>
                  </a:cxn>
                  <a:cxn ang="0">
                    <a:pos x="9078" y="9891"/>
                  </a:cxn>
                  <a:cxn ang="0">
                    <a:pos x="9078" y="8177"/>
                  </a:cxn>
                  <a:cxn ang="0">
                    <a:pos x="9078" y="6463"/>
                  </a:cxn>
                  <a:cxn ang="0">
                    <a:pos x="9078" y="4750"/>
                  </a:cxn>
                  <a:cxn ang="0">
                    <a:pos x="9078" y="3081"/>
                  </a:cxn>
                  <a:cxn ang="0">
                    <a:pos x="9078" y="1428"/>
                  </a:cxn>
                  <a:cxn ang="0">
                    <a:pos x="9078" y="1263"/>
                  </a:cxn>
                  <a:cxn ang="0">
                    <a:pos x="9114" y="1127"/>
                  </a:cxn>
                  <a:cxn ang="0">
                    <a:pos x="9150" y="1037"/>
                  </a:cxn>
                  <a:cxn ang="0">
                    <a:pos x="9259" y="947"/>
                  </a:cxn>
                  <a:cxn ang="0">
                    <a:pos x="9404" y="857"/>
                  </a:cxn>
                  <a:cxn ang="0">
                    <a:pos x="9621" y="827"/>
                  </a:cxn>
                  <a:cxn ang="0">
                    <a:pos x="9946" y="782"/>
                  </a:cxn>
                  <a:cxn ang="0">
                    <a:pos x="10380" y="767"/>
                  </a:cxn>
                  <a:cxn ang="0">
                    <a:pos x="16384" y="767"/>
                  </a:cxn>
                </a:cxnLst>
                <a:rect l="0" t="0" r="r" b="b"/>
                <a:pathLst>
                  <a:path w="16384" h="16384">
                    <a:moveTo>
                      <a:pt x="16384" y="767"/>
                    </a:moveTo>
                    <a:lnTo>
                      <a:pt x="16384" y="0"/>
                    </a:lnTo>
                    <a:lnTo>
                      <a:pt x="0" y="0"/>
                    </a:lnTo>
                    <a:lnTo>
                      <a:pt x="0" y="767"/>
                    </a:lnTo>
                    <a:lnTo>
                      <a:pt x="6076" y="767"/>
                    </a:lnTo>
                    <a:lnTo>
                      <a:pt x="6510" y="782"/>
                    </a:lnTo>
                    <a:lnTo>
                      <a:pt x="6836" y="827"/>
                    </a:lnTo>
                    <a:lnTo>
                      <a:pt x="7125" y="887"/>
                    </a:lnTo>
                    <a:lnTo>
                      <a:pt x="7270" y="962"/>
                    </a:lnTo>
                    <a:lnTo>
                      <a:pt x="7414" y="1037"/>
                    </a:lnTo>
                    <a:lnTo>
                      <a:pt x="7451" y="1157"/>
                    </a:lnTo>
                    <a:lnTo>
                      <a:pt x="7487" y="1293"/>
                    </a:lnTo>
                    <a:lnTo>
                      <a:pt x="7487" y="1428"/>
                    </a:lnTo>
                    <a:lnTo>
                      <a:pt x="7487" y="3096"/>
                    </a:lnTo>
                    <a:lnTo>
                      <a:pt x="7487" y="4795"/>
                    </a:lnTo>
                    <a:lnTo>
                      <a:pt x="7487" y="6478"/>
                    </a:lnTo>
                    <a:lnTo>
                      <a:pt x="7487" y="8177"/>
                    </a:lnTo>
                    <a:lnTo>
                      <a:pt x="7487" y="9875"/>
                    </a:lnTo>
                    <a:lnTo>
                      <a:pt x="7487" y="11559"/>
                    </a:lnTo>
                    <a:lnTo>
                      <a:pt x="7487" y="13242"/>
                    </a:lnTo>
                    <a:lnTo>
                      <a:pt x="7487" y="14911"/>
                    </a:lnTo>
                    <a:lnTo>
                      <a:pt x="7487" y="15046"/>
                    </a:lnTo>
                    <a:lnTo>
                      <a:pt x="7451" y="15182"/>
                    </a:lnTo>
                    <a:lnTo>
                      <a:pt x="7414" y="15302"/>
                    </a:lnTo>
                    <a:lnTo>
                      <a:pt x="7306" y="15392"/>
                    </a:lnTo>
                    <a:lnTo>
                      <a:pt x="7161" y="15497"/>
                    </a:lnTo>
                    <a:lnTo>
                      <a:pt x="6944" y="15557"/>
                    </a:lnTo>
                    <a:lnTo>
                      <a:pt x="6691" y="15602"/>
                    </a:lnTo>
                    <a:lnTo>
                      <a:pt x="6402" y="15602"/>
                    </a:lnTo>
                    <a:lnTo>
                      <a:pt x="0" y="15602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15602"/>
                    </a:lnTo>
                    <a:lnTo>
                      <a:pt x="10380" y="15602"/>
                    </a:lnTo>
                    <a:lnTo>
                      <a:pt x="9946" y="15602"/>
                    </a:lnTo>
                    <a:lnTo>
                      <a:pt x="9657" y="15572"/>
                    </a:lnTo>
                    <a:lnTo>
                      <a:pt x="9440" y="15497"/>
                    </a:lnTo>
                    <a:lnTo>
                      <a:pt x="9259" y="15422"/>
                    </a:lnTo>
                    <a:lnTo>
                      <a:pt x="9150" y="15302"/>
                    </a:lnTo>
                    <a:lnTo>
                      <a:pt x="9114" y="15182"/>
                    </a:lnTo>
                    <a:lnTo>
                      <a:pt x="9078" y="15046"/>
                    </a:lnTo>
                    <a:lnTo>
                      <a:pt x="9078" y="14911"/>
                    </a:lnTo>
                    <a:lnTo>
                      <a:pt x="9078" y="13273"/>
                    </a:lnTo>
                    <a:lnTo>
                      <a:pt x="9078" y="11589"/>
                    </a:lnTo>
                    <a:lnTo>
                      <a:pt x="9078" y="9891"/>
                    </a:lnTo>
                    <a:lnTo>
                      <a:pt x="9078" y="8177"/>
                    </a:lnTo>
                    <a:lnTo>
                      <a:pt x="9078" y="6463"/>
                    </a:lnTo>
                    <a:lnTo>
                      <a:pt x="9078" y="4750"/>
                    </a:lnTo>
                    <a:lnTo>
                      <a:pt x="9078" y="3081"/>
                    </a:lnTo>
                    <a:lnTo>
                      <a:pt x="9078" y="1428"/>
                    </a:lnTo>
                    <a:lnTo>
                      <a:pt x="9078" y="1263"/>
                    </a:lnTo>
                    <a:lnTo>
                      <a:pt x="9114" y="1127"/>
                    </a:lnTo>
                    <a:lnTo>
                      <a:pt x="9150" y="1037"/>
                    </a:lnTo>
                    <a:lnTo>
                      <a:pt x="9259" y="947"/>
                    </a:lnTo>
                    <a:lnTo>
                      <a:pt x="9404" y="857"/>
                    </a:lnTo>
                    <a:lnTo>
                      <a:pt x="9621" y="827"/>
                    </a:lnTo>
                    <a:lnTo>
                      <a:pt x="9946" y="782"/>
                    </a:lnTo>
                    <a:lnTo>
                      <a:pt x="10380" y="767"/>
                    </a:lnTo>
                    <a:lnTo>
                      <a:pt x="16384" y="767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48" name="Текст 1974">
                <a:extLst>
                  <a:ext uri="{FF2B5EF4-FFF2-40B4-BE49-F238E27FC236}">
                    <a16:creationId xmlns:a16="http://schemas.microsoft.com/office/drawing/2014/main" id="{00000000-0008-0000-1100-00000C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40000" y="60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14349" name="Объект 1976">
                <a:extLst>
                  <a:ext uri="{FF2B5EF4-FFF2-40B4-BE49-F238E27FC236}">
                    <a16:creationId xmlns:a16="http://schemas.microsoft.com/office/drawing/2014/main" id="{00000000-0008-0000-1100-00000D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0000" y="500000"/>
                <a:ext cx="0" cy="29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94"/>
                  </a:cxn>
                  <a:cxn ang="0">
                    <a:pos x="0" y="9471"/>
                  </a:cxn>
                  <a:cxn ang="0">
                    <a:pos x="0" y="12369"/>
                  </a:cxn>
                  <a:cxn ang="0">
                    <a:pos x="0" y="14338"/>
                  </a:cxn>
                  <a:cxn ang="0">
                    <a:pos x="0" y="15500"/>
                  </a:cxn>
                  <a:cxn ang="0">
                    <a:pos x="0" y="16120"/>
                  </a:cxn>
                  <a:cxn ang="0">
                    <a:pos x="0" y="16337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94"/>
                    </a:lnTo>
                    <a:lnTo>
                      <a:pt x="0" y="9471"/>
                    </a:lnTo>
                    <a:lnTo>
                      <a:pt x="0" y="12369"/>
                    </a:lnTo>
                    <a:lnTo>
                      <a:pt x="0" y="14338"/>
                    </a:lnTo>
                    <a:lnTo>
                      <a:pt x="0" y="15500"/>
                    </a:lnTo>
                    <a:lnTo>
                      <a:pt x="0" y="16120"/>
                    </a:lnTo>
                    <a:lnTo>
                      <a:pt x="0" y="16337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50" name="Объект 1977">
                <a:extLst>
                  <a:ext uri="{FF2B5EF4-FFF2-40B4-BE49-F238E27FC236}">
                    <a16:creationId xmlns:a16="http://schemas.microsoft.com/office/drawing/2014/main" id="{00000000-0008-0000-1100-00000E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000" y="46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440" y="0"/>
                  </a:cxn>
                  <a:cxn ang="0">
                    <a:pos x="16384" y="16384"/>
                  </a:cxn>
                  <a:cxn ang="0">
                    <a:pos x="15888" y="15953"/>
                  </a:cxn>
                  <a:cxn ang="0">
                    <a:pos x="15391" y="15953"/>
                  </a:cxn>
                  <a:cxn ang="0">
                    <a:pos x="14398" y="15522"/>
                  </a:cxn>
                  <a:cxn ang="0">
                    <a:pos x="13902" y="15522"/>
                  </a:cxn>
                  <a:cxn ang="0">
                    <a:pos x="13405" y="15522"/>
                  </a:cxn>
                  <a:cxn ang="0">
                    <a:pos x="12412" y="15091"/>
                  </a:cxn>
                  <a:cxn ang="0">
                    <a:pos x="11916" y="15091"/>
                  </a:cxn>
                  <a:cxn ang="0">
                    <a:pos x="11419" y="15091"/>
                  </a:cxn>
                  <a:cxn ang="0">
                    <a:pos x="10923" y="15091"/>
                  </a:cxn>
                  <a:cxn ang="0">
                    <a:pos x="9930" y="15091"/>
                  </a:cxn>
                  <a:cxn ang="0">
                    <a:pos x="9433" y="15091"/>
                  </a:cxn>
                  <a:cxn ang="0">
                    <a:pos x="9433" y="14228"/>
                  </a:cxn>
                  <a:cxn ang="0">
                    <a:pos x="8937" y="14228"/>
                  </a:cxn>
                  <a:cxn ang="0">
                    <a:pos x="8440" y="14228"/>
                  </a:cxn>
                  <a:cxn ang="0">
                    <a:pos x="7447" y="14228"/>
                  </a:cxn>
                  <a:cxn ang="0">
                    <a:pos x="6951" y="14228"/>
                  </a:cxn>
                  <a:cxn ang="0">
                    <a:pos x="6951" y="15091"/>
                  </a:cxn>
                  <a:cxn ang="0">
                    <a:pos x="6454" y="15091"/>
                  </a:cxn>
                  <a:cxn ang="0">
                    <a:pos x="5461" y="15091"/>
                  </a:cxn>
                  <a:cxn ang="0">
                    <a:pos x="4965" y="15091"/>
                  </a:cxn>
                  <a:cxn ang="0">
                    <a:pos x="4468" y="15091"/>
                  </a:cxn>
                  <a:cxn ang="0">
                    <a:pos x="3972" y="15091"/>
                  </a:cxn>
                  <a:cxn ang="0">
                    <a:pos x="2979" y="15522"/>
                  </a:cxn>
                  <a:cxn ang="0">
                    <a:pos x="2482" y="15522"/>
                  </a:cxn>
                  <a:cxn ang="0">
                    <a:pos x="1986" y="15522"/>
                  </a:cxn>
                  <a:cxn ang="0">
                    <a:pos x="993" y="15953"/>
                  </a:cxn>
                  <a:cxn ang="0">
                    <a:pos x="496" y="15953"/>
                  </a:cxn>
                  <a:cxn ang="0">
                    <a:pos x="0" y="16384"/>
                  </a:cxn>
                  <a:cxn ang="0">
                    <a:pos x="8440" y="0"/>
                  </a:cxn>
                </a:cxnLst>
                <a:rect l="0" t="0" r="r" b="b"/>
                <a:pathLst>
                  <a:path w="16384" h="16384">
                    <a:moveTo>
                      <a:pt x="8440" y="0"/>
                    </a:moveTo>
                    <a:lnTo>
                      <a:pt x="16384" y="16384"/>
                    </a:lnTo>
                    <a:lnTo>
                      <a:pt x="15888" y="15953"/>
                    </a:lnTo>
                    <a:lnTo>
                      <a:pt x="15391" y="15953"/>
                    </a:lnTo>
                    <a:lnTo>
                      <a:pt x="14398" y="15522"/>
                    </a:lnTo>
                    <a:lnTo>
                      <a:pt x="13902" y="15522"/>
                    </a:lnTo>
                    <a:lnTo>
                      <a:pt x="13405" y="15522"/>
                    </a:lnTo>
                    <a:lnTo>
                      <a:pt x="12412" y="15091"/>
                    </a:lnTo>
                    <a:lnTo>
                      <a:pt x="11916" y="15091"/>
                    </a:lnTo>
                    <a:lnTo>
                      <a:pt x="11419" y="15091"/>
                    </a:lnTo>
                    <a:lnTo>
                      <a:pt x="10923" y="15091"/>
                    </a:lnTo>
                    <a:lnTo>
                      <a:pt x="9930" y="15091"/>
                    </a:lnTo>
                    <a:lnTo>
                      <a:pt x="9433" y="15091"/>
                    </a:lnTo>
                    <a:lnTo>
                      <a:pt x="9433" y="14228"/>
                    </a:lnTo>
                    <a:lnTo>
                      <a:pt x="8937" y="14228"/>
                    </a:lnTo>
                    <a:lnTo>
                      <a:pt x="8440" y="14228"/>
                    </a:lnTo>
                    <a:lnTo>
                      <a:pt x="7447" y="14228"/>
                    </a:lnTo>
                    <a:lnTo>
                      <a:pt x="6951" y="14228"/>
                    </a:lnTo>
                    <a:lnTo>
                      <a:pt x="6951" y="15091"/>
                    </a:lnTo>
                    <a:lnTo>
                      <a:pt x="6454" y="15091"/>
                    </a:lnTo>
                    <a:lnTo>
                      <a:pt x="5461" y="15091"/>
                    </a:lnTo>
                    <a:lnTo>
                      <a:pt x="4965" y="15091"/>
                    </a:lnTo>
                    <a:lnTo>
                      <a:pt x="4468" y="15091"/>
                    </a:lnTo>
                    <a:lnTo>
                      <a:pt x="3972" y="15091"/>
                    </a:lnTo>
                    <a:lnTo>
                      <a:pt x="2979" y="15522"/>
                    </a:lnTo>
                    <a:lnTo>
                      <a:pt x="2482" y="15522"/>
                    </a:lnTo>
                    <a:lnTo>
                      <a:pt x="1986" y="15522"/>
                    </a:lnTo>
                    <a:lnTo>
                      <a:pt x="993" y="15953"/>
                    </a:lnTo>
                    <a:lnTo>
                      <a:pt x="496" y="15953"/>
                    </a:lnTo>
                    <a:lnTo>
                      <a:pt x="0" y="16384"/>
                    </a:lnTo>
                    <a:lnTo>
                      <a:pt x="844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51" name="Объект 1978">
                <a:extLst>
                  <a:ext uri="{FF2B5EF4-FFF2-40B4-BE49-F238E27FC236}">
                    <a16:creationId xmlns:a16="http://schemas.microsoft.com/office/drawing/2014/main" id="{00000000-0008-0000-1100-00000F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000" y="338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8440" y="16384"/>
                  </a:cxn>
                  <a:cxn ang="0">
                    <a:pos x="16384" y="0"/>
                  </a:cxn>
                  <a:cxn ang="0">
                    <a:pos x="15888" y="840"/>
                  </a:cxn>
                  <a:cxn ang="0">
                    <a:pos x="15391" y="840"/>
                  </a:cxn>
                  <a:cxn ang="0">
                    <a:pos x="14398" y="840"/>
                  </a:cxn>
                  <a:cxn ang="0">
                    <a:pos x="13902" y="1260"/>
                  </a:cxn>
                  <a:cxn ang="0">
                    <a:pos x="13405" y="1260"/>
                  </a:cxn>
                  <a:cxn ang="0">
                    <a:pos x="12412" y="1260"/>
                  </a:cxn>
                  <a:cxn ang="0">
                    <a:pos x="11916" y="1680"/>
                  </a:cxn>
                  <a:cxn ang="0">
                    <a:pos x="11419" y="1680"/>
                  </a:cxn>
                  <a:cxn ang="0">
                    <a:pos x="10923" y="1680"/>
                  </a:cxn>
                  <a:cxn ang="0">
                    <a:pos x="9930" y="1680"/>
                  </a:cxn>
                  <a:cxn ang="0">
                    <a:pos x="9433" y="1680"/>
                  </a:cxn>
                  <a:cxn ang="0">
                    <a:pos x="8937" y="1680"/>
                  </a:cxn>
                  <a:cxn ang="0">
                    <a:pos x="8440" y="1680"/>
                  </a:cxn>
                  <a:cxn ang="0">
                    <a:pos x="7447" y="1680"/>
                  </a:cxn>
                  <a:cxn ang="0">
                    <a:pos x="6951" y="1680"/>
                  </a:cxn>
                  <a:cxn ang="0">
                    <a:pos x="6454" y="1680"/>
                  </a:cxn>
                  <a:cxn ang="0">
                    <a:pos x="5461" y="1680"/>
                  </a:cxn>
                  <a:cxn ang="0">
                    <a:pos x="4965" y="1680"/>
                  </a:cxn>
                  <a:cxn ang="0">
                    <a:pos x="4468" y="1680"/>
                  </a:cxn>
                  <a:cxn ang="0">
                    <a:pos x="3972" y="1260"/>
                  </a:cxn>
                  <a:cxn ang="0">
                    <a:pos x="2979" y="1260"/>
                  </a:cxn>
                  <a:cxn ang="0">
                    <a:pos x="2482" y="1260"/>
                  </a:cxn>
                  <a:cxn ang="0">
                    <a:pos x="1986" y="840"/>
                  </a:cxn>
                  <a:cxn ang="0">
                    <a:pos x="993" y="840"/>
                  </a:cxn>
                  <a:cxn ang="0">
                    <a:pos x="496" y="840"/>
                  </a:cxn>
                  <a:cxn ang="0">
                    <a:pos x="0" y="0"/>
                  </a:cxn>
                  <a:cxn ang="0">
                    <a:pos x="8440" y="16384"/>
                  </a:cxn>
                </a:cxnLst>
                <a:rect l="0" t="0" r="r" b="b"/>
                <a:pathLst>
                  <a:path w="16384" h="16384">
                    <a:moveTo>
                      <a:pt x="8440" y="16384"/>
                    </a:moveTo>
                    <a:lnTo>
                      <a:pt x="16384" y="0"/>
                    </a:lnTo>
                    <a:lnTo>
                      <a:pt x="15888" y="840"/>
                    </a:lnTo>
                    <a:lnTo>
                      <a:pt x="15391" y="840"/>
                    </a:lnTo>
                    <a:lnTo>
                      <a:pt x="14398" y="840"/>
                    </a:lnTo>
                    <a:lnTo>
                      <a:pt x="13902" y="1260"/>
                    </a:lnTo>
                    <a:lnTo>
                      <a:pt x="13405" y="1260"/>
                    </a:lnTo>
                    <a:lnTo>
                      <a:pt x="12412" y="1260"/>
                    </a:lnTo>
                    <a:lnTo>
                      <a:pt x="11916" y="1680"/>
                    </a:lnTo>
                    <a:lnTo>
                      <a:pt x="11419" y="1680"/>
                    </a:lnTo>
                    <a:lnTo>
                      <a:pt x="10923" y="1680"/>
                    </a:lnTo>
                    <a:lnTo>
                      <a:pt x="9930" y="1680"/>
                    </a:lnTo>
                    <a:lnTo>
                      <a:pt x="9433" y="1680"/>
                    </a:lnTo>
                    <a:lnTo>
                      <a:pt x="8937" y="1680"/>
                    </a:lnTo>
                    <a:lnTo>
                      <a:pt x="8440" y="1680"/>
                    </a:lnTo>
                    <a:lnTo>
                      <a:pt x="7447" y="1680"/>
                    </a:lnTo>
                    <a:lnTo>
                      <a:pt x="6951" y="1680"/>
                    </a:lnTo>
                    <a:lnTo>
                      <a:pt x="6454" y="1680"/>
                    </a:lnTo>
                    <a:lnTo>
                      <a:pt x="5461" y="1680"/>
                    </a:lnTo>
                    <a:lnTo>
                      <a:pt x="4965" y="1680"/>
                    </a:lnTo>
                    <a:lnTo>
                      <a:pt x="4468" y="1680"/>
                    </a:lnTo>
                    <a:lnTo>
                      <a:pt x="3972" y="1260"/>
                    </a:lnTo>
                    <a:lnTo>
                      <a:pt x="2979" y="1260"/>
                    </a:lnTo>
                    <a:lnTo>
                      <a:pt x="2482" y="1260"/>
                    </a:lnTo>
                    <a:lnTo>
                      <a:pt x="1986" y="840"/>
                    </a:lnTo>
                    <a:lnTo>
                      <a:pt x="993" y="840"/>
                    </a:lnTo>
                    <a:lnTo>
                      <a:pt x="496" y="840"/>
                    </a:lnTo>
                    <a:lnTo>
                      <a:pt x="0" y="0"/>
                    </a:lnTo>
                    <a:lnTo>
                      <a:pt x="844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52" name="Текст 1980">
                <a:extLst>
                  <a:ext uri="{FF2B5EF4-FFF2-40B4-BE49-F238E27FC236}">
                    <a16:creationId xmlns:a16="http://schemas.microsoft.com/office/drawing/2014/main" id="{00000000-0008-0000-1100-000010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0000" y="178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14353" name="Текст 2163">
                <a:extLst>
                  <a:ext uri="{FF2B5EF4-FFF2-40B4-BE49-F238E27FC236}">
                    <a16:creationId xmlns:a16="http://schemas.microsoft.com/office/drawing/2014/main" id="{00000000-0008-0000-1100-000011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780000" y="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4354" name="Текст 2164">
                <a:extLst>
                  <a:ext uri="{FF2B5EF4-FFF2-40B4-BE49-F238E27FC236}">
                    <a16:creationId xmlns:a16="http://schemas.microsoft.com/office/drawing/2014/main" id="{00000000-0008-0000-1100-000012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40000" y="350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4355" name="Текст 2165">
                <a:extLst>
                  <a:ext uri="{FF2B5EF4-FFF2-40B4-BE49-F238E27FC236}">
                    <a16:creationId xmlns:a16="http://schemas.microsoft.com/office/drawing/2014/main" id="{00000000-0008-0000-1100-000013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60000" y="390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14356" name="Объект 2166">
                <a:extLst>
                  <a:ext uri="{FF2B5EF4-FFF2-40B4-BE49-F238E27FC236}">
                    <a16:creationId xmlns:a16="http://schemas.microsoft.com/office/drawing/2014/main" id="{00000000-0008-0000-1100-000014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80000" y="3540000"/>
                <a:ext cx="20000" cy="5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449"/>
                  </a:cxn>
                  <a:cxn ang="0">
                    <a:pos x="0" y="12310"/>
                  </a:cxn>
                  <a:cxn ang="0">
                    <a:pos x="0" y="14390"/>
                  </a:cxn>
                  <a:cxn ang="0">
                    <a:pos x="0" y="15604"/>
                  </a:cxn>
                  <a:cxn ang="0">
                    <a:pos x="0" y="1612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449"/>
                    </a:lnTo>
                    <a:lnTo>
                      <a:pt x="0" y="12310"/>
                    </a:lnTo>
                    <a:lnTo>
                      <a:pt x="0" y="14390"/>
                    </a:lnTo>
                    <a:lnTo>
                      <a:pt x="0" y="15604"/>
                    </a:lnTo>
                    <a:lnTo>
                      <a:pt x="0" y="1612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57" name="Объект 2167">
                <a:extLst>
                  <a:ext uri="{FF2B5EF4-FFF2-40B4-BE49-F238E27FC236}">
                    <a16:creationId xmlns:a16="http://schemas.microsoft.com/office/drawing/2014/main" id="{00000000-0008-0000-1100-000015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3940000"/>
                <a:ext cx="154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08" y="0"/>
                  </a:cxn>
                  <a:cxn ang="0">
                    <a:pos x="9465" y="0"/>
                  </a:cxn>
                  <a:cxn ang="0">
                    <a:pos x="12407" y="0"/>
                  </a:cxn>
                  <a:cxn ang="0">
                    <a:pos x="14356" y="0"/>
                  </a:cxn>
                  <a:cxn ang="0">
                    <a:pos x="15509" y="0"/>
                  </a:cxn>
                  <a:cxn ang="0">
                    <a:pos x="16145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08" y="0"/>
                    </a:lnTo>
                    <a:lnTo>
                      <a:pt x="9465" y="0"/>
                    </a:lnTo>
                    <a:lnTo>
                      <a:pt x="12407" y="0"/>
                    </a:lnTo>
                    <a:lnTo>
                      <a:pt x="14356" y="0"/>
                    </a:lnTo>
                    <a:lnTo>
                      <a:pt x="15509" y="0"/>
                    </a:lnTo>
                    <a:lnTo>
                      <a:pt x="16145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58" name="Объект 2168">
                <a:extLst>
                  <a:ext uri="{FF2B5EF4-FFF2-40B4-BE49-F238E27FC236}">
                    <a16:creationId xmlns:a16="http://schemas.microsoft.com/office/drawing/2014/main" id="{00000000-0008-0000-1100-000016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000" y="3900000"/>
                <a:ext cx="160000" cy="80000"/>
              </a:xfrm>
              <a:custGeom>
                <a:avLst/>
                <a:gdLst/>
                <a:ahLst/>
                <a:cxnLst>
                  <a:cxn ang="0">
                    <a:pos x="0" y="7944"/>
                  </a:cxn>
                  <a:cxn ang="0">
                    <a:pos x="16384" y="0"/>
                  </a:cxn>
                  <a:cxn ang="0">
                    <a:pos x="16384" y="496"/>
                  </a:cxn>
                  <a:cxn ang="0">
                    <a:pos x="15953" y="993"/>
                  </a:cxn>
                  <a:cxn ang="0">
                    <a:pos x="15953" y="1489"/>
                  </a:cxn>
                  <a:cxn ang="0">
                    <a:pos x="15953" y="2482"/>
                  </a:cxn>
                  <a:cxn ang="0">
                    <a:pos x="15522" y="2482"/>
                  </a:cxn>
                  <a:cxn ang="0">
                    <a:pos x="15522" y="2979"/>
                  </a:cxn>
                  <a:cxn ang="0">
                    <a:pos x="15522" y="3475"/>
                  </a:cxn>
                  <a:cxn ang="0">
                    <a:pos x="15522" y="4468"/>
                  </a:cxn>
                  <a:cxn ang="0">
                    <a:pos x="14659" y="4468"/>
                  </a:cxn>
                  <a:cxn ang="0">
                    <a:pos x="14659" y="4965"/>
                  </a:cxn>
                  <a:cxn ang="0">
                    <a:pos x="14659" y="5461"/>
                  </a:cxn>
                  <a:cxn ang="0">
                    <a:pos x="14659" y="5958"/>
                  </a:cxn>
                  <a:cxn ang="0">
                    <a:pos x="14659" y="6951"/>
                  </a:cxn>
                  <a:cxn ang="0">
                    <a:pos x="14659" y="7447"/>
                  </a:cxn>
                  <a:cxn ang="0">
                    <a:pos x="14659" y="7944"/>
                  </a:cxn>
                  <a:cxn ang="0">
                    <a:pos x="14659" y="8440"/>
                  </a:cxn>
                  <a:cxn ang="0">
                    <a:pos x="14659" y="9433"/>
                  </a:cxn>
                  <a:cxn ang="0">
                    <a:pos x="14659" y="9930"/>
                  </a:cxn>
                  <a:cxn ang="0">
                    <a:pos x="14659" y="10426"/>
                  </a:cxn>
                  <a:cxn ang="0">
                    <a:pos x="14659" y="11419"/>
                  </a:cxn>
                  <a:cxn ang="0">
                    <a:pos x="14659" y="11916"/>
                  </a:cxn>
                  <a:cxn ang="0">
                    <a:pos x="15522" y="11916"/>
                  </a:cxn>
                  <a:cxn ang="0">
                    <a:pos x="15522" y="12412"/>
                  </a:cxn>
                  <a:cxn ang="0">
                    <a:pos x="15522" y="12909"/>
                  </a:cxn>
                  <a:cxn ang="0">
                    <a:pos x="15522" y="13902"/>
                  </a:cxn>
                  <a:cxn ang="0">
                    <a:pos x="15953" y="13902"/>
                  </a:cxn>
                  <a:cxn ang="0">
                    <a:pos x="15953" y="14398"/>
                  </a:cxn>
                  <a:cxn ang="0">
                    <a:pos x="15953" y="14895"/>
                  </a:cxn>
                  <a:cxn ang="0">
                    <a:pos x="16384" y="15888"/>
                  </a:cxn>
                  <a:cxn ang="0">
                    <a:pos x="16384" y="16384"/>
                  </a:cxn>
                  <a:cxn ang="0">
                    <a:pos x="0" y="7944"/>
                  </a:cxn>
                </a:cxnLst>
                <a:rect l="0" t="0" r="r" b="b"/>
                <a:pathLst>
                  <a:path w="16384" h="16384">
                    <a:moveTo>
                      <a:pt x="0" y="7944"/>
                    </a:moveTo>
                    <a:lnTo>
                      <a:pt x="16384" y="0"/>
                    </a:lnTo>
                    <a:lnTo>
                      <a:pt x="16384" y="496"/>
                    </a:lnTo>
                    <a:lnTo>
                      <a:pt x="15953" y="993"/>
                    </a:lnTo>
                    <a:lnTo>
                      <a:pt x="15953" y="1489"/>
                    </a:lnTo>
                    <a:lnTo>
                      <a:pt x="15953" y="2482"/>
                    </a:lnTo>
                    <a:lnTo>
                      <a:pt x="15522" y="2482"/>
                    </a:lnTo>
                    <a:lnTo>
                      <a:pt x="15522" y="2979"/>
                    </a:lnTo>
                    <a:lnTo>
                      <a:pt x="15522" y="3475"/>
                    </a:lnTo>
                    <a:lnTo>
                      <a:pt x="15522" y="4468"/>
                    </a:lnTo>
                    <a:lnTo>
                      <a:pt x="14659" y="4468"/>
                    </a:lnTo>
                    <a:lnTo>
                      <a:pt x="14659" y="4965"/>
                    </a:lnTo>
                    <a:lnTo>
                      <a:pt x="14659" y="5461"/>
                    </a:lnTo>
                    <a:lnTo>
                      <a:pt x="14659" y="5958"/>
                    </a:lnTo>
                    <a:lnTo>
                      <a:pt x="14659" y="6951"/>
                    </a:lnTo>
                    <a:lnTo>
                      <a:pt x="14659" y="7447"/>
                    </a:lnTo>
                    <a:lnTo>
                      <a:pt x="14659" y="7944"/>
                    </a:lnTo>
                    <a:lnTo>
                      <a:pt x="14659" y="8440"/>
                    </a:lnTo>
                    <a:lnTo>
                      <a:pt x="14659" y="9433"/>
                    </a:lnTo>
                    <a:lnTo>
                      <a:pt x="14659" y="9930"/>
                    </a:lnTo>
                    <a:lnTo>
                      <a:pt x="14659" y="10426"/>
                    </a:lnTo>
                    <a:lnTo>
                      <a:pt x="14659" y="11419"/>
                    </a:lnTo>
                    <a:lnTo>
                      <a:pt x="14659" y="11916"/>
                    </a:lnTo>
                    <a:lnTo>
                      <a:pt x="15522" y="11916"/>
                    </a:lnTo>
                    <a:lnTo>
                      <a:pt x="15522" y="12412"/>
                    </a:lnTo>
                    <a:lnTo>
                      <a:pt x="15522" y="12909"/>
                    </a:lnTo>
                    <a:lnTo>
                      <a:pt x="15522" y="13902"/>
                    </a:lnTo>
                    <a:lnTo>
                      <a:pt x="15953" y="13902"/>
                    </a:lnTo>
                    <a:lnTo>
                      <a:pt x="15953" y="14398"/>
                    </a:lnTo>
                    <a:lnTo>
                      <a:pt x="15953" y="14895"/>
                    </a:lnTo>
                    <a:lnTo>
                      <a:pt x="16384" y="15888"/>
                    </a:lnTo>
                    <a:lnTo>
                      <a:pt x="16384" y="16384"/>
                    </a:lnTo>
                    <a:lnTo>
                      <a:pt x="0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59" name="Объект 2169">
                <a:extLst>
                  <a:ext uri="{FF2B5EF4-FFF2-40B4-BE49-F238E27FC236}">
                    <a16:creationId xmlns:a16="http://schemas.microsoft.com/office/drawing/2014/main" id="{00000000-0008-0000-1100-000017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40000" y="3900000"/>
                <a:ext cx="140000" cy="80000"/>
              </a:xfrm>
              <a:custGeom>
                <a:avLst/>
                <a:gdLst/>
                <a:ahLst/>
                <a:cxnLst>
                  <a:cxn ang="0">
                    <a:pos x="16384" y="7944"/>
                  </a:cxn>
                  <a:cxn ang="0">
                    <a:pos x="0" y="0"/>
                  </a:cxn>
                  <a:cxn ang="0">
                    <a:pos x="0" y="496"/>
                  </a:cxn>
                  <a:cxn ang="0">
                    <a:pos x="0" y="993"/>
                  </a:cxn>
                  <a:cxn ang="0">
                    <a:pos x="886" y="1489"/>
                  </a:cxn>
                  <a:cxn ang="0">
                    <a:pos x="886" y="2482"/>
                  </a:cxn>
                  <a:cxn ang="0">
                    <a:pos x="886" y="2979"/>
                  </a:cxn>
                  <a:cxn ang="0">
                    <a:pos x="1328" y="3475"/>
                  </a:cxn>
                  <a:cxn ang="0">
                    <a:pos x="1328" y="4468"/>
                  </a:cxn>
                  <a:cxn ang="0">
                    <a:pos x="1328" y="4965"/>
                  </a:cxn>
                  <a:cxn ang="0">
                    <a:pos x="1328" y="5461"/>
                  </a:cxn>
                  <a:cxn ang="0">
                    <a:pos x="1328" y="5958"/>
                  </a:cxn>
                  <a:cxn ang="0">
                    <a:pos x="1771" y="6951"/>
                  </a:cxn>
                  <a:cxn ang="0">
                    <a:pos x="1771" y="7447"/>
                  </a:cxn>
                  <a:cxn ang="0">
                    <a:pos x="1771" y="7944"/>
                  </a:cxn>
                  <a:cxn ang="0">
                    <a:pos x="1771" y="8440"/>
                  </a:cxn>
                  <a:cxn ang="0">
                    <a:pos x="1771" y="9433"/>
                  </a:cxn>
                  <a:cxn ang="0">
                    <a:pos x="1328" y="9930"/>
                  </a:cxn>
                  <a:cxn ang="0">
                    <a:pos x="1328" y="10426"/>
                  </a:cxn>
                  <a:cxn ang="0">
                    <a:pos x="1328" y="11419"/>
                  </a:cxn>
                  <a:cxn ang="0">
                    <a:pos x="1328" y="11916"/>
                  </a:cxn>
                  <a:cxn ang="0">
                    <a:pos x="1328" y="12412"/>
                  </a:cxn>
                  <a:cxn ang="0">
                    <a:pos x="886" y="12909"/>
                  </a:cxn>
                  <a:cxn ang="0">
                    <a:pos x="886" y="13902"/>
                  </a:cxn>
                  <a:cxn ang="0">
                    <a:pos x="886" y="14398"/>
                  </a:cxn>
                  <a:cxn ang="0">
                    <a:pos x="0" y="14895"/>
                  </a:cxn>
                  <a:cxn ang="0">
                    <a:pos x="0" y="15888"/>
                  </a:cxn>
                  <a:cxn ang="0">
                    <a:pos x="0" y="16384"/>
                  </a:cxn>
                  <a:cxn ang="0">
                    <a:pos x="16384" y="7944"/>
                  </a:cxn>
                </a:cxnLst>
                <a:rect l="0" t="0" r="r" b="b"/>
                <a:pathLst>
                  <a:path w="16384" h="16384">
                    <a:moveTo>
                      <a:pt x="16384" y="7944"/>
                    </a:moveTo>
                    <a:lnTo>
                      <a:pt x="0" y="0"/>
                    </a:lnTo>
                    <a:lnTo>
                      <a:pt x="0" y="496"/>
                    </a:lnTo>
                    <a:lnTo>
                      <a:pt x="0" y="993"/>
                    </a:lnTo>
                    <a:lnTo>
                      <a:pt x="886" y="1489"/>
                    </a:lnTo>
                    <a:lnTo>
                      <a:pt x="886" y="2482"/>
                    </a:lnTo>
                    <a:lnTo>
                      <a:pt x="886" y="2979"/>
                    </a:lnTo>
                    <a:lnTo>
                      <a:pt x="1328" y="3475"/>
                    </a:lnTo>
                    <a:lnTo>
                      <a:pt x="1328" y="4468"/>
                    </a:lnTo>
                    <a:lnTo>
                      <a:pt x="1328" y="4965"/>
                    </a:lnTo>
                    <a:lnTo>
                      <a:pt x="1328" y="5461"/>
                    </a:lnTo>
                    <a:lnTo>
                      <a:pt x="1328" y="5958"/>
                    </a:lnTo>
                    <a:lnTo>
                      <a:pt x="1771" y="6951"/>
                    </a:lnTo>
                    <a:lnTo>
                      <a:pt x="1771" y="7447"/>
                    </a:lnTo>
                    <a:lnTo>
                      <a:pt x="1771" y="7944"/>
                    </a:lnTo>
                    <a:lnTo>
                      <a:pt x="1771" y="8440"/>
                    </a:lnTo>
                    <a:lnTo>
                      <a:pt x="1771" y="9433"/>
                    </a:lnTo>
                    <a:lnTo>
                      <a:pt x="1328" y="9930"/>
                    </a:lnTo>
                    <a:lnTo>
                      <a:pt x="1328" y="10426"/>
                    </a:lnTo>
                    <a:lnTo>
                      <a:pt x="1328" y="11419"/>
                    </a:lnTo>
                    <a:lnTo>
                      <a:pt x="1328" y="11916"/>
                    </a:lnTo>
                    <a:lnTo>
                      <a:pt x="1328" y="12412"/>
                    </a:lnTo>
                    <a:lnTo>
                      <a:pt x="886" y="12909"/>
                    </a:lnTo>
                    <a:lnTo>
                      <a:pt x="886" y="13902"/>
                    </a:lnTo>
                    <a:lnTo>
                      <a:pt x="886" y="14398"/>
                    </a:lnTo>
                    <a:lnTo>
                      <a:pt x="0" y="14895"/>
                    </a:lnTo>
                    <a:lnTo>
                      <a:pt x="0" y="15888"/>
                    </a:lnTo>
                    <a:lnTo>
                      <a:pt x="0" y="16384"/>
                    </a:lnTo>
                    <a:lnTo>
                      <a:pt x="16384" y="794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60" name="Объект 2170">
                <a:extLst>
                  <a:ext uri="{FF2B5EF4-FFF2-40B4-BE49-F238E27FC236}">
                    <a16:creationId xmlns:a16="http://schemas.microsoft.com/office/drawing/2014/main" id="{00000000-0008-0000-1100-000018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000" y="3540000"/>
                <a:ext cx="20000" cy="5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449"/>
                  </a:cxn>
                  <a:cxn ang="0">
                    <a:pos x="0" y="12310"/>
                  </a:cxn>
                  <a:cxn ang="0">
                    <a:pos x="0" y="14390"/>
                  </a:cxn>
                  <a:cxn ang="0">
                    <a:pos x="0" y="15604"/>
                  </a:cxn>
                  <a:cxn ang="0">
                    <a:pos x="0" y="1612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449"/>
                    </a:lnTo>
                    <a:lnTo>
                      <a:pt x="0" y="12310"/>
                    </a:lnTo>
                    <a:lnTo>
                      <a:pt x="0" y="14390"/>
                    </a:lnTo>
                    <a:lnTo>
                      <a:pt x="0" y="15604"/>
                    </a:lnTo>
                    <a:lnTo>
                      <a:pt x="0" y="1612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61" name="Объект 2172">
                <a:extLst>
                  <a:ext uri="{FF2B5EF4-FFF2-40B4-BE49-F238E27FC236}">
                    <a16:creationId xmlns:a16="http://schemas.microsoft.com/office/drawing/2014/main" id="{00000000-0008-0000-1100-000019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0000" y="322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16384"/>
                  </a:cxn>
                  <a:cxn ang="0">
                    <a:pos x="0" y="0"/>
                  </a:cxn>
                  <a:cxn ang="0">
                    <a:pos x="0" y="431"/>
                  </a:cxn>
                  <a:cxn ang="0">
                    <a:pos x="512" y="431"/>
                  </a:cxn>
                  <a:cxn ang="0">
                    <a:pos x="1024" y="431"/>
                  </a:cxn>
                  <a:cxn ang="0">
                    <a:pos x="2048" y="862"/>
                  </a:cxn>
                  <a:cxn ang="0">
                    <a:pos x="2560" y="862"/>
                  </a:cxn>
                  <a:cxn ang="0">
                    <a:pos x="3072" y="862"/>
                  </a:cxn>
                  <a:cxn ang="0">
                    <a:pos x="3584" y="1293"/>
                  </a:cxn>
                  <a:cxn ang="0">
                    <a:pos x="4608" y="1293"/>
                  </a:cxn>
                  <a:cxn ang="0">
                    <a:pos x="5120" y="1293"/>
                  </a:cxn>
                  <a:cxn ang="0">
                    <a:pos x="5632" y="1293"/>
                  </a:cxn>
                  <a:cxn ang="0">
                    <a:pos x="6656" y="1293"/>
                  </a:cxn>
                  <a:cxn ang="0">
                    <a:pos x="7168" y="1293"/>
                  </a:cxn>
                  <a:cxn ang="0">
                    <a:pos x="7680" y="1293"/>
                  </a:cxn>
                  <a:cxn ang="0">
                    <a:pos x="8192" y="1293"/>
                  </a:cxn>
                  <a:cxn ang="0">
                    <a:pos x="9216" y="1293"/>
                  </a:cxn>
                  <a:cxn ang="0">
                    <a:pos x="9728" y="1293"/>
                  </a:cxn>
                  <a:cxn ang="0">
                    <a:pos x="10240" y="1293"/>
                  </a:cxn>
                  <a:cxn ang="0">
                    <a:pos x="10752" y="1293"/>
                  </a:cxn>
                  <a:cxn ang="0">
                    <a:pos x="11776" y="1293"/>
                  </a:cxn>
                  <a:cxn ang="0">
                    <a:pos x="12288" y="1293"/>
                  </a:cxn>
                  <a:cxn ang="0">
                    <a:pos x="12288" y="862"/>
                  </a:cxn>
                  <a:cxn ang="0">
                    <a:pos x="12800" y="862"/>
                  </a:cxn>
                  <a:cxn ang="0">
                    <a:pos x="13824" y="862"/>
                  </a:cxn>
                  <a:cxn ang="0">
                    <a:pos x="14336" y="862"/>
                  </a:cxn>
                  <a:cxn ang="0">
                    <a:pos x="14848" y="431"/>
                  </a:cxn>
                  <a:cxn ang="0">
                    <a:pos x="15360" y="431"/>
                  </a:cxn>
                  <a:cxn ang="0">
                    <a:pos x="16384" y="0"/>
                  </a:cxn>
                  <a:cxn ang="0">
                    <a:pos x="7680" y="16384"/>
                  </a:cxn>
                </a:cxnLst>
                <a:rect l="0" t="0" r="r" b="b"/>
                <a:pathLst>
                  <a:path w="16384" h="16384">
                    <a:moveTo>
                      <a:pt x="7680" y="16384"/>
                    </a:moveTo>
                    <a:lnTo>
                      <a:pt x="0" y="0"/>
                    </a:lnTo>
                    <a:lnTo>
                      <a:pt x="0" y="431"/>
                    </a:lnTo>
                    <a:lnTo>
                      <a:pt x="512" y="431"/>
                    </a:lnTo>
                    <a:lnTo>
                      <a:pt x="1024" y="431"/>
                    </a:lnTo>
                    <a:lnTo>
                      <a:pt x="2048" y="862"/>
                    </a:lnTo>
                    <a:lnTo>
                      <a:pt x="2560" y="862"/>
                    </a:lnTo>
                    <a:lnTo>
                      <a:pt x="3072" y="862"/>
                    </a:lnTo>
                    <a:lnTo>
                      <a:pt x="3584" y="1293"/>
                    </a:lnTo>
                    <a:lnTo>
                      <a:pt x="4608" y="1293"/>
                    </a:lnTo>
                    <a:lnTo>
                      <a:pt x="5120" y="1293"/>
                    </a:lnTo>
                    <a:lnTo>
                      <a:pt x="5632" y="1293"/>
                    </a:lnTo>
                    <a:lnTo>
                      <a:pt x="6656" y="1293"/>
                    </a:lnTo>
                    <a:lnTo>
                      <a:pt x="7168" y="1293"/>
                    </a:lnTo>
                    <a:lnTo>
                      <a:pt x="7680" y="1293"/>
                    </a:lnTo>
                    <a:lnTo>
                      <a:pt x="8192" y="1293"/>
                    </a:lnTo>
                    <a:lnTo>
                      <a:pt x="9216" y="1293"/>
                    </a:lnTo>
                    <a:lnTo>
                      <a:pt x="9728" y="1293"/>
                    </a:lnTo>
                    <a:lnTo>
                      <a:pt x="10240" y="1293"/>
                    </a:lnTo>
                    <a:lnTo>
                      <a:pt x="10752" y="1293"/>
                    </a:lnTo>
                    <a:lnTo>
                      <a:pt x="11776" y="1293"/>
                    </a:lnTo>
                    <a:lnTo>
                      <a:pt x="12288" y="1293"/>
                    </a:lnTo>
                    <a:lnTo>
                      <a:pt x="12288" y="862"/>
                    </a:lnTo>
                    <a:lnTo>
                      <a:pt x="12800" y="862"/>
                    </a:lnTo>
                    <a:lnTo>
                      <a:pt x="13824" y="862"/>
                    </a:lnTo>
                    <a:lnTo>
                      <a:pt x="14336" y="862"/>
                    </a:lnTo>
                    <a:lnTo>
                      <a:pt x="14848" y="431"/>
                    </a:lnTo>
                    <a:lnTo>
                      <a:pt x="15360" y="431"/>
                    </a:lnTo>
                    <a:lnTo>
                      <a:pt x="16384" y="0"/>
                    </a:lnTo>
                    <a:lnTo>
                      <a:pt x="768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62" name="Объект 2174">
                <a:extLst>
                  <a:ext uri="{FF2B5EF4-FFF2-40B4-BE49-F238E27FC236}">
                    <a16:creationId xmlns:a16="http://schemas.microsoft.com/office/drawing/2014/main" id="{00000000-0008-0000-1100-00001A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0000" y="3500000"/>
                <a:ext cx="120000" cy="120000"/>
              </a:xfrm>
              <a:custGeom>
                <a:avLst/>
                <a:gdLst/>
                <a:ahLst/>
                <a:cxnLst>
                  <a:cxn ang="0">
                    <a:pos x="7680" y="0"/>
                  </a:cxn>
                  <a:cxn ang="0">
                    <a:pos x="0" y="16384"/>
                  </a:cxn>
                  <a:cxn ang="0">
                    <a:pos x="0" y="15544"/>
                  </a:cxn>
                  <a:cxn ang="0">
                    <a:pos x="512" y="15544"/>
                  </a:cxn>
                  <a:cxn ang="0">
                    <a:pos x="1024" y="15544"/>
                  </a:cxn>
                  <a:cxn ang="0">
                    <a:pos x="2048" y="15124"/>
                  </a:cxn>
                  <a:cxn ang="0">
                    <a:pos x="2560" y="15124"/>
                  </a:cxn>
                  <a:cxn ang="0">
                    <a:pos x="3072" y="15124"/>
                  </a:cxn>
                  <a:cxn ang="0">
                    <a:pos x="3584" y="14704"/>
                  </a:cxn>
                  <a:cxn ang="0">
                    <a:pos x="4608" y="14704"/>
                  </a:cxn>
                  <a:cxn ang="0">
                    <a:pos x="5120" y="14704"/>
                  </a:cxn>
                  <a:cxn ang="0">
                    <a:pos x="5632" y="14704"/>
                  </a:cxn>
                  <a:cxn ang="0">
                    <a:pos x="6656" y="14704"/>
                  </a:cxn>
                  <a:cxn ang="0">
                    <a:pos x="7168" y="14704"/>
                  </a:cxn>
                  <a:cxn ang="0">
                    <a:pos x="7680" y="14704"/>
                  </a:cxn>
                  <a:cxn ang="0">
                    <a:pos x="8192" y="14704"/>
                  </a:cxn>
                  <a:cxn ang="0">
                    <a:pos x="9216" y="14704"/>
                  </a:cxn>
                  <a:cxn ang="0">
                    <a:pos x="9728" y="14704"/>
                  </a:cxn>
                  <a:cxn ang="0">
                    <a:pos x="10240" y="14704"/>
                  </a:cxn>
                  <a:cxn ang="0">
                    <a:pos x="10752" y="14704"/>
                  </a:cxn>
                  <a:cxn ang="0">
                    <a:pos x="11776" y="14704"/>
                  </a:cxn>
                  <a:cxn ang="0">
                    <a:pos x="12288" y="14704"/>
                  </a:cxn>
                  <a:cxn ang="0">
                    <a:pos x="12288" y="15124"/>
                  </a:cxn>
                  <a:cxn ang="0">
                    <a:pos x="12800" y="15124"/>
                  </a:cxn>
                  <a:cxn ang="0">
                    <a:pos x="13824" y="15124"/>
                  </a:cxn>
                  <a:cxn ang="0">
                    <a:pos x="14336" y="15124"/>
                  </a:cxn>
                  <a:cxn ang="0">
                    <a:pos x="14848" y="15544"/>
                  </a:cxn>
                  <a:cxn ang="0">
                    <a:pos x="15360" y="15544"/>
                  </a:cxn>
                  <a:cxn ang="0">
                    <a:pos x="16384" y="16384"/>
                  </a:cxn>
                  <a:cxn ang="0">
                    <a:pos x="7680" y="0"/>
                  </a:cxn>
                </a:cxnLst>
                <a:rect l="0" t="0" r="r" b="b"/>
                <a:pathLst>
                  <a:path w="16384" h="16384">
                    <a:moveTo>
                      <a:pt x="7680" y="0"/>
                    </a:moveTo>
                    <a:lnTo>
                      <a:pt x="0" y="16384"/>
                    </a:lnTo>
                    <a:lnTo>
                      <a:pt x="0" y="15544"/>
                    </a:lnTo>
                    <a:lnTo>
                      <a:pt x="512" y="15544"/>
                    </a:lnTo>
                    <a:lnTo>
                      <a:pt x="1024" y="15544"/>
                    </a:lnTo>
                    <a:lnTo>
                      <a:pt x="2048" y="15124"/>
                    </a:lnTo>
                    <a:lnTo>
                      <a:pt x="2560" y="15124"/>
                    </a:lnTo>
                    <a:lnTo>
                      <a:pt x="3072" y="15124"/>
                    </a:lnTo>
                    <a:lnTo>
                      <a:pt x="3584" y="14704"/>
                    </a:lnTo>
                    <a:lnTo>
                      <a:pt x="4608" y="14704"/>
                    </a:lnTo>
                    <a:lnTo>
                      <a:pt x="5120" y="14704"/>
                    </a:lnTo>
                    <a:lnTo>
                      <a:pt x="5632" y="14704"/>
                    </a:lnTo>
                    <a:lnTo>
                      <a:pt x="6656" y="14704"/>
                    </a:lnTo>
                    <a:lnTo>
                      <a:pt x="7168" y="14704"/>
                    </a:lnTo>
                    <a:lnTo>
                      <a:pt x="7680" y="14704"/>
                    </a:lnTo>
                    <a:lnTo>
                      <a:pt x="8192" y="14704"/>
                    </a:lnTo>
                    <a:lnTo>
                      <a:pt x="9216" y="14704"/>
                    </a:lnTo>
                    <a:lnTo>
                      <a:pt x="9728" y="14704"/>
                    </a:lnTo>
                    <a:lnTo>
                      <a:pt x="10240" y="14704"/>
                    </a:lnTo>
                    <a:lnTo>
                      <a:pt x="10752" y="14704"/>
                    </a:lnTo>
                    <a:lnTo>
                      <a:pt x="11776" y="14704"/>
                    </a:lnTo>
                    <a:lnTo>
                      <a:pt x="12288" y="14704"/>
                    </a:lnTo>
                    <a:lnTo>
                      <a:pt x="12288" y="15124"/>
                    </a:lnTo>
                    <a:lnTo>
                      <a:pt x="12800" y="15124"/>
                    </a:lnTo>
                    <a:lnTo>
                      <a:pt x="13824" y="15124"/>
                    </a:lnTo>
                    <a:lnTo>
                      <a:pt x="14336" y="15124"/>
                    </a:lnTo>
                    <a:lnTo>
                      <a:pt x="14848" y="15544"/>
                    </a:lnTo>
                    <a:lnTo>
                      <a:pt x="15360" y="15544"/>
                    </a:lnTo>
                    <a:lnTo>
                      <a:pt x="16384" y="16384"/>
                    </a:lnTo>
                    <a:lnTo>
                      <a:pt x="768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63" name="Текст 2176">
                <a:extLst>
                  <a:ext uri="{FF2B5EF4-FFF2-40B4-BE49-F238E27FC236}">
                    <a16:creationId xmlns:a16="http://schemas.microsoft.com/office/drawing/2014/main" id="{00000000-0008-0000-1100-00001B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60000" y="300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14364" name="Объект 2177">
                <a:extLst>
                  <a:ext uri="{FF2B5EF4-FFF2-40B4-BE49-F238E27FC236}">
                    <a16:creationId xmlns:a16="http://schemas.microsoft.com/office/drawing/2014/main" id="{00000000-0008-0000-1100-00001C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80000" y="2800000"/>
                <a:ext cx="20000" cy="5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58"/>
                  </a:cxn>
                  <a:cxn ang="0">
                    <a:pos x="0" y="9473"/>
                  </a:cxn>
                  <a:cxn ang="0">
                    <a:pos x="0" y="12424"/>
                  </a:cxn>
                  <a:cxn ang="0">
                    <a:pos x="0" y="14365"/>
                  </a:cxn>
                  <a:cxn ang="0">
                    <a:pos x="0" y="15530"/>
                  </a:cxn>
                  <a:cxn ang="0">
                    <a:pos x="0" y="16229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58"/>
                    </a:lnTo>
                    <a:lnTo>
                      <a:pt x="0" y="9473"/>
                    </a:lnTo>
                    <a:lnTo>
                      <a:pt x="0" y="12424"/>
                    </a:lnTo>
                    <a:lnTo>
                      <a:pt x="0" y="14365"/>
                    </a:lnTo>
                    <a:lnTo>
                      <a:pt x="0" y="15530"/>
                    </a:lnTo>
                    <a:lnTo>
                      <a:pt x="0" y="16229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65" name="Объект 2178">
                <a:extLst>
                  <a:ext uri="{FF2B5EF4-FFF2-40B4-BE49-F238E27FC236}">
                    <a16:creationId xmlns:a16="http://schemas.microsoft.com/office/drawing/2014/main" id="{00000000-0008-0000-1100-00001D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00000" y="2920000"/>
                <a:ext cx="32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330" y="0"/>
                  </a:cxn>
                  <a:cxn ang="0">
                    <a:pos x="9278" y="0"/>
                  </a:cxn>
                  <a:cxn ang="0">
                    <a:pos x="12436" y="0"/>
                  </a:cxn>
                  <a:cxn ang="0">
                    <a:pos x="14410" y="0"/>
                  </a:cxn>
                  <a:cxn ang="0">
                    <a:pos x="15397" y="0"/>
                  </a:cxn>
                  <a:cxn ang="0">
                    <a:pos x="1618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330" y="0"/>
                    </a:lnTo>
                    <a:lnTo>
                      <a:pt x="9278" y="0"/>
                    </a:lnTo>
                    <a:lnTo>
                      <a:pt x="12436" y="0"/>
                    </a:lnTo>
                    <a:lnTo>
                      <a:pt x="14410" y="0"/>
                    </a:lnTo>
                    <a:lnTo>
                      <a:pt x="15397" y="0"/>
                    </a:lnTo>
                    <a:lnTo>
                      <a:pt x="1618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66" name="Объект 2179">
                <a:extLst>
                  <a:ext uri="{FF2B5EF4-FFF2-40B4-BE49-F238E27FC236}">
                    <a16:creationId xmlns:a16="http://schemas.microsoft.com/office/drawing/2014/main" id="{00000000-0008-0000-1100-00001E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20000" y="2880000"/>
                <a:ext cx="160000" cy="8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0"/>
                  </a:cxn>
                  <a:cxn ang="0">
                    <a:pos x="16384" y="512"/>
                  </a:cxn>
                  <a:cxn ang="0">
                    <a:pos x="15498" y="1024"/>
                  </a:cxn>
                  <a:cxn ang="0">
                    <a:pos x="15498" y="2048"/>
                  </a:cxn>
                  <a:cxn ang="0">
                    <a:pos x="15498" y="2560"/>
                  </a:cxn>
                  <a:cxn ang="0">
                    <a:pos x="15056" y="3072"/>
                  </a:cxn>
                  <a:cxn ang="0">
                    <a:pos x="15056" y="4096"/>
                  </a:cxn>
                  <a:cxn ang="0">
                    <a:pos x="15056" y="4608"/>
                  </a:cxn>
                  <a:cxn ang="0">
                    <a:pos x="15056" y="5120"/>
                  </a:cxn>
                  <a:cxn ang="0">
                    <a:pos x="14613" y="5120"/>
                  </a:cxn>
                  <a:cxn ang="0">
                    <a:pos x="14613" y="5632"/>
                  </a:cxn>
                  <a:cxn ang="0">
                    <a:pos x="14613" y="6656"/>
                  </a:cxn>
                  <a:cxn ang="0">
                    <a:pos x="14613" y="7168"/>
                  </a:cxn>
                  <a:cxn ang="0">
                    <a:pos x="14613" y="7680"/>
                  </a:cxn>
                  <a:cxn ang="0">
                    <a:pos x="14613" y="8704"/>
                  </a:cxn>
                  <a:cxn ang="0">
                    <a:pos x="14613" y="9216"/>
                  </a:cxn>
                  <a:cxn ang="0">
                    <a:pos x="14613" y="9728"/>
                  </a:cxn>
                  <a:cxn ang="0">
                    <a:pos x="14613" y="10240"/>
                  </a:cxn>
                  <a:cxn ang="0">
                    <a:pos x="15056" y="11264"/>
                  </a:cxn>
                  <a:cxn ang="0">
                    <a:pos x="15056" y="11776"/>
                  </a:cxn>
                  <a:cxn ang="0">
                    <a:pos x="15056" y="12288"/>
                  </a:cxn>
                  <a:cxn ang="0">
                    <a:pos x="15056" y="12800"/>
                  </a:cxn>
                  <a:cxn ang="0">
                    <a:pos x="15498" y="13824"/>
                  </a:cxn>
                  <a:cxn ang="0">
                    <a:pos x="15498" y="14336"/>
                  </a:cxn>
                  <a:cxn ang="0">
                    <a:pos x="15498" y="14848"/>
                  </a:cxn>
                  <a:cxn ang="0">
                    <a:pos x="16384" y="14848"/>
                  </a:cxn>
                  <a:cxn ang="0">
                    <a:pos x="16384" y="15872"/>
                  </a:cxn>
                  <a:cxn ang="0">
                    <a:pos x="16384" y="16384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0"/>
                    </a:lnTo>
                    <a:lnTo>
                      <a:pt x="16384" y="512"/>
                    </a:lnTo>
                    <a:lnTo>
                      <a:pt x="15498" y="1024"/>
                    </a:lnTo>
                    <a:lnTo>
                      <a:pt x="15498" y="2048"/>
                    </a:lnTo>
                    <a:lnTo>
                      <a:pt x="15498" y="2560"/>
                    </a:lnTo>
                    <a:lnTo>
                      <a:pt x="15056" y="3072"/>
                    </a:lnTo>
                    <a:lnTo>
                      <a:pt x="15056" y="4096"/>
                    </a:lnTo>
                    <a:lnTo>
                      <a:pt x="15056" y="4608"/>
                    </a:lnTo>
                    <a:lnTo>
                      <a:pt x="15056" y="5120"/>
                    </a:lnTo>
                    <a:lnTo>
                      <a:pt x="14613" y="5120"/>
                    </a:lnTo>
                    <a:lnTo>
                      <a:pt x="14613" y="5632"/>
                    </a:lnTo>
                    <a:lnTo>
                      <a:pt x="14613" y="6656"/>
                    </a:lnTo>
                    <a:lnTo>
                      <a:pt x="14613" y="7168"/>
                    </a:lnTo>
                    <a:lnTo>
                      <a:pt x="14613" y="7680"/>
                    </a:lnTo>
                    <a:lnTo>
                      <a:pt x="14613" y="8704"/>
                    </a:lnTo>
                    <a:lnTo>
                      <a:pt x="14613" y="9216"/>
                    </a:lnTo>
                    <a:lnTo>
                      <a:pt x="14613" y="9728"/>
                    </a:lnTo>
                    <a:lnTo>
                      <a:pt x="14613" y="10240"/>
                    </a:lnTo>
                    <a:lnTo>
                      <a:pt x="15056" y="11264"/>
                    </a:lnTo>
                    <a:lnTo>
                      <a:pt x="15056" y="11776"/>
                    </a:lnTo>
                    <a:lnTo>
                      <a:pt x="15056" y="12288"/>
                    </a:lnTo>
                    <a:lnTo>
                      <a:pt x="15056" y="12800"/>
                    </a:lnTo>
                    <a:lnTo>
                      <a:pt x="15498" y="13824"/>
                    </a:lnTo>
                    <a:lnTo>
                      <a:pt x="15498" y="14336"/>
                    </a:lnTo>
                    <a:lnTo>
                      <a:pt x="15498" y="14848"/>
                    </a:lnTo>
                    <a:lnTo>
                      <a:pt x="16384" y="14848"/>
                    </a:lnTo>
                    <a:lnTo>
                      <a:pt x="16384" y="15872"/>
                    </a:lnTo>
                    <a:lnTo>
                      <a:pt x="16384" y="16384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67" name="Объект 2180">
                <a:extLst>
                  <a:ext uri="{FF2B5EF4-FFF2-40B4-BE49-F238E27FC236}">
                    <a16:creationId xmlns:a16="http://schemas.microsoft.com/office/drawing/2014/main" id="{00000000-0008-0000-1100-00001F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40000" y="2880000"/>
                <a:ext cx="140000" cy="8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0"/>
                  </a:cxn>
                  <a:cxn ang="0">
                    <a:pos x="0" y="512"/>
                  </a:cxn>
                  <a:cxn ang="0">
                    <a:pos x="443" y="512"/>
                  </a:cxn>
                  <a:cxn ang="0">
                    <a:pos x="443" y="1024"/>
                  </a:cxn>
                  <a:cxn ang="0">
                    <a:pos x="443" y="2048"/>
                  </a:cxn>
                  <a:cxn ang="0">
                    <a:pos x="886" y="2560"/>
                  </a:cxn>
                  <a:cxn ang="0">
                    <a:pos x="886" y="3072"/>
                  </a:cxn>
                  <a:cxn ang="0">
                    <a:pos x="886" y="4096"/>
                  </a:cxn>
                  <a:cxn ang="0">
                    <a:pos x="1771" y="4608"/>
                  </a:cxn>
                  <a:cxn ang="0">
                    <a:pos x="1771" y="5120"/>
                  </a:cxn>
                  <a:cxn ang="0">
                    <a:pos x="1771" y="5632"/>
                  </a:cxn>
                  <a:cxn ang="0">
                    <a:pos x="1771" y="6656"/>
                  </a:cxn>
                  <a:cxn ang="0">
                    <a:pos x="1771" y="7168"/>
                  </a:cxn>
                  <a:cxn ang="0">
                    <a:pos x="1771" y="7680"/>
                  </a:cxn>
                  <a:cxn ang="0">
                    <a:pos x="1771" y="8704"/>
                  </a:cxn>
                  <a:cxn ang="0">
                    <a:pos x="1771" y="9216"/>
                  </a:cxn>
                  <a:cxn ang="0">
                    <a:pos x="1771" y="9728"/>
                  </a:cxn>
                  <a:cxn ang="0">
                    <a:pos x="1771" y="10240"/>
                  </a:cxn>
                  <a:cxn ang="0">
                    <a:pos x="1771" y="11264"/>
                  </a:cxn>
                  <a:cxn ang="0">
                    <a:pos x="1771" y="11776"/>
                  </a:cxn>
                  <a:cxn ang="0">
                    <a:pos x="886" y="12288"/>
                  </a:cxn>
                  <a:cxn ang="0">
                    <a:pos x="886" y="12800"/>
                  </a:cxn>
                  <a:cxn ang="0">
                    <a:pos x="886" y="13824"/>
                  </a:cxn>
                  <a:cxn ang="0">
                    <a:pos x="443" y="14336"/>
                  </a:cxn>
                  <a:cxn ang="0">
                    <a:pos x="443" y="14848"/>
                  </a:cxn>
                  <a:cxn ang="0">
                    <a:pos x="0" y="15872"/>
                  </a:cxn>
                  <a:cxn ang="0">
                    <a:pos x="0" y="16384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0"/>
                    </a:lnTo>
                    <a:lnTo>
                      <a:pt x="0" y="512"/>
                    </a:lnTo>
                    <a:lnTo>
                      <a:pt x="443" y="512"/>
                    </a:lnTo>
                    <a:lnTo>
                      <a:pt x="443" y="1024"/>
                    </a:lnTo>
                    <a:lnTo>
                      <a:pt x="443" y="2048"/>
                    </a:lnTo>
                    <a:lnTo>
                      <a:pt x="886" y="2560"/>
                    </a:lnTo>
                    <a:lnTo>
                      <a:pt x="886" y="3072"/>
                    </a:lnTo>
                    <a:lnTo>
                      <a:pt x="886" y="4096"/>
                    </a:lnTo>
                    <a:lnTo>
                      <a:pt x="1771" y="4608"/>
                    </a:lnTo>
                    <a:lnTo>
                      <a:pt x="1771" y="5120"/>
                    </a:lnTo>
                    <a:lnTo>
                      <a:pt x="1771" y="5632"/>
                    </a:lnTo>
                    <a:lnTo>
                      <a:pt x="1771" y="6656"/>
                    </a:lnTo>
                    <a:lnTo>
                      <a:pt x="1771" y="7168"/>
                    </a:lnTo>
                    <a:lnTo>
                      <a:pt x="1771" y="7680"/>
                    </a:lnTo>
                    <a:lnTo>
                      <a:pt x="1771" y="8704"/>
                    </a:lnTo>
                    <a:lnTo>
                      <a:pt x="1771" y="9216"/>
                    </a:lnTo>
                    <a:lnTo>
                      <a:pt x="1771" y="9728"/>
                    </a:lnTo>
                    <a:lnTo>
                      <a:pt x="1771" y="10240"/>
                    </a:lnTo>
                    <a:lnTo>
                      <a:pt x="1771" y="11264"/>
                    </a:lnTo>
                    <a:lnTo>
                      <a:pt x="1771" y="11776"/>
                    </a:lnTo>
                    <a:lnTo>
                      <a:pt x="886" y="12288"/>
                    </a:lnTo>
                    <a:lnTo>
                      <a:pt x="886" y="12800"/>
                    </a:lnTo>
                    <a:lnTo>
                      <a:pt x="886" y="13824"/>
                    </a:lnTo>
                    <a:lnTo>
                      <a:pt x="443" y="14336"/>
                    </a:lnTo>
                    <a:lnTo>
                      <a:pt x="443" y="14848"/>
                    </a:lnTo>
                    <a:lnTo>
                      <a:pt x="0" y="15872"/>
                    </a:lnTo>
                    <a:lnTo>
                      <a:pt x="0" y="16384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68" name="Текст 2181">
                <a:extLst>
                  <a:ext uri="{FF2B5EF4-FFF2-40B4-BE49-F238E27FC236}">
                    <a16:creationId xmlns:a16="http://schemas.microsoft.com/office/drawing/2014/main" id="{00000000-0008-0000-1100-000020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40000" y="228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 </a:t>
                </a:r>
              </a:p>
            </xdr:txBody>
          </xdr:sp>
          <xdr:sp macro="" textlink="">
            <xdr:nvSpPr>
              <xdr:cNvPr id="14369" name="Текст 2182">
                <a:extLst>
                  <a:ext uri="{FF2B5EF4-FFF2-40B4-BE49-F238E27FC236}">
                    <a16:creationId xmlns:a16="http://schemas.microsoft.com/office/drawing/2014/main" id="{00000000-0008-0000-1100-000021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20000" y="2540000"/>
                <a:ext cx="30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4</a:t>
                </a:r>
              </a:p>
            </xdr:txBody>
          </xdr:sp>
          <xdr:sp macro="" textlink="">
            <xdr:nvSpPr>
              <xdr:cNvPr id="14370" name="Текст 2253">
                <a:extLst>
                  <a:ext uri="{FF2B5EF4-FFF2-40B4-BE49-F238E27FC236}">
                    <a16:creationId xmlns:a16="http://schemas.microsoft.com/office/drawing/2014/main" id="{00000000-0008-0000-1100-000022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220000" y="160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4371" name="Текст 2254">
                <a:extLst>
                  <a:ext uri="{FF2B5EF4-FFF2-40B4-BE49-F238E27FC236}">
                    <a16:creationId xmlns:a16="http://schemas.microsoft.com/office/drawing/2014/main" id="{00000000-0008-0000-1100-000023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80000" y="160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4372" name="Объект 2256">
                <a:extLst>
                  <a:ext uri="{FF2B5EF4-FFF2-40B4-BE49-F238E27FC236}">
                    <a16:creationId xmlns:a16="http://schemas.microsoft.com/office/drawing/2014/main" id="{00000000-0008-0000-1100-000024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00000" y="142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16384" y="7680"/>
                  </a:cxn>
                  <a:cxn ang="0">
                    <a:pos x="0" y="16384"/>
                  </a:cxn>
                  <a:cxn ang="0">
                    <a:pos x="431" y="15360"/>
                  </a:cxn>
                  <a:cxn ang="0">
                    <a:pos x="431" y="14848"/>
                  </a:cxn>
                  <a:cxn ang="0">
                    <a:pos x="1293" y="14336"/>
                  </a:cxn>
                  <a:cxn ang="0">
                    <a:pos x="1293" y="13824"/>
                  </a:cxn>
                  <a:cxn ang="0">
                    <a:pos x="1293" y="12800"/>
                  </a:cxn>
                  <a:cxn ang="0">
                    <a:pos x="1725" y="12288"/>
                  </a:cxn>
                  <a:cxn ang="0">
                    <a:pos x="1725" y="11776"/>
                  </a:cxn>
                  <a:cxn ang="0">
                    <a:pos x="1725" y="10752"/>
                  </a:cxn>
                  <a:cxn ang="0">
                    <a:pos x="1725" y="10240"/>
                  </a:cxn>
                  <a:cxn ang="0">
                    <a:pos x="1725" y="9728"/>
                  </a:cxn>
                  <a:cxn ang="0">
                    <a:pos x="2156" y="9728"/>
                  </a:cxn>
                  <a:cxn ang="0">
                    <a:pos x="2156" y="9216"/>
                  </a:cxn>
                  <a:cxn ang="0">
                    <a:pos x="2156" y="8192"/>
                  </a:cxn>
                  <a:cxn ang="0">
                    <a:pos x="2156" y="7680"/>
                  </a:cxn>
                  <a:cxn ang="0">
                    <a:pos x="2156" y="7168"/>
                  </a:cxn>
                  <a:cxn ang="0">
                    <a:pos x="2156" y="6144"/>
                  </a:cxn>
                  <a:cxn ang="0">
                    <a:pos x="1725" y="5632"/>
                  </a:cxn>
                  <a:cxn ang="0">
                    <a:pos x="1725" y="5120"/>
                  </a:cxn>
                  <a:cxn ang="0">
                    <a:pos x="1725" y="4608"/>
                  </a:cxn>
                  <a:cxn ang="0">
                    <a:pos x="1725" y="3584"/>
                  </a:cxn>
                  <a:cxn ang="0">
                    <a:pos x="1725" y="3072"/>
                  </a:cxn>
                  <a:cxn ang="0">
                    <a:pos x="1293" y="2560"/>
                  </a:cxn>
                  <a:cxn ang="0">
                    <a:pos x="1293" y="2048"/>
                  </a:cxn>
                  <a:cxn ang="0">
                    <a:pos x="1293" y="1024"/>
                  </a:cxn>
                  <a:cxn ang="0">
                    <a:pos x="431" y="512"/>
                  </a:cxn>
                  <a:cxn ang="0">
                    <a:pos x="431" y="0"/>
                  </a:cxn>
                  <a:cxn ang="0">
                    <a:pos x="0" y="0"/>
                  </a:cxn>
                  <a:cxn ang="0">
                    <a:pos x="16384" y="7680"/>
                  </a:cxn>
                </a:cxnLst>
                <a:rect l="0" t="0" r="r" b="b"/>
                <a:pathLst>
                  <a:path w="16384" h="16384">
                    <a:moveTo>
                      <a:pt x="16384" y="7680"/>
                    </a:moveTo>
                    <a:lnTo>
                      <a:pt x="0" y="16384"/>
                    </a:lnTo>
                    <a:lnTo>
                      <a:pt x="431" y="15360"/>
                    </a:lnTo>
                    <a:lnTo>
                      <a:pt x="431" y="14848"/>
                    </a:lnTo>
                    <a:lnTo>
                      <a:pt x="1293" y="14336"/>
                    </a:lnTo>
                    <a:lnTo>
                      <a:pt x="1293" y="13824"/>
                    </a:lnTo>
                    <a:lnTo>
                      <a:pt x="1293" y="12800"/>
                    </a:lnTo>
                    <a:lnTo>
                      <a:pt x="1725" y="12288"/>
                    </a:lnTo>
                    <a:lnTo>
                      <a:pt x="1725" y="11776"/>
                    </a:lnTo>
                    <a:lnTo>
                      <a:pt x="1725" y="10752"/>
                    </a:lnTo>
                    <a:lnTo>
                      <a:pt x="1725" y="10240"/>
                    </a:lnTo>
                    <a:lnTo>
                      <a:pt x="1725" y="9728"/>
                    </a:lnTo>
                    <a:lnTo>
                      <a:pt x="2156" y="9728"/>
                    </a:lnTo>
                    <a:lnTo>
                      <a:pt x="2156" y="9216"/>
                    </a:lnTo>
                    <a:lnTo>
                      <a:pt x="2156" y="8192"/>
                    </a:lnTo>
                    <a:lnTo>
                      <a:pt x="2156" y="7680"/>
                    </a:lnTo>
                    <a:lnTo>
                      <a:pt x="2156" y="7168"/>
                    </a:lnTo>
                    <a:lnTo>
                      <a:pt x="2156" y="6144"/>
                    </a:lnTo>
                    <a:lnTo>
                      <a:pt x="1725" y="5632"/>
                    </a:lnTo>
                    <a:lnTo>
                      <a:pt x="1725" y="5120"/>
                    </a:lnTo>
                    <a:lnTo>
                      <a:pt x="1725" y="4608"/>
                    </a:lnTo>
                    <a:lnTo>
                      <a:pt x="1725" y="3584"/>
                    </a:lnTo>
                    <a:lnTo>
                      <a:pt x="1725" y="3072"/>
                    </a:lnTo>
                    <a:lnTo>
                      <a:pt x="1293" y="2560"/>
                    </a:lnTo>
                    <a:lnTo>
                      <a:pt x="1293" y="2048"/>
                    </a:lnTo>
                    <a:lnTo>
                      <a:pt x="1293" y="1024"/>
                    </a:lnTo>
                    <a:lnTo>
                      <a:pt x="431" y="512"/>
                    </a:lnTo>
                    <a:lnTo>
                      <a:pt x="431" y="0"/>
                    </a:lnTo>
                    <a:lnTo>
                      <a:pt x="0" y="0"/>
                    </a:lnTo>
                    <a:lnTo>
                      <a:pt x="16384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73" name="Объект 2258">
                <a:extLst>
                  <a:ext uri="{FF2B5EF4-FFF2-40B4-BE49-F238E27FC236}">
                    <a16:creationId xmlns:a16="http://schemas.microsoft.com/office/drawing/2014/main" id="{00000000-0008-0000-1100-000025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40000" y="1420000"/>
                <a:ext cx="140000" cy="100000"/>
              </a:xfrm>
              <a:custGeom>
                <a:avLst/>
                <a:gdLst/>
                <a:ahLst/>
                <a:cxnLst>
                  <a:cxn ang="0">
                    <a:pos x="0" y="7680"/>
                  </a:cxn>
                  <a:cxn ang="0">
                    <a:pos x="16384" y="16384"/>
                  </a:cxn>
                  <a:cxn ang="0">
                    <a:pos x="16384" y="15360"/>
                  </a:cxn>
                  <a:cxn ang="0">
                    <a:pos x="15941" y="14848"/>
                  </a:cxn>
                  <a:cxn ang="0">
                    <a:pos x="15941" y="14336"/>
                  </a:cxn>
                  <a:cxn ang="0">
                    <a:pos x="15498" y="13824"/>
                  </a:cxn>
                  <a:cxn ang="0">
                    <a:pos x="15498" y="12800"/>
                  </a:cxn>
                  <a:cxn ang="0">
                    <a:pos x="15498" y="12288"/>
                  </a:cxn>
                  <a:cxn ang="0">
                    <a:pos x="15498" y="11776"/>
                  </a:cxn>
                  <a:cxn ang="0">
                    <a:pos x="15056" y="10752"/>
                  </a:cxn>
                  <a:cxn ang="0">
                    <a:pos x="15056" y="10240"/>
                  </a:cxn>
                  <a:cxn ang="0">
                    <a:pos x="15056" y="9728"/>
                  </a:cxn>
                  <a:cxn ang="0">
                    <a:pos x="15056" y="9216"/>
                  </a:cxn>
                  <a:cxn ang="0">
                    <a:pos x="15056" y="8192"/>
                  </a:cxn>
                  <a:cxn ang="0">
                    <a:pos x="15056" y="7680"/>
                  </a:cxn>
                  <a:cxn ang="0">
                    <a:pos x="15056" y="7168"/>
                  </a:cxn>
                  <a:cxn ang="0">
                    <a:pos x="15056" y="6144"/>
                  </a:cxn>
                  <a:cxn ang="0">
                    <a:pos x="15056" y="5632"/>
                  </a:cxn>
                  <a:cxn ang="0">
                    <a:pos x="15056" y="5120"/>
                  </a:cxn>
                  <a:cxn ang="0">
                    <a:pos x="15056" y="4608"/>
                  </a:cxn>
                  <a:cxn ang="0">
                    <a:pos x="15498" y="4608"/>
                  </a:cxn>
                  <a:cxn ang="0">
                    <a:pos x="15498" y="3584"/>
                  </a:cxn>
                  <a:cxn ang="0">
                    <a:pos x="15498" y="3072"/>
                  </a:cxn>
                  <a:cxn ang="0">
                    <a:pos x="15498" y="2560"/>
                  </a:cxn>
                  <a:cxn ang="0">
                    <a:pos x="15498" y="2048"/>
                  </a:cxn>
                  <a:cxn ang="0">
                    <a:pos x="15941" y="2048"/>
                  </a:cxn>
                  <a:cxn ang="0">
                    <a:pos x="15941" y="1024"/>
                  </a:cxn>
                  <a:cxn ang="0">
                    <a:pos x="15941" y="512"/>
                  </a:cxn>
                  <a:cxn ang="0">
                    <a:pos x="16384" y="0"/>
                  </a:cxn>
                  <a:cxn ang="0">
                    <a:pos x="0" y="7680"/>
                  </a:cxn>
                </a:cxnLst>
                <a:rect l="0" t="0" r="r" b="b"/>
                <a:pathLst>
                  <a:path w="16384" h="16384">
                    <a:moveTo>
                      <a:pt x="0" y="7680"/>
                    </a:moveTo>
                    <a:lnTo>
                      <a:pt x="16384" y="16384"/>
                    </a:lnTo>
                    <a:lnTo>
                      <a:pt x="16384" y="15360"/>
                    </a:lnTo>
                    <a:lnTo>
                      <a:pt x="15941" y="14848"/>
                    </a:lnTo>
                    <a:lnTo>
                      <a:pt x="15941" y="14336"/>
                    </a:lnTo>
                    <a:lnTo>
                      <a:pt x="15498" y="13824"/>
                    </a:lnTo>
                    <a:lnTo>
                      <a:pt x="15498" y="12800"/>
                    </a:lnTo>
                    <a:lnTo>
                      <a:pt x="15498" y="12288"/>
                    </a:lnTo>
                    <a:lnTo>
                      <a:pt x="15498" y="11776"/>
                    </a:lnTo>
                    <a:lnTo>
                      <a:pt x="15056" y="10752"/>
                    </a:lnTo>
                    <a:lnTo>
                      <a:pt x="15056" y="10240"/>
                    </a:lnTo>
                    <a:lnTo>
                      <a:pt x="15056" y="9728"/>
                    </a:lnTo>
                    <a:lnTo>
                      <a:pt x="15056" y="9216"/>
                    </a:lnTo>
                    <a:lnTo>
                      <a:pt x="15056" y="8192"/>
                    </a:lnTo>
                    <a:lnTo>
                      <a:pt x="15056" y="7680"/>
                    </a:lnTo>
                    <a:lnTo>
                      <a:pt x="15056" y="7168"/>
                    </a:lnTo>
                    <a:lnTo>
                      <a:pt x="15056" y="6144"/>
                    </a:lnTo>
                    <a:lnTo>
                      <a:pt x="15056" y="5632"/>
                    </a:lnTo>
                    <a:lnTo>
                      <a:pt x="15056" y="5120"/>
                    </a:lnTo>
                    <a:lnTo>
                      <a:pt x="15056" y="4608"/>
                    </a:lnTo>
                    <a:lnTo>
                      <a:pt x="15498" y="4608"/>
                    </a:lnTo>
                    <a:lnTo>
                      <a:pt x="15498" y="3584"/>
                    </a:lnTo>
                    <a:lnTo>
                      <a:pt x="15498" y="3072"/>
                    </a:lnTo>
                    <a:lnTo>
                      <a:pt x="15498" y="2560"/>
                    </a:lnTo>
                    <a:lnTo>
                      <a:pt x="15498" y="2048"/>
                    </a:lnTo>
                    <a:lnTo>
                      <a:pt x="15941" y="2048"/>
                    </a:lnTo>
                    <a:lnTo>
                      <a:pt x="15941" y="1024"/>
                    </a:lnTo>
                    <a:lnTo>
                      <a:pt x="15941" y="512"/>
                    </a:lnTo>
                    <a:lnTo>
                      <a:pt x="16384" y="0"/>
                    </a:lnTo>
                    <a:lnTo>
                      <a:pt x="0" y="768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74" name="Текст 2260">
                <a:extLst>
                  <a:ext uri="{FF2B5EF4-FFF2-40B4-BE49-F238E27FC236}">
                    <a16:creationId xmlns:a16="http://schemas.microsoft.com/office/drawing/2014/main" id="{00000000-0008-0000-1100-000026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80000" y="110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14375" name="Объект 2261">
                <a:extLst>
                  <a:ext uri="{FF2B5EF4-FFF2-40B4-BE49-F238E27FC236}">
                    <a16:creationId xmlns:a16="http://schemas.microsoft.com/office/drawing/2014/main" id="{00000000-0008-0000-1100-000027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20000" y="640000"/>
                <a:ext cx="480000" cy="24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8688" y="1638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8688" y="1638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76" name="Объект 2262">
                <a:extLst>
                  <a:ext uri="{FF2B5EF4-FFF2-40B4-BE49-F238E27FC236}">
                    <a16:creationId xmlns:a16="http://schemas.microsoft.com/office/drawing/2014/main" id="{00000000-0008-0000-1100-0000283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60000" y="640000"/>
                <a:ext cx="140000" cy="1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2288" y="16384"/>
                  </a:cxn>
                  <a:cxn ang="0">
                    <a:pos x="11378" y="15585"/>
                  </a:cxn>
                  <a:cxn ang="0">
                    <a:pos x="11378" y="15185"/>
                  </a:cxn>
                  <a:cxn ang="0">
                    <a:pos x="10923" y="14786"/>
                  </a:cxn>
                  <a:cxn ang="0">
                    <a:pos x="10923" y="13986"/>
                  </a:cxn>
                  <a:cxn ang="0">
                    <a:pos x="10468" y="13587"/>
                  </a:cxn>
                  <a:cxn ang="0">
                    <a:pos x="10012" y="13187"/>
                  </a:cxn>
                  <a:cxn ang="0">
                    <a:pos x="9102" y="12788"/>
                  </a:cxn>
                  <a:cxn ang="0">
                    <a:pos x="8647" y="11988"/>
                  </a:cxn>
                  <a:cxn ang="0">
                    <a:pos x="8192" y="11589"/>
                  </a:cxn>
                  <a:cxn ang="0">
                    <a:pos x="7282" y="11189"/>
                  </a:cxn>
                  <a:cxn ang="0">
                    <a:pos x="6827" y="11189"/>
                  </a:cxn>
                  <a:cxn ang="0">
                    <a:pos x="6827" y="10390"/>
                  </a:cxn>
                  <a:cxn ang="0">
                    <a:pos x="6372" y="10390"/>
                  </a:cxn>
                  <a:cxn ang="0">
                    <a:pos x="5916" y="9990"/>
                  </a:cxn>
                  <a:cxn ang="0">
                    <a:pos x="5006" y="9990"/>
                  </a:cxn>
                  <a:cxn ang="0">
                    <a:pos x="4551" y="9591"/>
                  </a:cxn>
                  <a:cxn ang="0">
                    <a:pos x="4096" y="9591"/>
                  </a:cxn>
                  <a:cxn ang="0">
                    <a:pos x="3186" y="9191"/>
                  </a:cxn>
                  <a:cxn ang="0">
                    <a:pos x="2731" y="9191"/>
                  </a:cxn>
                  <a:cxn ang="0">
                    <a:pos x="2276" y="9191"/>
                  </a:cxn>
                  <a:cxn ang="0">
                    <a:pos x="1820" y="8392"/>
                  </a:cxn>
                  <a:cxn ang="0">
                    <a:pos x="910" y="8392"/>
                  </a:cxn>
                  <a:cxn ang="0">
                    <a:pos x="455" y="8392"/>
                  </a:cxn>
                  <a:cxn ang="0">
                    <a:pos x="0" y="8392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2288" y="16384"/>
                    </a:lnTo>
                    <a:lnTo>
                      <a:pt x="11378" y="15585"/>
                    </a:lnTo>
                    <a:lnTo>
                      <a:pt x="11378" y="15185"/>
                    </a:lnTo>
                    <a:lnTo>
                      <a:pt x="10923" y="14786"/>
                    </a:lnTo>
                    <a:lnTo>
                      <a:pt x="10923" y="13986"/>
                    </a:lnTo>
                    <a:lnTo>
                      <a:pt x="10468" y="13587"/>
                    </a:lnTo>
                    <a:lnTo>
                      <a:pt x="10012" y="13187"/>
                    </a:lnTo>
                    <a:lnTo>
                      <a:pt x="9102" y="12788"/>
                    </a:lnTo>
                    <a:lnTo>
                      <a:pt x="8647" y="11988"/>
                    </a:lnTo>
                    <a:lnTo>
                      <a:pt x="8192" y="11589"/>
                    </a:lnTo>
                    <a:lnTo>
                      <a:pt x="7282" y="11189"/>
                    </a:lnTo>
                    <a:lnTo>
                      <a:pt x="6827" y="11189"/>
                    </a:lnTo>
                    <a:lnTo>
                      <a:pt x="6827" y="10390"/>
                    </a:lnTo>
                    <a:lnTo>
                      <a:pt x="6372" y="10390"/>
                    </a:lnTo>
                    <a:lnTo>
                      <a:pt x="5916" y="9990"/>
                    </a:lnTo>
                    <a:lnTo>
                      <a:pt x="5006" y="9990"/>
                    </a:lnTo>
                    <a:lnTo>
                      <a:pt x="4551" y="9591"/>
                    </a:lnTo>
                    <a:lnTo>
                      <a:pt x="4096" y="9591"/>
                    </a:lnTo>
                    <a:lnTo>
                      <a:pt x="3186" y="9191"/>
                    </a:lnTo>
                    <a:lnTo>
                      <a:pt x="2731" y="9191"/>
                    </a:lnTo>
                    <a:lnTo>
                      <a:pt x="2276" y="9191"/>
                    </a:lnTo>
                    <a:lnTo>
                      <a:pt x="1820" y="8392"/>
                    </a:lnTo>
                    <a:lnTo>
                      <a:pt x="910" y="8392"/>
                    </a:lnTo>
                    <a:lnTo>
                      <a:pt x="455" y="8392"/>
                    </a:lnTo>
                    <a:lnTo>
                      <a:pt x="0" y="8392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4377" name="Line 41">
                <a:extLst>
                  <a:ext uri="{FF2B5EF4-FFF2-40B4-BE49-F238E27FC236}">
                    <a16:creationId xmlns:a16="http://schemas.microsoft.com/office/drawing/2014/main" id="{00000000-0008-0000-1100-000029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40000" y="240000"/>
                <a:ext cx="0" cy="350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4378" name="Line 42">
                <a:extLst>
                  <a:ext uri="{FF2B5EF4-FFF2-40B4-BE49-F238E27FC236}">
                    <a16:creationId xmlns:a16="http://schemas.microsoft.com/office/drawing/2014/main" id="{00000000-0008-0000-1100-00002A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60000" y="1960000"/>
                <a:ext cx="162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4379" name="Line 43">
                <a:extLst>
                  <a:ext uri="{FF2B5EF4-FFF2-40B4-BE49-F238E27FC236}">
                    <a16:creationId xmlns:a16="http://schemas.microsoft.com/office/drawing/2014/main" id="{00000000-0008-0000-1100-00002B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160000" y="1460000"/>
                <a:ext cx="3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4380" name="Line 44">
                <a:extLst>
                  <a:ext uri="{FF2B5EF4-FFF2-40B4-BE49-F238E27FC236}">
                    <a16:creationId xmlns:a16="http://schemas.microsoft.com/office/drawing/2014/main" id="{00000000-0008-0000-1100-00002C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60000" y="1460000"/>
                <a:ext cx="2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4381" name="Line 45">
                <a:extLst>
                  <a:ext uri="{FF2B5EF4-FFF2-40B4-BE49-F238E27FC236}">
                    <a16:creationId xmlns:a16="http://schemas.microsoft.com/office/drawing/2014/main" id="{00000000-0008-0000-1100-00002D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00000" y="2560000"/>
                <a:ext cx="30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4382" name="Line 46">
                <a:extLst>
                  <a:ext uri="{FF2B5EF4-FFF2-40B4-BE49-F238E27FC236}">
                    <a16:creationId xmlns:a16="http://schemas.microsoft.com/office/drawing/2014/main" id="{00000000-0008-0000-1100-00002E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20000" y="3600000"/>
                <a:ext cx="0" cy="12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4383" name="Line 47">
                <a:extLst>
                  <a:ext uri="{FF2B5EF4-FFF2-40B4-BE49-F238E27FC236}">
                    <a16:creationId xmlns:a16="http://schemas.microsoft.com/office/drawing/2014/main" id="{00000000-0008-0000-1100-00002F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120000" y="2820000"/>
                <a:ext cx="0" cy="44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4384" name="Line 48">
                <a:extLst>
                  <a:ext uri="{FF2B5EF4-FFF2-40B4-BE49-F238E27FC236}">
                    <a16:creationId xmlns:a16="http://schemas.microsoft.com/office/drawing/2014/main" id="{00000000-0008-0000-1100-000030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80000" y="460000"/>
                <a:ext cx="58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4385" name="Line 49">
                <a:extLst>
                  <a:ext uri="{FF2B5EF4-FFF2-40B4-BE49-F238E27FC236}">
                    <a16:creationId xmlns:a16="http://schemas.microsoft.com/office/drawing/2014/main" id="{00000000-0008-0000-1100-0000313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40000" y="3500000"/>
                <a:ext cx="62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4390" name="Текст 54">
                <a:extLst>
                  <a:ext uri="{FF2B5EF4-FFF2-40B4-BE49-F238E27FC236}">
                    <a16:creationId xmlns:a16="http://schemas.microsoft.com/office/drawing/2014/main" id="{00000000-0008-0000-1100-0000363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0000" y="3960000"/>
                <a:ext cx="56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800000"/>
                    </a:solidFill>
                    <a:latin typeface="Arial Cyr"/>
                    <a:cs typeface="Arial Cyr"/>
                  </a:rPr>
                  <a:t>10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</xdr:row>
          <xdr:rowOff>38100</xdr:rowOff>
        </xdr:from>
        <xdr:to>
          <xdr:col>20</xdr:col>
          <xdr:colOff>190500</xdr:colOff>
          <xdr:row>3</xdr:row>
          <xdr:rowOff>57150</xdr:rowOff>
        </xdr:to>
        <xdr:sp macro="" textlink="">
          <xdr:nvSpPr>
            <xdr:cNvPr id="14337" name="Drop Dow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3</xdr:row>
          <xdr:rowOff>133350</xdr:rowOff>
        </xdr:from>
        <xdr:to>
          <xdr:col>16</xdr:col>
          <xdr:colOff>0</xdr:colOff>
          <xdr:row>5</xdr:row>
          <xdr:rowOff>28575</xdr:rowOff>
        </xdr:to>
        <xdr:sp macro="" textlink="">
          <xdr:nvSpPr>
            <xdr:cNvPr id="14338" name="Drop Dow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66675</xdr:rowOff>
        </xdr:from>
        <xdr:to>
          <xdr:col>16</xdr:col>
          <xdr:colOff>19050</xdr:colOff>
          <xdr:row>0</xdr:row>
          <xdr:rowOff>209550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1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3</xdr:col>
      <xdr:colOff>247650</xdr:colOff>
      <xdr:row>10</xdr:row>
      <xdr:rowOff>123825</xdr:rowOff>
    </xdr:to>
    <xdr:grpSp>
      <xdr:nvGrpSpPr>
        <xdr:cNvPr id="15420" name="Group 60">
          <a:extLst>
            <a:ext uri="{FF2B5EF4-FFF2-40B4-BE49-F238E27FC236}">
              <a16:creationId xmlns:a16="http://schemas.microsoft.com/office/drawing/2014/main" id="{00000000-0008-0000-1300-00003C3C0000}"/>
            </a:ext>
          </a:extLst>
        </xdr:cNvPr>
        <xdr:cNvGrpSpPr>
          <a:grpSpLocks/>
        </xdr:cNvGrpSpPr>
      </xdr:nvGrpSpPr>
      <xdr:grpSpPr bwMode="auto">
        <a:xfrm>
          <a:off x="57150" y="0"/>
          <a:ext cx="1295400" cy="2105025"/>
          <a:chOff x="-6181" y="0"/>
          <a:chExt cx="24752" cy="19448"/>
        </a:xfrm>
      </xdr:grpSpPr>
      <xdr:grpSp>
        <xdr:nvGrpSpPr>
          <xdr:cNvPr id="15415" name="Group 55">
            <a:extLst>
              <a:ext uri="{FF2B5EF4-FFF2-40B4-BE49-F238E27FC236}">
                <a16:creationId xmlns:a16="http://schemas.microsoft.com/office/drawing/2014/main" id="{00000000-0008-0000-1300-0000373C0000}"/>
              </a:ext>
            </a:extLst>
          </xdr:cNvPr>
          <xdr:cNvGrpSpPr>
            <a:grpSpLocks/>
          </xdr:cNvGrpSpPr>
        </xdr:nvGrpSpPr>
        <xdr:grpSpPr bwMode="auto">
          <a:xfrm>
            <a:off x="-6181" y="0"/>
            <a:ext cx="24752" cy="19448"/>
            <a:chOff x="120000" y="0"/>
            <a:chExt cx="2720000" cy="4420000"/>
          </a:xfrm>
        </xdr:grpSpPr>
        <xdr:sp macro="" textlink="">
          <xdr:nvSpPr>
            <xdr:cNvPr id="15368" name="Rectangle 8">
              <a:extLst>
                <a:ext uri="{FF2B5EF4-FFF2-40B4-BE49-F238E27FC236}">
                  <a16:creationId xmlns:a16="http://schemas.microsoft.com/office/drawing/2014/main" id="{00000000-0008-0000-1300-0000083C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0000" y="60000"/>
              <a:ext cx="2720000" cy="4260000"/>
            </a:xfrm>
            <a:prstGeom prst="rect">
              <a:avLst/>
            </a:prstGeom>
            <a:solidFill>
              <a:srgbClr val="FFFF99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5369" name="Group 9">
              <a:extLst>
                <a:ext uri="{FF2B5EF4-FFF2-40B4-BE49-F238E27FC236}">
                  <a16:creationId xmlns:a16="http://schemas.microsoft.com/office/drawing/2014/main" id="{00000000-0008-0000-1300-0000093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0000" y="0"/>
              <a:ext cx="2680000" cy="4420000"/>
              <a:chOff x="120000" y="0"/>
              <a:chExt cx="2680000" cy="4420000"/>
            </a:xfrm>
          </xdr:grpSpPr>
          <xdr:sp macro="" textlink="">
            <xdr:nvSpPr>
              <xdr:cNvPr id="15370" name="Объект 1679">
                <a:extLst>
                  <a:ext uri="{FF2B5EF4-FFF2-40B4-BE49-F238E27FC236}">
                    <a16:creationId xmlns:a16="http://schemas.microsoft.com/office/drawing/2014/main" id="{00000000-0008-0000-1300-00000A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480000"/>
                <a:ext cx="1560000" cy="2940000"/>
              </a:xfrm>
              <a:custGeom>
                <a:avLst/>
                <a:gdLst/>
                <a:ahLst/>
                <a:cxnLst>
                  <a:cxn ang="0">
                    <a:pos x="15484" y="752"/>
                  </a:cxn>
                  <a:cxn ang="0">
                    <a:pos x="15988" y="646"/>
                  </a:cxn>
                  <a:cxn ang="0">
                    <a:pos x="16240" y="451"/>
                  </a:cxn>
                  <a:cxn ang="0">
                    <a:pos x="16312" y="165"/>
                  </a:cxn>
                  <a:cxn ang="0">
                    <a:pos x="0" y="0"/>
                  </a:cxn>
                  <a:cxn ang="0">
                    <a:pos x="108" y="316"/>
                  </a:cxn>
                  <a:cxn ang="0">
                    <a:pos x="324" y="541"/>
                  </a:cxn>
                  <a:cxn ang="0">
                    <a:pos x="684" y="721"/>
                  </a:cxn>
                  <a:cxn ang="0">
                    <a:pos x="1296" y="782"/>
                  </a:cxn>
                  <a:cxn ang="0">
                    <a:pos x="2485" y="857"/>
                  </a:cxn>
                  <a:cxn ang="0">
                    <a:pos x="3709" y="932"/>
                  </a:cxn>
                  <a:cxn ang="0">
                    <a:pos x="4897" y="1007"/>
                  </a:cxn>
                  <a:cxn ang="0">
                    <a:pos x="6085" y="1082"/>
                  </a:cxn>
                  <a:cxn ang="0">
                    <a:pos x="6698" y="1233"/>
                  </a:cxn>
                  <a:cxn ang="0">
                    <a:pos x="7166" y="1413"/>
                  </a:cxn>
                  <a:cxn ang="0">
                    <a:pos x="7382" y="1608"/>
                  </a:cxn>
                  <a:cxn ang="0">
                    <a:pos x="7490" y="1879"/>
                  </a:cxn>
                  <a:cxn ang="0">
                    <a:pos x="7490" y="5081"/>
                  </a:cxn>
                  <a:cxn ang="0">
                    <a:pos x="7490" y="8162"/>
                  </a:cxn>
                  <a:cxn ang="0">
                    <a:pos x="7490" y="11228"/>
                  </a:cxn>
                  <a:cxn ang="0">
                    <a:pos x="7490" y="14445"/>
                  </a:cxn>
                  <a:cxn ang="0">
                    <a:pos x="7490" y="14685"/>
                  </a:cxn>
                  <a:cxn ang="0">
                    <a:pos x="7382" y="14911"/>
                  </a:cxn>
                  <a:cxn ang="0">
                    <a:pos x="7022" y="15061"/>
                  </a:cxn>
                  <a:cxn ang="0">
                    <a:pos x="6374" y="15212"/>
                  </a:cxn>
                  <a:cxn ang="0">
                    <a:pos x="5077" y="15347"/>
                  </a:cxn>
                  <a:cxn ang="0">
                    <a:pos x="3709" y="15467"/>
                  </a:cxn>
                  <a:cxn ang="0">
                    <a:pos x="2305" y="15542"/>
                  </a:cxn>
                  <a:cxn ang="0">
                    <a:pos x="864" y="15617"/>
                  </a:cxn>
                  <a:cxn ang="0">
                    <a:pos x="432" y="15768"/>
                  </a:cxn>
                  <a:cxn ang="0">
                    <a:pos x="144" y="15918"/>
                  </a:cxn>
                  <a:cxn ang="0">
                    <a:pos x="36" y="16113"/>
                  </a:cxn>
                  <a:cxn ang="0">
                    <a:pos x="0" y="16384"/>
                  </a:cxn>
                  <a:cxn ang="0">
                    <a:pos x="16312" y="16234"/>
                  </a:cxn>
                  <a:cxn ang="0">
                    <a:pos x="16276" y="15978"/>
                  </a:cxn>
                  <a:cxn ang="0">
                    <a:pos x="16096" y="15813"/>
                  </a:cxn>
                  <a:cxn ang="0">
                    <a:pos x="15772" y="15693"/>
                  </a:cxn>
                  <a:cxn ang="0">
                    <a:pos x="14692" y="15572"/>
                  </a:cxn>
                  <a:cxn ang="0">
                    <a:pos x="13359" y="15497"/>
                  </a:cxn>
                  <a:cxn ang="0">
                    <a:pos x="12171" y="15407"/>
                  </a:cxn>
                  <a:cxn ang="0">
                    <a:pos x="10983" y="15287"/>
                  </a:cxn>
                  <a:cxn ang="0">
                    <a:pos x="9974" y="15136"/>
                  </a:cxn>
                  <a:cxn ang="0">
                    <a:pos x="9470" y="14986"/>
                  </a:cxn>
                  <a:cxn ang="0">
                    <a:pos x="9182" y="14806"/>
                  </a:cxn>
                  <a:cxn ang="0">
                    <a:pos x="9074" y="14580"/>
                  </a:cxn>
                  <a:cxn ang="0">
                    <a:pos x="9038" y="12852"/>
                  </a:cxn>
                  <a:cxn ang="0">
                    <a:pos x="9038" y="9710"/>
                  </a:cxn>
                  <a:cxn ang="0">
                    <a:pos x="9038" y="6614"/>
                  </a:cxn>
                  <a:cxn ang="0">
                    <a:pos x="9038" y="3472"/>
                  </a:cxn>
                  <a:cxn ang="0">
                    <a:pos x="9074" y="1714"/>
                  </a:cxn>
                  <a:cxn ang="0">
                    <a:pos x="9254" y="1488"/>
                  </a:cxn>
                  <a:cxn ang="0">
                    <a:pos x="9542" y="1308"/>
                  </a:cxn>
                  <a:cxn ang="0">
                    <a:pos x="10010" y="1157"/>
                  </a:cxn>
                  <a:cxn ang="0">
                    <a:pos x="15088" y="782"/>
                  </a:cxn>
                </a:cxnLst>
                <a:rect l="0" t="0" r="r" b="b"/>
                <a:pathLst>
                  <a:path w="16384" h="16384">
                    <a:moveTo>
                      <a:pt x="15088" y="782"/>
                    </a:moveTo>
                    <a:lnTo>
                      <a:pt x="15484" y="752"/>
                    </a:lnTo>
                    <a:lnTo>
                      <a:pt x="15772" y="691"/>
                    </a:lnTo>
                    <a:lnTo>
                      <a:pt x="15988" y="646"/>
                    </a:lnTo>
                    <a:lnTo>
                      <a:pt x="16132" y="541"/>
                    </a:lnTo>
                    <a:lnTo>
                      <a:pt x="16240" y="451"/>
                    </a:lnTo>
                    <a:lnTo>
                      <a:pt x="16312" y="316"/>
                    </a:lnTo>
                    <a:lnTo>
                      <a:pt x="16312" y="165"/>
                    </a:lnTo>
                    <a:lnTo>
                      <a:pt x="16384" y="0"/>
                    </a:lnTo>
                    <a:lnTo>
                      <a:pt x="0" y="0"/>
                    </a:lnTo>
                    <a:lnTo>
                      <a:pt x="36" y="165"/>
                    </a:lnTo>
                    <a:lnTo>
                      <a:pt x="108" y="316"/>
                    </a:lnTo>
                    <a:lnTo>
                      <a:pt x="180" y="436"/>
                    </a:lnTo>
                    <a:lnTo>
                      <a:pt x="324" y="541"/>
                    </a:lnTo>
                    <a:lnTo>
                      <a:pt x="468" y="646"/>
                    </a:lnTo>
                    <a:lnTo>
                      <a:pt x="684" y="721"/>
                    </a:lnTo>
                    <a:lnTo>
                      <a:pt x="972" y="752"/>
                    </a:lnTo>
                    <a:lnTo>
                      <a:pt x="1296" y="782"/>
                    </a:lnTo>
                    <a:lnTo>
                      <a:pt x="1908" y="812"/>
                    </a:lnTo>
                    <a:lnTo>
                      <a:pt x="2485" y="857"/>
                    </a:lnTo>
                    <a:lnTo>
                      <a:pt x="3097" y="887"/>
                    </a:lnTo>
                    <a:lnTo>
                      <a:pt x="3709" y="932"/>
                    </a:lnTo>
                    <a:lnTo>
                      <a:pt x="4285" y="962"/>
                    </a:lnTo>
                    <a:lnTo>
                      <a:pt x="4897" y="1007"/>
                    </a:lnTo>
                    <a:lnTo>
                      <a:pt x="5473" y="1052"/>
                    </a:lnTo>
                    <a:lnTo>
                      <a:pt x="6085" y="1082"/>
                    </a:lnTo>
                    <a:lnTo>
                      <a:pt x="6410" y="1157"/>
                    </a:lnTo>
                    <a:lnTo>
                      <a:pt x="6698" y="1233"/>
                    </a:lnTo>
                    <a:lnTo>
                      <a:pt x="6914" y="1308"/>
                    </a:lnTo>
                    <a:lnTo>
                      <a:pt x="7166" y="1413"/>
                    </a:lnTo>
                    <a:lnTo>
                      <a:pt x="7274" y="1503"/>
                    </a:lnTo>
                    <a:lnTo>
                      <a:pt x="7382" y="1608"/>
                    </a:lnTo>
                    <a:lnTo>
                      <a:pt x="7490" y="1714"/>
                    </a:lnTo>
                    <a:lnTo>
                      <a:pt x="7490" y="1879"/>
                    </a:lnTo>
                    <a:lnTo>
                      <a:pt x="7490" y="3502"/>
                    </a:lnTo>
                    <a:lnTo>
                      <a:pt x="7490" y="5081"/>
                    </a:lnTo>
                    <a:lnTo>
                      <a:pt x="7490" y="6629"/>
                    </a:lnTo>
                    <a:lnTo>
                      <a:pt x="7490" y="8162"/>
                    </a:lnTo>
                    <a:lnTo>
                      <a:pt x="7490" y="9695"/>
                    </a:lnTo>
                    <a:lnTo>
                      <a:pt x="7490" y="11228"/>
                    </a:lnTo>
                    <a:lnTo>
                      <a:pt x="7490" y="12807"/>
                    </a:lnTo>
                    <a:lnTo>
                      <a:pt x="7490" y="14445"/>
                    </a:lnTo>
                    <a:lnTo>
                      <a:pt x="7490" y="14580"/>
                    </a:lnTo>
                    <a:lnTo>
                      <a:pt x="7490" y="14685"/>
                    </a:lnTo>
                    <a:lnTo>
                      <a:pt x="7418" y="14806"/>
                    </a:lnTo>
                    <a:lnTo>
                      <a:pt x="7382" y="14911"/>
                    </a:lnTo>
                    <a:lnTo>
                      <a:pt x="7238" y="14986"/>
                    </a:lnTo>
                    <a:lnTo>
                      <a:pt x="7022" y="15061"/>
                    </a:lnTo>
                    <a:lnTo>
                      <a:pt x="6734" y="15136"/>
                    </a:lnTo>
                    <a:lnTo>
                      <a:pt x="6374" y="15212"/>
                    </a:lnTo>
                    <a:lnTo>
                      <a:pt x="5725" y="15287"/>
                    </a:lnTo>
                    <a:lnTo>
                      <a:pt x="5077" y="15347"/>
                    </a:lnTo>
                    <a:lnTo>
                      <a:pt x="4393" y="15407"/>
                    </a:lnTo>
                    <a:lnTo>
                      <a:pt x="3709" y="15467"/>
                    </a:lnTo>
                    <a:lnTo>
                      <a:pt x="2989" y="15497"/>
                    </a:lnTo>
                    <a:lnTo>
                      <a:pt x="2305" y="15542"/>
                    </a:lnTo>
                    <a:lnTo>
                      <a:pt x="1584" y="15572"/>
                    </a:lnTo>
                    <a:lnTo>
                      <a:pt x="864" y="15617"/>
                    </a:lnTo>
                    <a:lnTo>
                      <a:pt x="612" y="15693"/>
                    </a:lnTo>
                    <a:lnTo>
                      <a:pt x="432" y="15768"/>
                    </a:lnTo>
                    <a:lnTo>
                      <a:pt x="252" y="15828"/>
                    </a:lnTo>
                    <a:lnTo>
                      <a:pt x="144" y="15918"/>
                    </a:lnTo>
                    <a:lnTo>
                      <a:pt x="108" y="16023"/>
                    </a:lnTo>
                    <a:lnTo>
                      <a:pt x="36" y="16113"/>
                    </a:lnTo>
                    <a:lnTo>
                      <a:pt x="0" y="16234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12" y="16234"/>
                    </a:lnTo>
                    <a:lnTo>
                      <a:pt x="16276" y="16098"/>
                    </a:lnTo>
                    <a:lnTo>
                      <a:pt x="16276" y="15978"/>
                    </a:lnTo>
                    <a:lnTo>
                      <a:pt x="16168" y="15888"/>
                    </a:lnTo>
                    <a:lnTo>
                      <a:pt x="16096" y="15813"/>
                    </a:lnTo>
                    <a:lnTo>
                      <a:pt x="15952" y="15753"/>
                    </a:lnTo>
                    <a:lnTo>
                      <a:pt x="15772" y="15693"/>
                    </a:lnTo>
                    <a:lnTo>
                      <a:pt x="15484" y="15617"/>
                    </a:lnTo>
                    <a:lnTo>
                      <a:pt x="14692" y="15572"/>
                    </a:lnTo>
                    <a:lnTo>
                      <a:pt x="14007" y="15542"/>
                    </a:lnTo>
                    <a:lnTo>
                      <a:pt x="13359" y="15497"/>
                    </a:lnTo>
                    <a:lnTo>
                      <a:pt x="12783" y="15467"/>
                    </a:lnTo>
                    <a:lnTo>
                      <a:pt x="12171" y="15407"/>
                    </a:lnTo>
                    <a:lnTo>
                      <a:pt x="11559" y="15362"/>
                    </a:lnTo>
                    <a:lnTo>
                      <a:pt x="10983" y="15287"/>
                    </a:lnTo>
                    <a:lnTo>
                      <a:pt x="10335" y="15212"/>
                    </a:lnTo>
                    <a:lnTo>
                      <a:pt x="9974" y="15136"/>
                    </a:lnTo>
                    <a:lnTo>
                      <a:pt x="9650" y="15076"/>
                    </a:lnTo>
                    <a:lnTo>
                      <a:pt x="9470" y="14986"/>
                    </a:lnTo>
                    <a:lnTo>
                      <a:pt x="9326" y="14911"/>
                    </a:lnTo>
                    <a:lnTo>
                      <a:pt x="9182" y="14806"/>
                    </a:lnTo>
                    <a:lnTo>
                      <a:pt x="9146" y="14685"/>
                    </a:lnTo>
                    <a:lnTo>
                      <a:pt x="9074" y="14580"/>
                    </a:lnTo>
                    <a:lnTo>
                      <a:pt x="9038" y="14445"/>
                    </a:lnTo>
                    <a:lnTo>
                      <a:pt x="9038" y="12852"/>
                    </a:lnTo>
                    <a:lnTo>
                      <a:pt x="9038" y="11273"/>
                    </a:lnTo>
                    <a:lnTo>
                      <a:pt x="9038" y="9710"/>
                    </a:lnTo>
                    <a:lnTo>
                      <a:pt x="9038" y="8162"/>
                    </a:lnTo>
                    <a:lnTo>
                      <a:pt x="9038" y="6614"/>
                    </a:lnTo>
                    <a:lnTo>
                      <a:pt x="9038" y="5050"/>
                    </a:lnTo>
                    <a:lnTo>
                      <a:pt x="9038" y="3472"/>
                    </a:lnTo>
                    <a:lnTo>
                      <a:pt x="9038" y="1879"/>
                    </a:lnTo>
                    <a:lnTo>
                      <a:pt x="9074" y="1714"/>
                    </a:lnTo>
                    <a:lnTo>
                      <a:pt x="9182" y="1608"/>
                    </a:lnTo>
                    <a:lnTo>
                      <a:pt x="9254" y="1488"/>
                    </a:lnTo>
                    <a:lnTo>
                      <a:pt x="9398" y="1398"/>
                    </a:lnTo>
                    <a:lnTo>
                      <a:pt x="9542" y="1308"/>
                    </a:lnTo>
                    <a:lnTo>
                      <a:pt x="9758" y="1233"/>
                    </a:lnTo>
                    <a:lnTo>
                      <a:pt x="10010" y="1157"/>
                    </a:lnTo>
                    <a:lnTo>
                      <a:pt x="10335" y="1082"/>
                    </a:lnTo>
                    <a:lnTo>
                      <a:pt x="15088" y="782"/>
                    </a:lnTo>
                    <a:close/>
                  </a:path>
                </a:pathLst>
              </a:custGeom>
              <a:solidFill>
                <a:srgbClr val="CCCCFF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71" name="Объект 1680">
                <a:extLst>
                  <a:ext uri="{FF2B5EF4-FFF2-40B4-BE49-F238E27FC236}">
                    <a16:creationId xmlns:a16="http://schemas.microsoft.com/office/drawing/2014/main" id="{00000000-0008-0000-1300-00000B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480000"/>
                <a:ext cx="1560000" cy="2940000"/>
              </a:xfrm>
              <a:custGeom>
                <a:avLst/>
                <a:gdLst/>
                <a:ahLst/>
                <a:cxnLst>
                  <a:cxn ang="0">
                    <a:pos x="15484" y="752"/>
                  </a:cxn>
                  <a:cxn ang="0">
                    <a:pos x="15988" y="646"/>
                  </a:cxn>
                  <a:cxn ang="0">
                    <a:pos x="16240" y="451"/>
                  </a:cxn>
                  <a:cxn ang="0">
                    <a:pos x="16312" y="165"/>
                  </a:cxn>
                  <a:cxn ang="0">
                    <a:pos x="0" y="0"/>
                  </a:cxn>
                  <a:cxn ang="0">
                    <a:pos x="108" y="316"/>
                  </a:cxn>
                  <a:cxn ang="0">
                    <a:pos x="324" y="541"/>
                  </a:cxn>
                  <a:cxn ang="0">
                    <a:pos x="684" y="721"/>
                  </a:cxn>
                  <a:cxn ang="0">
                    <a:pos x="1296" y="782"/>
                  </a:cxn>
                  <a:cxn ang="0">
                    <a:pos x="2485" y="857"/>
                  </a:cxn>
                  <a:cxn ang="0">
                    <a:pos x="3709" y="932"/>
                  </a:cxn>
                  <a:cxn ang="0">
                    <a:pos x="4897" y="1007"/>
                  </a:cxn>
                  <a:cxn ang="0">
                    <a:pos x="6085" y="1082"/>
                  </a:cxn>
                  <a:cxn ang="0">
                    <a:pos x="6698" y="1233"/>
                  </a:cxn>
                  <a:cxn ang="0">
                    <a:pos x="7166" y="1413"/>
                  </a:cxn>
                  <a:cxn ang="0">
                    <a:pos x="7382" y="1608"/>
                  </a:cxn>
                  <a:cxn ang="0">
                    <a:pos x="7490" y="1879"/>
                  </a:cxn>
                  <a:cxn ang="0">
                    <a:pos x="7490" y="5081"/>
                  </a:cxn>
                  <a:cxn ang="0">
                    <a:pos x="7490" y="8162"/>
                  </a:cxn>
                  <a:cxn ang="0">
                    <a:pos x="7490" y="11228"/>
                  </a:cxn>
                  <a:cxn ang="0">
                    <a:pos x="7490" y="14445"/>
                  </a:cxn>
                  <a:cxn ang="0">
                    <a:pos x="7490" y="14685"/>
                  </a:cxn>
                  <a:cxn ang="0">
                    <a:pos x="7382" y="14911"/>
                  </a:cxn>
                  <a:cxn ang="0">
                    <a:pos x="7022" y="15061"/>
                  </a:cxn>
                  <a:cxn ang="0">
                    <a:pos x="6374" y="15212"/>
                  </a:cxn>
                  <a:cxn ang="0">
                    <a:pos x="5077" y="15347"/>
                  </a:cxn>
                  <a:cxn ang="0">
                    <a:pos x="3709" y="15467"/>
                  </a:cxn>
                  <a:cxn ang="0">
                    <a:pos x="2305" y="15542"/>
                  </a:cxn>
                  <a:cxn ang="0">
                    <a:pos x="864" y="15617"/>
                  </a:cxn>
                  <a:cxn ang="0">
                    <a:pos x="432" y="15768"/>
                  </a:cxn>
                  <a:cxn ang="0">
                    <a:pos x="144" y="15918"/>
                  </a:cxn>
                  <a:cxn ang="0">
                    <a:pos x="36" y="16113"/>
                  </a:cxn>
                  <a:cxn ang="0">
                    <a:pos x="0" y="16384"/>
                  </a:cxn>
                  <a:cxn ang="0">
                    <a:pos x="16312" y="16234"/>
                  </a:cxn>
                  <a:cxn ang="0">
                    <a:pos x="16276" y="15978"/>
                  </a:cxn>
                  <a:cxn ang="0">
                    <a:pos x="16096" y="15813"/>
                  </a:cxn>
                  <a:cxn ang="0">
                    <a:pos x="15772" y="15693"/>
                  </a:cxn>
                  <a:cxn ang="0">
                    <a:pos x="14692" y="15572"/>
                  </a:cxn>
                  <a:cxn ang="0">
                    <a:pos x="13359" y="15497"/>
                  </a:cxn>
                  <a:cxn ang="0">
                    <a:pos x="12171" y="15407"/>
                  </a:cxn>
                  <a:cxn ang="0">
                    <a:pos x="10983" y="15287"/>
                  </a:cxn>
                  <a:cxn ang="0">
                    <a:pos x="9974" y="15136"/>
                  </a:cxn>
                  <a:cxn ang="0">
                    <a:pos x="9470" y="14986"/>
                  </a:cxn>
                  <a:cxn ang="0">
                    <a:pos x="9182" y="14806"/>
                  </a:cxn>
                  <a:cxn ang="0">
                    <a:pos x="9074" y="14580"/>
                  </a:cxn>
                  <a:cxn ang="0">
                    <a:pos x="9038" y="12852"/>
                  </a:cxn>
                  <a:cxn ang="0">
                    <a:pos x="9038" y="9710"/>
                  </a:cxn>
                  <a:cxn ang="0">
                    <a:pos x="9038" y="6614"/>
                  </a:cxn>
                  <a:cxn ang="0">
                    <a:pos x="9038" y="3472"/>
                  </a:cxn>
                  <a:cxn ang="0">
                    <a:pos x="9074" y="1714"/>
                  </a:cxn>
                  <a:cxn ang="0">
                    <a:pos x="9254" y="1488"/>
                  </a:cxn>
                  <a:cxn ang="0">
                    <a:pos x="9542" y="1308"/>
                  </a:cxn>
                  <a:cxn ang="0">
                    <a:pos x="10010" y="1157"/>
                  </a:cxn>
                  <a:cxn ang="0">
                    <a:pos x="15088" y="782"/>
                  </a:cxn>
                </a:cxnLst>
                <a:rect l="0" t="0" r="r" b="b"/>
                <a:pathLst>
                  <a:path w="16384" h="16384">
                    <a:moveTo>
                      <a:pt x="15088" y="782"/>
                    </a:moveTo>
                    <a:lnTo>
                      <a:pt x="15484" y="752"/>
                    </a:lnTo>
                    <a:lnTo>
                      <a:pt x="15772" y="691"/>
                    </a:lnTo>
                    <a:lnTo>
                      <a:pt x="15988" y="646"/>
                    </a:lnTo>
                    <a:lnTo>
                      <a:pt x="16132" y="541"/>
                    </a:lnTo>
                    <a:lnTo>
                      <a:pt x="16240" y="451"/>
                    </a:lnTo>
                    <a:lnTo>
                      <a:pt x="16312" y="316"/>
                    </a:lnTo>
                    <a:lnTo>
                      <a:pt x="16312" y="165"/>
                    </a:lnTo>
                    <a:lnTo>
                      <a:pt x="16384" y="0"/>
                    </a:lnTo>
                    <a:lnTo>
                      <a:pt x="0" y="0"/>
                    </a:lnTo>
                    <a:lnTo>
                      <a:pt x="36" y="165"/>
                    </a:lnTo>
                    <a:lnTo>
                      <a:pt x="108" y="316"/>
                    </a:lnTo>
                    <a:lnTo>
                      <a:pt x="180" y="436"/>
                    </a:lnTo>
                    <a:lnTo>
                      <a:pt x="324" y="541"/>
                    </a:lnTo>
                    <a:lnTo>
                      <a:pt x="468" y="646"/>
                    </a:lnTo>
                    <a:lnTo>
                      <a:pt x="684" y="721"/>
                    </a:lnTo>
                    <a:lnTo>
                      <a:pt x="972" y="752"/>
                    </a:lnTo>
                    <a:lnTo>
                      <a:pt x="1296" y="782"/>
                    </a:lnTo>
                    <a:lnTo>
                      <a:pt x="1908" y="812"/>
                    </a:lnTo>
                    <a:lnTo>
                      <a:pt x="2485" y="857"/>
                    </a:lnTo>
                    <a:lnTo>
                      <a:pt x="3097" y="887"/>
                    </a:lnTo>
                    <a:lnTo>
                      <a:pt x="3709" y="932"/>
                    </a:lnTo>
                    <a:lnTo>
                      <a:pt x="4285" y="962"/>
                    </a:lnTo>
                    <a:lnTo>
                      <a:pt x="4897" y="1007"/>
                    </a:lnTo>
                    <a:lnTo>
                      <a:pt x="5473" y="1052"/>
                    </a:lnTo>
                    <a:lnTo>
                      <a:pt x="6085" y="1082"/>
                    </a:lnTo>
                    <a:lnTo>
                      <a:pt x="6410" y="1157"/>
                    </a:lnTo>
                    <a:lnTo>
                      <a:pt x="6698" y="1233"/>
                    </a:lnTo>
                    <a:lnTo>
                      <a:pt x="6914" y="1308"/>
                    </a:lnTo>
                    <a:lnTo>
                      <a:pt x="7166" y="1413"/>
                    </a:lnTo>
                    <a:lnTo>
                      <a:pt x="7274" y="1503"/>
                    </a:lnTo>
                    <a:lnTo>
                      <a:pt x="7382" y="1608"/>
                    </a:lnTo>
                    <a:lnTo>
                      <a:pt x="7490" y="1714"/>
                    </a:lnTo>
                    <a:lnTo>
                      <a:pt x="7490" y="1879"/>
                    </a:lnTo>
                    <a:lnTo>
                      <a:pt x="7490" y="3502"/>
                    </a:lnTo>
                    <a:lnTo>
                      <a:pt x="7490" y="5081"/>
                    </a:lnTo>
                    <a:lnTo>
                      <a:pt x="7490" y="6629"/>
                    </a:lnTo>
                    <a:lnTo>
                      <a:pt x="7490" y="8162"/>
                    </a:lnTo>
                    <a:lnTo>
                      <a:pt x="7490" y="9695"/>
                    </a:lnTo>
                    <a:lnTo>
                      <a:pt x="7490" y="11228"/>
                    </a:lnTo>
                    <a:lnTo>
                      <a:pt x="7490" y="12807"/>
                    </a:lnTo>
                    <a:lnTo>
                      <a:pt x="7490" y="14445"/>
                    </a:lnTo>
                    <a:lnTo>
                      <a:pt x="7490" y="14580"/>
                    </a:lnTo>
                    <a:lnTo>
                      <a:pt x="7490" y="14685"/>
                    </a:lnTo>
                    <a:lnTo>
                      <a:pt x="7418" y="14806"/>
                    </a:lnTo>
                    <a:lnTo>
                      <a:pt x="7382" y="14911"/>
                    </a:lnTo>
                    <a:lnTo>
                      <a:pt x="7238" y="14986"/>
                    </a:lnTo>
                    <a:lnTo>
                      <a:pt x="7022" y="15061"/>
                    </a:lnTo>
                    <a:lnTo>
                      <a:pt x="6734" y="15136"/>
                    </a:lnTo>
                    <a:lnTo>
                      <a:pt x="6374" y="15212"/>
                    </a:lnTo>
                    <a:lnTo>
                      <a:pt x="5725" y="15287"/>
                    </a:lnTo>
                    <a:lnTo>
                      <a:pt x="5077" y="15347"/>
                    </a:lnTo>
                    <a:lnTo>
                      <a:pt x="4393" y="15407"/>
                    </a:lnTo>
                    <a:lnTo>
                      <a:pt x="3709" y="15467"/>
                    </a:lnTo>
                    <a:lnTo>
                      <a:pt x="2989" y="15497"/>
                    </a:lnTo>
                    <a:lnTo>
                      <a:pt x="2305" y="15542"/>
                    </a:lnTo>
                    <a:lnTo>
                      <a:pt x="1584" y="15572"/>
                    </a:lnTo>
                    <a:lnTo>
                      <a:pt x="864" y="15617"/>
                    </a:lnTo>
                    <a:lnTo>
                      <a:pt x="612" y="15693"/>
                    </a:lnTo>
                    <a:lnTo>
                      <a:pt x="432" y="15768"/>
                    </a:lnTo>
                    <a:lnTo>
                      <a:pt x="252" y="15828"/>
                    </a:lnTo>
                    <a:lnTo>
                      <a:pt x="144" y="15918"/>
                    </a:lnTo>
                    <a:lnTo>
                      <a:pt x="108" y="16023"/>
                    </a:lnTo>
                    <a:lnTo>
                      <a:pt x="36" y="16113"/>
                    </a:lnTo>
                    <a:lnTo>
                      <a:pt x="0" y="16234"/>
                    </a:ln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12" y="16234"/>
                    </a:lnTo>
                    <a:lnTo>
                      <a:pt x="16276" y="16098"/>
                    </a:lnTo>
                    <a:lnTo>
                      <a:pt x="16276" y="15978"/>
                    </a:lnTo>
                    <a:lnTo>
                      <a:pt x="16168" y="15888"/>
                    </a:lnTo>
                    <a:lnTo>
                      <a:pt x="16096" y="15813"/>
                    </a:lnTo>
                    <a:lnTo>
                      <a:pt x="15952" y="15753"/>
                    </a:lnTo>
                    <a:lnTo>
                      <a:pt x="15772" y="15693"/>
                    </a:lnTo>
                    <a:lnTo>
                      <a:pt x="15484" y="15617"/>
                    </a:lnTo>
                    <a:lnTo>
                      <a:pt x="14692" y="15572"/>
                    </a:lnTo>
                    <a:lnTo>
                      <a:pt x="14007" y="15542"/>
                    </a:lnTo>
                    <a:lnTo>
                      <a:pt x="13359" y="15497"/>
                    </a:lnTo>
                    <a:lnTo>
                      <a:pt x="12783" y="15467"/>
                    </a:lnTo>
                    <a:lnTo>
                      <a:pt x="12171" y="15407"/>
                    </a:lnTo>
                    <a:lnTo>
                      <a:pt x="11559" y="15362"/>
                    </a:lnTo>
                    <a:lnTo>
                      <a:pt x="10983" y="15287"/>
                    </a:lnTo>
                    <a:lnTo>
                      <a:pt x="10335" y="15212"/>
                    </a:lnTo>
                    <a:lnTo>
                      <a:pt x="9974" y="15136"/>
                    </a:lnTo>
                    <a:lnTo>
                      <a:pt x="9650" y="15076"/>
                    </a:lnTo>
                    <a:lnTo>
                      <a:pt x="9470" y="14986"/>
                    </a:lnTo>
                    <a:lnTo>
                      <a:pt x="9326" y="14911"/>
                    </a:lnTo>
                    <a:lnTo>
                      <a:pt x="9182" y="14806"/>
                    </a:lnTo>
                    <a:lnTo>
                      <a:pt x="9146" y="14685"/>
                    </a:lnTo>
                    <a:lnTo>
                      <a:pt x="9074" y="14580"/>
                    </a:lnTo>
                    <a:lnTo>
                      <a:pt x="9038" y="14445"/>
                    </a:lnTo>
                    <a:lnTo>
                      <a:pt x="9038" y="12852"/>
                    </a:lnTo>
                    <a:lnTo>
                      <a:pt x="9038" y="11273"/>
                    </a:lnTo>
                    <a:lnTo>
                      <a:pt x="9038" y="9710"/>
                    </a:lnTo>
                    <a:lnTo>
                      <a:pt x="9038" y="8162"/>
                    </a:lnTo>
                    <a:lnTo>
                      <a:pt x="9038" y="6614"/>
                    </a:lnTo>
                    <a:lnTo>
                      <a:pt x="9038" y="5050"/>
                    </a:lnTo>
                    <a:lnTo>
                      <a:pt x="9038" y="3472"/>
                    </a:lnTo>
                    <a:lnTo>
                      <a:pt x="9038" y="1879"/>
                    </a:lnTo>
                    <a:lnTo>
                      <a:pt x="9074" y="1714"/>
                    </a:lnTo>
                    <a:lnTo>
                      <a:pt x="9182" y="1608"/>
                    </a:lnTo>
                    <a:lnTo>
                      <a:pt x="9254" y="1488"/>
                    </a:lnTo>
                    <a:lnTo>
                      <a:pt x="9398" y="1398"/>
                    </a:lnTo>
                    <a:lnTo>
                      <a:pt x="9542" y="1308"/>
                    </a:lnTo>
                    <a:lnTo>
                      <a:pt x="9758" y="1233"/>
                    </a:lnTo>
                    <a:lnTo>
                      <a:pt x="10010" y="1157"/>
                    </a:lnTo>
                    <a:lnTo>
                      <a:pt x="10335" y="1082"/>
                    </a:lnTo>
                    <a:lnTo>
                      <a:pt x="15088" y="782"/>
                    </a:lnTo>
                  </a:path>
                </a:pathLst>
              </a:custGeom>
              <a:noFill/>
              <a:ln w="1" cap="flat">
                <a:solidFill>
                  <a:srgbClr val="3333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72" name="Текст 1681">
                <a:extLst>
                  <a:ext uri="{FF2B5EF4-FFF2-40B4-BE49-F238E27FC236}">
                    <a16:creationId xmlns:a16="http://schemas.microsoft.com/office/drawing/2014/main" id="{00000000-0008-0000-1300-00000C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80000" y="520000"/>
                <a:ext cx="240000" cy="4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15373" name="Объект 1683">
                <a:extLst>
                  <a:ext uri="{FF2B5EF4-FFF2-40B4-BE49-F238E27FC236}">
                    <a16:creationId xmlns:a16="http://schemas.microsoft.com/office/drawing/2014/main" id="{00000000-0008-0000-1300-00000D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0000" y="520000"/>
                <a:ext cx="0" cy="284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99"/>
                  </a:cxn>
                  <a:cxn ang="0">
                    <a:pos x="0" y="9449"/>
                  </a:cxn>
                  <a:cxn ang="0">
                    <a:pos x="0" y="12381"/>
                  </a:cxn>
                  <a:cxn ang="0">
                    <a:pos x="0" y="14320"/>
                  </a:cxn>
                  <a:cxn ang="0">
                    <a:pos x="0" y="15515"/>
                  </a:cxn>
                  <a:cxn ang="0">
                    <a:pos x="0" y="16136"/>
                  </a:cxn>
                  <a:cxn ang="0">
                    <a:pos x="0" y="16353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99"/>
                    </a:lnTo>
                    <a:lnTo>
                      <a:pt x="0" y="9449"/>
                    </a:lnTo>
                    <a:lnTo>
                      <a:pt x="0" y="12381"/>
                    </a:lnTo>
                    <a:lnTo>
                      <a:pt x="0" y="14320"/>
                    </a:lnTo>
                    <a:lnTo>
                      <a:pt x="0" y="15515"/>
                    </a:lnTo>
                    <a:lnTo>
                      <a:pt x="0" y="16136"/>
                    </a:lnTo>
                    <a:lnTo>
                      <a:pt x="0" y="16353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74" name="Объект 1684">
                <a:extLst>
                  <a:ext uri="{FF2B5EF4-FFF2-40B4-BE49-F238E27FC236}">
                    <a16:creationId xmlns:a16="http://schemas.microsoft.com/office/drawing/2014/main" id="{00000000-0008-0000-1300-00000E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0000" y="48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8192" y="0"/>
                  </a:cxn>
                  <a:cxn ang="0">
                    <a:pos x="16384" y="16384"/>
                  </a:cxn>
                  <a:cxn ang="0">
                    <a:pos x="15872" y="16384"/>
                  </a:cxn>
                  <a:cxn ang="0">
                    <a:pos x="15360" y="16384"/>
                  </a:cxn>
                  <a:cxn ang="0">
                    <a:pos x="14848" y="15498"/>
                  </a:cxn>
                  <a:cxn ang="0">
                    <a:pos x="13824" y="15498"/>
                  </a:cxn>
                  <a:cxn ang="0">
                    <a:pos x="13312" y="15056"/>
                  </a:cxn>
                  <a:cxn ang="0">
                    <a:pos x="12800" y="15056"/>
                  </a:cxn>
                  <a:cxn ang="0">
                    <a:pos x="11776" y="15056"/>
                  </a:cxn>
                  <a:cxn ang="0">
                    <a:pos x="11264" y="15056"/>
                  </a:cxn>
                  <a:cxn ang="0">
                    <a:pos x="10752" y="14613"/>
                  </a:cxn>
                  <a:cxn ang="0">
                    <a:pos x="10240" y="14613"/>
                  </a:cxn>
                  <a:cxn ang="0">
                    <a:pos x="9216" y="14613"/>
                  </a:cxn>
                  <a:cxn ang="0">
                    <a:pos x="8704" y="14613"/>
                  </a:cxn>
                  <a:cxn ang="0">
                    <a:pos x="8192" y="14613"/>
                  </a:cxn>
                  <a:cxn ang="0">
                    <a:pos x="7680" y="14613"/>
                  </a:cxn>
                  <a:cxn ang="0">
                    <a:pos x="6656" y="14613"/>
                  </a:cxn>
                  <a:cxn ang="0">
                    <a:pos x="6144" y="14613"/>
                  </a:cxn>
                  <a:cxn ang="0">
                    <a:pos x="5632" y="14613"/>
                  </a:cxn>
                  <a:cxn ang="0">
                    <a:pos x="4608" y="15056"/>
                  </a:cxn>
                  <a:cxn ang="0">
                    <a:pos x="4096" y="15056"/>
                  </a:cxn>
                  <a:cxn ang="0">
                    <a:pos x="3584" y="15056"/>
                  </a:cxn>
                  <a:cxn ang="0">
                    <a:pos x="3072" y="15056"/>
                  </a:cxn>
                  <a:cxn ang="0">
                    <a:pos x="2048" y="15498"/>
                  </a:cxn>
                  <a:cxn ang="0">
                    <a:pos x="1536" y="15498"/>
                  </a:cxn>
                  <a:cxn ang="0">
                    <a:pos x="1024" y="16384"/>
                  </a:cxn>
                  <a:cxn ang="0">
                    <a:pos x="0" y="16384"/>
                  </a:cxn>
                  <a:cxn ang="0">
                    <a:pos x="8192" y="0"/>
                  </a:cxn>
                </a:cxnLst>
                <a:rect l="0" t="0" r="r" b="b"/>
                <a:pathLst>
                  <a:path w="16384" h="16384">
                    <a:moveTo>
                      <a:pt x="8192" y="0"/>
                    </a:moveTo>
                    <a:lnTo>
                      <a:pt x="16384" y="16384"/>
                    </a:lnTo>
                    <a:lnTo>
                      <a:pt x="15872" y="16384"/>
                    </a:lnTo>
                    <a:lnTo>
                      <a:pt x="15360" y="16384"/>
                    </a:lnTo>
                    <a:lnTo>
                      <a:pt x="14848" y="15498"/>
                    </a:lnTo>
                    <a:lnTo>
                      <a:pt x="13824" y="15498"/>
                    </a:lnTo>
                    <a:lnTo>
                      <a:pt x="13312" y="15056"/>
                    </a:lnTo>
                    <a:lnTo>
                      <a:pt x="12800" y="15056"/>
                    </a:lnTo>
                    <a:lnTo>
                      <a:pt x="11776" y="15056"/>
                    </a:lnTo>
                    <a:lnTo>
                      <a:pt x="11264" y="15056"/>
                    </a:lnTo>
                    <a:lnTo>
                      <a:pt x="10752" y="14613"/>
                    </a:lnTo>
                    <a:lnTo>
                      <a:pt x="10240" y="14613"/>
                    </a:lnTo>
                    <a:lnTo>
                      <a:pt x="9216" y="14613"/>
                    </a:lnTo>
                    <a:lnTo>
                      <a:pt x="8704" y="14613"/>
                    </a:lnTo>
                    <a:lnTo>
                      <a:pt x="8192" y="14613"/>
                    </a:lnTo>
                    <a:lnTo>
                      <a:pt x="7680" y="14613"/>
                    </a:lnTo>
                    <a:lnTo>
                      <a:pt x="6656" y="14613"/>
                    </a:lnTo>
                    <a:lnTo>
                      <a:pt x="6144" y="14613"/>
                    </a:lnTo>
                    <a:lnTo>
                      <a:pt x="5632" y="14613"/>
                    </a:lnTo>
                    <a:lnTo>
                      <a:pt x="4608" y="15056"/>
                    </a:lnTo>
                    <a:lnTo>
                      <a:pt x="4096" y="15056"/>
                    </a:lnTo>
                    <a:lnTo>
                      <a:pt x="3584" y="15056"/>
                    </a:lnTo>
                    <a:lnTo>
                      <a:pt x="3072" y="15056"/>
                    </a:lnTo>
                    <a:lnTo>
                      <a:pt x="2048" y="15498"/>
                    </a:lnTo>
                    <a:lnTo>
                      <a:pt x="1536" y="15498"/>
                    </a:lnTo>
                    <a:lnTo>
                      <a:pt x="1024" y="16384"/>
                    </a:lnTo>
                    <a:lnTo>
                      <a:pt x="0" y="16384"/>
                    </a:lnTo>
                    <a:lnTo>
                      <a:pt x="8192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75" name="Объект 1685">
                <a:extLst>
                  <a:ext uri="{FF2B5EF4-FFF2-40B4-BE49-F238E27FC236}">
                    <a16:creationId xmlns:a16="http://schemas.microsoft.com/office/drawing/2014/main" id="{00000000-0008-0000-1300-00000F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0000" y="332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8192" y="16384"/>
                  </a:cxn>
                  <a:cxn ang="0">
                    <a:pos x="16384" y="0"/>
                  </a:cxn>
                  <a:cxn ang="0">
                    <a:pos x="15872" y="0"/>
                  </a:cxn>
                  <a:cxn ang="0">
                    <a:pos x="15360" y="443"/>
                  </a:cxn>
                  <a:cxn ang="0">
                    <a:pos x="14848" y="443"/>
                  </a:cxn>
                  <a:cxn ang="0">
                    <a:pos x="13824" y="1328"/>
                  </a:cxn>
                  <a:cxn ang="0">
                    <a:pos x="13312" y="1328"/>
                  </a:cxn>
                  <a:cxn ang="0">
                    <a:pos x="12800" y="1328"/>
                  </a:cxn>
                  <a:cxn ang="0">
                    <a:pos x="11776" y="1328"/>
                  </a:cxn>
                  <a:cxn ang="0">
                    <a:pos x="11264" y="1771"/>
                  </a:cxn>
                  <a:cxn ang="0">
                    <a:pos x="10752" y="1771"/>
                  </a:cxn>
                  <a:cxn ang="0">
                    <a:pos x="10240" y="1771"/>
                  </a:cxn>
                  <a:cxn ang="0">
                    <a:pos x="9216" y="1771"/>
                  </a:cxn>
                  <a:cxn ang="0">
                    <a:pos x="8704" y="1771"/>
                  </a:cxn>
                  <a:cxn ang="0">
                    <a:pos x="8192" y="1771"/>
                  </a:cxn>
                  <a:cxn ang="0">
                    <a:pos x="7680" y="1771"/>
                  </a:cxn>
                  <a:cxn ang="0">
                    <a:pos x="6656" y="1771"/>
                  </a:cxn>
                  <a:cxn ang="0">
                    <a:pos x="6144" y="1771"/>
                  </a:cxn>
                  <a:cxn ang="0">
                    <a:pos x="5632" y="1771"/>
                  </a:cxn>
                  <a:cxn ang="0">
                    <a:pos x="4608" y="1771"/>
                  </a:cxn>
                  <a:cxn ang="0">
                    <a:pos x="4608" y="1328"/>
                  </a:cxn>
                  <a:cxn ang="0">
                    <a:pos x="4096" y="1328"/>
                  </a:cxn>
                  <a:cxn ang="0">
                    <a:pos x="3584" y="1328"/>
                  </a:cxn>
                  <a:cxn ang="0">
                    <a:pos x="3072" y="1328"/>
                  </a:cxn>
                  <a:cxn ang="0">
                    <a:pos x="2048" y="1328"/>
                  </a:cxn>
                  <a:cxn ang="0">
                    <a:pos x="2048" y="443"/>
                  </a:cxn>
                  <a:cxn ang="0">
                    <a:pos x="1536" y="443"/>
                  </a:cxn>
                  <a:cxn ang="0">
                    <a:pos x="1024" y="443"/>
                  </a:cxn>
                  <a:cxn ang="0">
                    <a:pos x="0" y="0"/>
                  </a:cxn>
                  <a:cxn ang="0">
                    <a:pos x="8192" y="16384"/>
                  </a:cxn>
                </a:cxnLst>
                <a:rect l="0" t="0" r="r" b="b"/>
                <a:pathLst>
                  <a:path w="16384" h="16384">
                    <a:moveTo>
                      <a:pt x="8192" y="16384"/>
                    </a:moveTo>
                    <a:lnTo>
                      <a:pt x="16384" y="0"/>
                    </a:lnTo>
                    <a:lnTo>
                      <a:pt x="15872" y="0"/>
                    </a:lnTo>
                    <a:lnTo>
                      <a:pt x="15360" y="443"/>
                    </a:lnTo>
                    <a:lnTo>
                      <a:pt x="14848" y="443"/>
                    </a:lnTo>
                    <a:lnTo>
                      <a:pt x="13824" y="1328"/>
                    </a:lnTo>
                    <a:lnTo>
                      <a:pt x="13312" y="1328"/>
                    </a:lnTo>
                    <a:lnTo>
                      <a:pt x="12800" y="1328"/>
                    </a:lnTo>
                    <a:lnTo>
                      <a:pt x="11776" y="1328"/>
                    </a:lnTo>
                    <a:lnTo>
                      <a:pt x="11264" y="1771"/>
                    </a:lnTo>
                    <a:lnTo>
                      <a:pt x="10752" y="1771"/>
                    </a:lnTo>
                    <a:lnTo>
                      <a:pt x="10240" y="1771"/>
                    </a:lnTo>
                    <a:lnTo>
                      <a:pt x="9216" y="1771"/>
                    </a:lnTo>
                    <a:lnTo>
                      <a:pt x="8704" y="1771"/>
                    </a:lnTo>
                    <a:lnTo>
                      <a:pt x="8192" y="1771"/>
                    </a:lnTo>
                    <a:lnTo>
                      <a:pt x="7680" y="1771"/>
                    </a:lnTo>
                    <a:lnTo>
                      <a:pt x="6656" y="1771"/>
                    </a:lnTo>
                    <a:lnTo>
                      <a:pt x="6144" y="1771"/>
                    </a:lnTo>
                    <a:lnTo>
                      <a:pt x="5632" y="1771"/>
                    </a:lnTo>
                    <a:lnTo>
                      <a:pt x="4608" y="1771"/>
                    </a:lnTo>
                    <a:lnTo>
                      <a:pt x="4608" y="1328"/>
                    </a:lnTo>
                    <a:lnTo>
                      <a:pt x="4096" y="1328"/>
                    </a:lnTo>
                    <a:lnTo>
                      <a:pt x="3584" y="1328"/>
                    </a:lnTo>
                    <a:lnTo>
                      <a:pt x="3072" y="1328"/>
                    </a:lnTo>
                    <a:lnTo>
                      <a:pt x="2048" y="1328"/>
                    </a:lnTo>
                    <a:lnTo>
                      <a:pt x="2048" y="443"/>
                    </a:lnTo>
                    <a:lnTo>
                      <a:pt x="1536" y="443"/>
                    </a:lnTo>
                    <a:lnTo>
                      <a:pt x="1024" y="443"/>
                    </a:lnTo>
                    <a:lnTo>
                      <a:pt x="0" y="0"/>
                    </a:lnTo>
                    <a:lnTo>
                      <a:pt x="8192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76" name="Текст 1687">
                <a:extLst>
                  <a:ext uri="{FF2B5EF4-FFF2-40B4-BE49-F238E27FC236}">
                    <a16:creationId xmlns:a16="http://schemas.microsoft.com/office/drawing/2014/main" id="{00000000-0008-0000-1300-000010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0000" y="172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" textlink="">
            <xdr:nvSpPr>
              <xdr:cNvPr id="15377" name="Текст 1870">
                <a:extLst>
                  <a:ext uri="{FF2B5EF4-FFF2-40B4-BE49-F238E27FC236}">
                    <a16:creationId xmlns:a16="http://schemas.microsoft.com/office/drawing/2014/main" id="{00000000-0008-0000-1300-000011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00000" y="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5378" name="Текст 1871">
                <a:extLst>
                  <a:ext uri="{FF2B5EF4-FFF2-40B4-BE49-F238E27FC236}">
                    <a16:creationId xmlns:a16="http://schemas.microsoft.com/office/drawing/2014/main" id="{00000000-0008-0000-1300-000012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60000" y="3380000"/>
                <a:ext cx="38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y</a:t>
                </a:r>
              </a:p>
            </xdr:txBody>
          </xdr:sp>
          <xdr:sp macro="" textlink="">
            <xdr:nvSpPr>
              <xdr:cNvPr id="15379" name="Текст 1872">
                <a:extLst>
                  <a:ext uri="{FF2B5EF4-FFF2-40B4-BE49-F238E27FC236}">
                    <a16:creationId xmlns:a16="http://schemas.microsoft.com/office/drawing/2014/main" id="{00000000-0008-0000-1300-000013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40000" y="3800000"/>
                <a:ext cx="420000" cy="62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32004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6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" textlink="">
            <xdr:nvSpPr>
              <xdr:cNvPr id="15380" name="Объект 1873">
                <a:extLst>
                  <a:ext uri="{FF2B5EF4-FFF2-40B4-BE49-F238E27FC236}">
                    <a16:creationId xmlns:a16="http://schemas.microsoft.com/office/drawing/2014/main" id="{00000000-0008-0000-1300-000014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20000" y="3480000"/>
                <a:ext cx="0" cy="5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536"/>
                  </a:cxn>
                  <a:cxn ang="0">
                    <a:pos x="0" y="12396"/>
                  </a:cxn>
                  <a:cxn ang="0">
                    <a:pos x="0" y="14390"/>
                  </a:cxn>
                  <a:cxn ang="0">
                    <a:pos x="0" y="15517"/>
                  </a:cxn>
                  <a:cxn ang="0">
                    <a:pos x="0" y="16211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536"/>
                    </a:lnTo>
                    <a:lnTo>
                      <a:pt x="0" y="12396"/>
                    </a:lnTo>
                    <a:lnTo>
                      <a:pt x="0" y="14390"/>
                    </a:lnTo>
                    <a:lnTo>
                      <a:pt x="0" y="15517"/>
                    </a:lnTo>
                    <a:lnTo>
                      <a:pt x="0" y="16211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81" name="Объект 1874">
                <a:extLst>
                  <a:ext uri="{FF2B5EF4-FFF2-40B4-BE49-F238E27FC236}">
                    <a16:creationId xmlns:a16="http://schemas.microsoft.com/office/drawing/2014/main" id="{00000000-0008-0000-1300-000015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0000" y="3860000"/>
                <a:ext cx="142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448" y="0"/>
                  </a:cxn>
                  <a:cxn ang="0">
                    <a:pos x="9544" y="0"/>
                  </a:cxn>
                  <a:cxn ang="0">
                    <a:pos x="12447" y="0"/>
                  </a:cxn>
                  <a:cxn ang="0">
                    <a:pos x="14356" y="0"/>
                  </a:cxn>
                  <a:cxn ang="0">
                    <a:pos x="15549" y="0"/>
                  </a:cxn>
                  <a:cxn ang="0">
                    <a:pos x="16145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448" y="0"/>
                    </a:lnTo>
                    <a:lnTo>
                      <a:pt x="9544" y="0"/>
                    </a:lnTo>
                    <a:lnTo>
                      <a:pt x="12447" y="0"/>
                    </a:lnTo>
                    <a:lnTo>
                      <a:pt x="14356" y="0"/>
                    </a:lnTo>
                    <a:lnTo>
                      <a:pt x="15549" y="0"/>
                    </a:lnTo>
                    <a:lnTo>
                      <a:pt x="16145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82" name="Объект 1875">
                <a:extLst>
                  <a:ext uri="{FF2B5EF4-FFF2-40B4-BE49-F238E27FC236}">
                    <a16:creationId xmlns:a16="http://schemas.microsoft.com/office/drawing/2014/main" id="{00000000-0008-0000-1300-000016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380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0" y="8704"/>
                  </a:cxn>
                  <a:cxn ang="0">
                    <a:pos x="16384" y="0"/>
                  </a:cxn>
                  <a:cxn ang="0">
                    <a:pos x="16384" y="512"/>
                  </a:cxn>
                  <a:cxn ang="0">
                    <a:pos x="15522" y="1536"/>
                  </a:cxn>
                  <a:cxn ang="0">
                    <a:pos x="15522" y="2048"/>
                  </a:cxn>
                  <a:cxn ang="0">
                    <a:pos x="15091" y="2560"/>
                  </a:cxn>
                  <a:cxn ang="0">
                    <a:pos x="15091" y="3584"/>
                  </a:cxn>
                  <a:cxn ang="0">
                    <a:pos x="15091" y="4096"/>
                  </a:cxn>
                  <a:cxn ang="0">
                    <a:pos x="15091" y="4608"/>
                  </a:cxn>
                  <a:cxn ang="0">
                    <a:pos x="14659" y="5120"/>
                  </a:cxn>
                  <a:cxn ang="0">
                    <a:pos x="14659" y="6144"/>
                  </a:cxn>
                  <a:cxn ang="0">
                    <a:pos x="14659" y="6656"/>
                  </a:cxn>
                  <a:cxn ang="0">
                    <a:pos x="14659" y="7168"/>
                  </a:cxn>
                  <a:cxn ang="0">
                    <a:pos x="14659" y="8192"/>
                  </a:cxn>
                  <a:cxn ang="0">
                    <a:pos x="14659" y="8704"/>
                  </a:cxn>
                  <a:cxn ang="0">
                    <a:pos x="14659" y="9216"/>
                  </a:cxn>
                  <a:cxn ang="0">
                    <a:pos x="14659" y="9728"/>
                  </a:cxn>
                  <a:cxn ang="0">
                    <a:pos x="14659" y="10752"/>
                  </a:cxn>
                  <a:cxn ang="0">
                    <a:pos x="14659" y="11264"/>
                  </a:cxn>
                  <a:cxn ang="0">
                    <a:pos x="15091" y="11776"/>
                  </a:cxn>
                  <a:cxn ang="0">
                    <a:pos x="15091" y="12288"/>
                  </a:cxn>
                  <a:cxn ang="0">
                    <a:pos x="15091" y="13312"/>
                  </a:cxn>
                  <a:cxn ang="0">
                    <a:pos x="15091" y="13824"/>
                  </a:cxn>
                  <a:cxn ang="0">
                    <a:pos x="15522" y="14336"/>
                  </a:cxn>
                  <a:cxn ang="0">
                    <a:pos x="15522" y="15360"/>
                  </a:cxn>
                  <a:cxn ang="0">
                    <a:pos x="15522" y="15872"/>
                  </a:cxn>
                  <a:cxn ang="0">
                    <a:pos x="16384" y="16384"/>
                  </a:cxn>
                  <a:cxn ang="0">
                    <a:pos x="0" y="8704"/>
                  </a:cxn>
                </a:cxnLst>
                <a:rect l="0" t="0" r="r" b="b"/>
                <a:pathLst>
                  <a:path w="16384" h="16384">
                    <a:moveTo>
                      <a:pt x="0" y="8704"/>
                    </a:moveTo>
                    <a:lnTo>
                      <a:pt x="16384" y="0"/>
                    </a:lnTo>
                    <a:lnTo>
                      <a:pt x="16384" y="512"/>
                    </a:lnTo>
                    <a:lnTo>
                      <a:pt x="15522" y="1536"/>
                    </a:lnTo>
                    <a:lnTo>
                      <a:pt x="15522" y="2048"/>
                    </a:lnTo>
                    <a:lnTo>
                      <a:pt x="15091" y="2560"/>
                    </a:lnTo>
                    <a:lnTo>
                      <a:pt x="15091" y="3584"/>
                    </a:lnTo>
                    <a:lnTo>
                      <a:pt x="15091" y="4096"/>
                    </a:lnTo>
                    <a:lnTo>
                      <a:pt x="15091" y="4608"/>
                    </a:lnTo>
                    <a:lnTo>
                      <a:pt x="14659" y="5120"/>
                    </a:lnTo>
                    <a:lnTo>
                      <a:pt x="14659" y="6144"/>
                    </a:lnTo>
                    <a:lnTo>
                      <a:pt x="14659" y="6656"/>
                    </a:lnTo>
                    <a:lnTo>
                      <a:pt x="14659" y="7168"/>
                    </a:lnTo>
                    <a:lnTo>
                      <a:pt x="14659" y="8192"/>
                    </a:lnTo>
                    <a:lnTo>
                      <a:pt x="14659" y="8704"/>
                    </a:lnTo>
                    <a:lnTo>
                      <a:pt x="14659" y="9216"/>
                    </a:lnTo>
                    <a:lnTo>
                      <a:pt x="14659" y="9728"/>
                    </a:lnTo>
                    <a:lnTo>
                      <a:pt x="14659" y="10752"/>
                    </a:lnTo>
                    <a:lnTo>
                      <a:pt x="14659" y="11264"/>
                    </a:lnTo>
                    <a:lnTo>
                      <a:pt x="15091" y="11776"/>
                    </a:lnTo>
                    <a:lnTo>
                      <a:pt x="15091" y="12288"/>
                    </a:lnTo>
                    <a:lnTo>
                      <a:pt x="15091" y="13312"/>
                    </a:lnTo>
                    <a:lnTo>
                      <a:pt x="15091" y="13824"/>
                    </a:lnTo>
                    <a:lnTo>
                      <a:pt x="15522" y="14336"/>
                    </a:lnTo>
                    <a:lnTo>
                      <a:pt x="15522" y="15360"/>
                    </a:lnTo>
                    <a:lnTo>
                      <a:pt x="15522" y="15872"/>
                    </a:lnTo>
                    <a:lnTo>
                      <a:pt x="16384" y="16384"/>
                    </a:lnTo>
                    <a:lnTo>
                      <a:pt x="0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83" name="Объект 1876">
                <a:extLst>
                  <a:ext uri="{FF2B5EF4-FFF2-40B4-BE49-F238E27FC236}">
                    <a16:creationId xmlns:a16="http://schemas.microsoft.com/office/drawing/2014/main" id="{00000000-0008-0000-1300-000017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80000" y="380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16384" y="8704"/>
                  </a:cxn>
                  <a:cxn ang="0">
                    <a:pos x="0" y="0"/>
                  </a:cxn>
                  <a:cxn ang="0">
                    <a:pos x="0" y="512"/>
                  </a:cxn>
                  <a:cxn ang="0">
                    <a:pos x="0" y="1536"/>
                  </a:cxn>
                  <a:cxn ang="0">
                    <a:pos x="443" y="2048"/>
                  </a:cxn>
                  <a:cxn ang="0">
                    <a:pos x="443" y="2560"/>
                  </a:cxn>
                  <a:cxn ang="0">
                    <a:pos x="886" y="3584"/>
                  </a:cxn>
                  <a:cxn ang="0">
                    <a:pos x="886" y="4096"/>
                  </a:cxn>
                  <a:cxn ang="0">
                    <a:pos x="886" y="4608"/>
                  </a:cxn>
                  <a:cxn ang="0">
                    <a:pos x="886" y="5120"/>
                  </a:cxn>
                  <a:cxn ang="0">
                    <a:pos x="1328" y="6144"/>
                  </a:cxn>
                  <a:cxn ang="0">
                    <a:pos x="1328" y="6656"/>
                  </a:cxn>
                  <a:cxn ang="0">
                    <a:pos x="1328" y="7168"/>
                  </a:cxn>
                  <a:cxn ang="0">
                    <a:pos x="1328" y="8192"/>
                  </a:cxn>
                  <a:cxn ang="0">
                    <a:pos x="1328" y="8704"/>
                  </a:cxn>
                  <a:cxn ang="0">
                    <a:pos x="1328" y="9216"/>
                  </a:cxn>
                  <a:cxn ang="0">
                    <a:pos x="1328" y="9728"/>
                  </a:cxn>
                  <a:cxn ang="0">
                    <a:pos x="1328" y="10752"/>
                  </a:cxn>
                  <a:cxn ang="0">
                    <a:pos x="1328" y="11264"/>
                  </a:cxn>
                  <a:cxn ang="0">
                    <a:pos x="886" y="11264"/>
                  </a:cxn>
                  <a:cxn ang="0">
                    <a:pos x="886" y="11776"/>
                  </a:cxn>
                  <a:cxn ang="0">
                    <a:pos x="886" y="12288"/>
                  </a:cxn>
                  <a:cxn ang="0">
                    <a:pos x="886" y="13312"/>
                  </a:cxn>
                  <a:cxn ang="0">
                    <a:pos x="886" y="13824"/>
                  </a:cxn>
                  <a:cxn ang="0">
                    <a:pos x="443" y="13824"/>
                  </a:cxn>
                  <a:cxn ang="0">
                    <a:pos x="443" y="14336"/>
                  </a:cxn>
                  <a:cxn ang="0">
                    <a:pos x="443" y="15360"/>
                  </a:cxn>
                  <a:cxn ang="0">
                    <a:pos x="0" y="15872"/>
                  </a:cxn>
                  <a:cxn ang="0">
                    <a:pos x="0" y="16384"/>
                  </a:cxn>
                  <a:cxn ang="0">
                    <a:pos x="16384" y="8704"/>
                  </a:cxn>
                </a:cxnLst>
                <a:rect l="0" t="0" r="r" b="b"/>
                <a:pathLst>
                  <a:path w="16384" h="16384">
                    <a:moveTo>
                      <a:pt x="16384" y="8704"/>
                    </a:moveTo>
                    <a:lnTo>
                      <a:pt x="0" y="0"/>
                    </a:lnTo>
                    <a:lnTo>
                      <a:pt x="0" y="512"/>
                    </a:lnTo>
                    <a:lnTo>
                      <a:pt x="0" y="1536"/>
                    </a:lnTo>
                    <a:lnTo>
                      <a:pt x="443" y="2048"/>
                    </a:lnTo>
                    <a:lnTo>
                      <a:pt x="443" y="2560"/>
                    </a:lnTo>
                    <a:lnTo>
                      <a:pt x="886" y="3584"/>
                    </a:lnTo>
                    <a:lnTo>
                      <a:pt x="886" y="4096"/>
                    </a:lnTo>
                    <a:lnTo>
                      <a:pt x="886" y="4608"/>
                    </a:lnTo>
                    <a:lnTo>
                      <a:pt x="886" y="5120"/>
                    </a:lnTo>
                    <a:lnTo>
                      <a:pt x="1328" y="6144"/>
                    </a:lnTo>
                    <a:lnTo>
                      <a:pt x="1328" y="6656"/>
                    </a:lnTo>
                    <a:lnTo>
                      <a:pt x="1328" y="7168"/>
                    </a:lnTo>
                    <a:lnTo>
                      <a:pt x="1328" y="8192"/>
                    </a:lnTo>
                    <a:lnTo>
                      <a:pt x="1328" y="8704"/>
                    </a:lnTo>
                    <a:lnTo>
                      <a:pt x="1328" y="9216"/>
                    </a:lnTo>
                    <a:lnTo>
                      <a:pt x="1328" y="9728"/>
                    </a:lnTo>
                    <a:lnTo>
                      <a:pt x="1328" y="10752"/>
                    </a:lnTo>
                    <a:lnTo>
                      <a:pt x="1328" y="11264"/>
                    </a:lnTo>
                    <a:lnTo>
                      <a:pt x="886" y="11264"/>
                    </a:lnTo>
                    <a:lnTo>
                      <a:pt x="886" y="11776"/>
                    </a:lnTo>
                    <a:lnTo>
                      <a:pt x="886" y="12288"/>
                    </a:lnTo>
                    <a:lnTo>
                      <a:pt x="886" y="13312"/>
                    </a:lnTo>
                    <a:lnTo>
                      <a:pt x="886" y="13824"/>
                    </a:lnTo>
                    <a:lnTo>
                      <a:pt x="443" y="13824"/>
                    </a:lnTo>
                    <a:lnTo>
                      <a:pt x="443" y="14336"/>
                    </a:lnTo>
                    <a:lnTo>
                      <a:pt x="443" y="15360"/>
                    </a:lnTo>
                    <a:lnTo>
                      <a:pt x="0" y="15872"/>
                    </a:lnTo>
                    <a:lnTo>
                      <a:pt x="0" y="16384"/>
                    </a:lnTo>
                    <a:lnTo>
                      <a:pt x="16384" y="870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84" name="Объект 1877">
                <a:extLst>
                  <a:ext uri="{FF2B5EF4-FFF2-40B4-BE49-F238E27FC236}">
                    <a16:creationId xmlns:a16="http://schemas.microsoft.com/office/drawing/2014/main" id="{00000000-0008-0000-1300-000018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0000" y="3480000"/>
                <a:ext cx="0" cy="50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375"/>
                  </a:cxn>
                  <a:cxn ang="0">
                    <a:pos x="0" y="9536"/>
                  </a:cxn>
                  <a:cxn ang="0">
                    <a:pos x="0" y="12396"/>
                  </a:cxn>
                  <a:cxn ang="0">
                    <a:pos x="0" y="14390"/>
                  </a:cxn>
                  <a:cxn ang="0">
                    <a:pos x="0" y="15517"/>
                  </a:cxn>
                  <a:cxn ang="0">
                    <a:pos x="0" y="16211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375"/>
                    </a:lnTo>
                    <a:lnTo>
                      <a:pt x="0" y="9536"/>
                    </a:lnTo>
                    <a:lnTo>
                      <a:pt x="0" y="12396"/>
                    </a:lnTo>
                    <a:lnTo>
                      <a:pt x="0" y="14390"/>
                    </a:lnTo>
                    <a:lnTo>
                      <a:pt x="0" y="15517"/>
                    </a:lnTo>
                    <a:lnTo>
                      <a:pt x="0" y="16211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85" name="Объект 1879">
                <a:extLst>
                  <a:ext uri="{FF2B5EF4-FFF2-40B4-BE49-F238E27FC236}">
                    <a16:creationId xmlns:a16="http://schemas.microsoft.com/office/drawing/2014/main" id="{00000000-0008-0000-1300-000019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0000" y="312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7680" y="16384"/>
                  </a:cxn>
                  <a:cxn ang="0">
                    <a:pos x="0" y="0"/>
                  </a:cxn>
                  <a:cxn ang="0">
                    <a:pos x="512" y="0"/>
                  </a:cxn>
                  <a:cxn ang="0">
                    <a:pos x="512" y="431"/>
                  </a:cxn>
                  <a:cxn ang="0">
                    <a:pos x="1536" y="431"/>
                  </a:cxn>
                  <a:cxn ang="0">
                    <a:pos x="2048" y="431"/>
                  </a:cxn>
                  <a:cxn ang="0">
                    <a:pos x="2560" y="862"/>
                  </a:cxn>
                  <a:cxn ang="0">
                    <a:pos x="3072" y="862"/>
                  </a:cxn>
                  <a:cxn ang="0">
                    <a:pos x="4096" y="862"/>
                  </a:cxn>
                  <a:cxn ang="0">
                    <a:pos x="4608" y="1293"/>
                  </a:cxn>
                  <a:cxn ang="0">
                    <a:pos x="5120" y="1293"/>
                  </a:cxn>
                  <a:cxn ang="0">
                    <a:pos x="6144" y="1293"/>
                  </a:cxn>
                  <a:cxn ang="0">
                    <a:pos x="6656" y="1293"/>
                  </a:cxn>
                  <a:cxn ang="0">
                    <a:pos x="7168" y="1293"/>
                  </a:cxn>
                  <a:cxn ang="0">
                    <a:pos x="7680" y="1293"/>
                  </a:cxn>
                  <a:cxn ang="0">
                    <a:pos x="8704" y="1293"/>
                  </a:cxn>
                  <a:cxn ang="0">
                    <a:pos x="9216" y="1293"/>
                  </a:cxn>
                  <a:cxn ang="0">
                    <a:pos x="9728" y="1293"/>
                  </a:cxn>
                  <a:cxn ang="0">
                    <a:pos x="10240" y="1293"/>
                  </a:cxn>
                  <a:cxn ang="0">
                    <a:pos x="11264" y="1293"/>
                  </a:cxn>
                  <a:cxn ang="0">
                    <a:pos x="11776" y="1293"/>
                  </a:cxn>
                  <a:cxn ang="0">
                    <a:pos x="12288" y="862"/>
                  </a:cxn>
                  <a:cxn ang="0">
                    <a:pos x="13312" y="862"/>
                  </a:cxn>
                  <a:cxn ang="0">
                    <a:pos x="13824" y="862"/>
                  </a:cxn>
                  <a:cxn ang="0">
                    <a:pos x="14336" y="431"/>
                  </a:cxn>
                  <a:cxn ang="0">
                    <a:pos x="14848" y="431"/>
                  </a:cxn>
                  <a:cxn ang="0">
                    <a:pos x="15872" y="0"/>
                  </a:cxn>
                  <a:cxn ang="0">
                    <a:pos x="16384" y="0"/>
                  </a:cxn>
                  <a:cxn ang="0">
                    <a:pos x="7680" y="16384"/>
                  </a:cxn>
                </a:cxnLst>
                <a:rect l="0" t="0" r="r" b="b"/>
                <a:pathLst>
                  <a:path w="16384" h="16384">
                    <a:moveTo>
                      <a:pt x="7680" y="16384"/>
                    </a:moveTo>
                    <a:lnTo>
                      <a:pt x="0" y="0"/>
                    </a:lnTo>
                    <a:lnTo>
                      <a:pt x="512" y="0"/>
                    </a:lnTo>
                    <a:lnTo>
                      <a:pt x="512" y="431"/>
                    </a:lnTo>
                    <a:lnTo>
                      <a:pt x="1536" y="431"/>
                    </a:lnTo>
                    <a:lnTo>
                      <a:pt x="2048" y="431"/>
                    </a:lnTo>
                    <a:lnTo>
                      <a:pt x="2560" y="862"/>
                    </a:lnTo>
                    <a:lnTo>
                      <a:pt x="3072" y="862"/>
                    </a:lnTo>
                    <a:lnTo>
                      <a:pt x="4096" y="862"/>
                    </a:lnTo>
                    <a:lnTo>
                      <a:pt x="4608" y="1293"/>
                    </a:lnTo>
                    <a:lnTo>
                      <a:pt x="5120" y="1293"/>
                    </a:lnTo>
                    <a:lnTo>
                      <a:pt x="6144" y="1293"/>
                    </a:lnTo>
                    <a:lnTo>
                      <a:pt x="6656" y="1293"/>
                    </a:lnTo>
                    <a:lnTo>
                      <a:pt x="7168" y="1293"/>
                    </a:lnTo>
                    <a:lnTo>
                      <a:pt x="7680" y="1293"/>
                    </a:lnTo>
                    <a:lnTo>
                      <a:pt x="8704" y="1293"/>
                    </a:lnTo>
                    <a:lnTo>
                      <a:pt x="9216" y="1293"/>
                    </a:lnTo>
                    <a:lnTo>
                      <a:pt x="9728" y="1293"/>
                    </a:lnTo>
                    <a:lnTo>
                      <a:pt x="10240" y="1293"/>
                    </a:lnTo>
                    <a:lnTo>
                      <a:pt x="11264" y="1293"/>
                    </a:lnTo>
                    <a:lnTo>
                      <a:pt x="11776" y="1293"/>
                    </a:lnTo>
                    <a:lnTo>
                      <a:pt x="12288" y="862"/>
                    </a:lnTo>
                    <a:lnTo>
                      <a:pt x="13312" y="862"/>
                    </a:lnTo>
                    <a:lnTo>
                      <a:pt x="13824" y="862"/>
                    </a:lnTo>
                    <a:lnTo>
                      <a:pt x="14336" y="431"/>
                    </a:lnTo>
                    <a:lnTo>
                      <a:pt x="14848" y="431"/>
                    </a:lnTo>
                    <a:lnTo>
                      <a:pt x="15872" y="0"/>
                    </a:lnTo>
                    <a:lnTo>
                      <a:pt x="16384" y="0"/>
                    </a:lnTo>
                    <a:lnTo>
                      <a:pt x="7680" y="16384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86" name="Объект 1881">
                <a:extLst>
                  <a:ext uri="{FF2B5EF4-FFF2-40B4-BE49-F238E27FC236}">
                    <a16:creationId xmlns:a16="http://schemas.microsoft.com/office/drawing/2014/main" id="{00000000-0008-0000-1300-00001A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0000" y="3420000"/>
                <a:ext cx="100000" cy="100000"/>
              </a:xfrm>
              <a:custGeom>
                <a:avLst/>
                <a:gdLst/>
                <a:ahLst/>
                <a:cxnLst>
                  <a:cxn ang="0">
                    <a:pos x="7680" y="0"/>
                  </a:cxn>
                  <a:cxn ang="0">
                    <a:pos x="0" y="16384"/>
                  </a:cxn>
                  <a:cxn ang="0">
                    <a:pos x="512" y="16384"/>
                  </a:cxn>
                  <a:cxn ang="0">
                    <a:pos x="1536" y="15941"/>
                  </a:cxn>
                  <a:cxn ang="0">
                    <a:pos x="2048" y="15941"/>
                  </a:cxn>
                  <a:cxn ang="0">
                    <a:pos x="2560" y="15941"/>
                  </a:cxn>
                  <a:cxn ang="0">
                    <a:pos x="3072" y="15941"/>
                  </a:cxn>
                  <a:cxn ang="0">
                    <a:pos x="3072" y="15056"/>
                  </a:cxn>
                  <a:cxn ang="0">
                    <a:pos x="4096" y="15056"/>
                  </a:cxn>
                  <a:cxn ang="0">
                    <a:pos x="4608" y="15056"/>
                  </a:cxn>
                  <a:cxn ang="0">
                    <a:pos x="5120" y="15056"/>
                  </a:cxn>
                  <a:cxn ang="0">
                    <a:pos x="6144" y="15056"/>
                  </a:cxn>
                  <a:cxn ang="0">
                    <a:pos x="6656" y="14613"/>
                  </a:cxn>
                  <a:cxn ang="0">
                    <a:pos x="7168" y="14613"/>
                  </a:cxn>
                  <a:cxn ang="0">
                    <a:pos x="7680" y="14613"/>
                  </a:cxn>
                  <a:cxn ang="0">
                    <a:pos x="8704" y="14613"/>
                  </a:cxn>
                  <a:cxn ang="0">
                    <a:pos x="9216" y="14613"/>
                  </a:cxn>
                  <a:cxn ang="0">
                    <a:pos x="9728" y="14613"/>
                  </a:cxn>
                  <a:cxn ang="0">
                    <a:pos x="10240" y="15056"/>
                  </a:cxn>
                  <a:cxn ang="0">
                    <a:pos x="11264" y="15056"/>
                  </a:cxn>
                  <a:cxn ang="0">
                    <a:pos x="11776" y="15056"/>
                  </a:cxn>
                  <a:cxn ang="0">
                    <a:pos x="12288" y="15056"/>
                  </a:cxn>
                  <a:cxn ang="0">
                    <a:pos x="13312" y="15056"/>
                  </a:cxn>
                  <a:cxn ang="0">
                    <a:pos x="13312" y="15941"/>
                  </a:cxn>
                  <a:cxn ang="0">
                    <a:pos x="13824" y="15941"/>
                  </a:cxn>
                  <a:cxn ang="0">
                    <a:pos x="14336" y="15941"/>
                  </a:cxn>
                  <a:cxn ang="0">
                    <a:pos x="14848" y="15941"/>
                  </a:cxn>
                  <a:cxn ang="0">
                    <a:pos x="14848" y="16384"/>
                  </a:cxn>
                  <a:cxn ang="0">
                    <a:pos x="15872" y="16384"/>
                  </a:cxn>
                  <a:cxn ang="0">
                    <a:pos x="16384" y="16384"/>
                  </a:cxn>
                  <a:cxn ang="0">
                    <a:pos x="7680" y="0"/>
                  </a:cxn>
                </a:cxnLst>
                <a:rect l="0" t="0" r="r" b="b"/>
                <a:pathLst>
                  <a:path w="16384" h="16384">
                    <a:moveTo>
                      <a:pt x="7680" y="0"/>
                    </a:moveTo>
                    <a:lnTo>
                      <a:pt x="0" y="16384"/>
                    </a:lnTo>
                    <a:lnTo>
                      <a:pt x="512" y="16384"/>
                    </a:lnTo>
                    <a:lnTo>
                      <a:pt x="1536" y="15941"/>
                    </a:lnTo>
                    <a:lnTo>
                      <a:pt x="2048" y="15941"/>
                    </a:lnTo>
                    <a:lnTo>
                      <a:pt x="2560" y="15941"/>
                    </a:lnTo>
                    <a:lnTo>
                      <a:pt x="3072" y="15941"/>
                    </a:lnTo>
                    <a:lnTo>
                      <a:pt x="3072" y="15056"/>
                    </a:lnTo>
                    <a:lnTo>
                      <a:pt x="4096" y="15056"/>
                    </a:lnTo>
                    <a:lnTo>
                      <a:pt x="4608" y="15056"/>
                    </a:lnTo>
                    <a:lnTo>
                      <a:pt x="5120" y="15056"/>
                    </a:lnTo>
                    <a:lnTo>
                      <a:pt x="6144" y="15056"/>
                    </a:lnTo>
                    <a:lnTo>
                      <a:pt x="6656" y="14613"/>
                    </a:lnTo>
                    <a:lnTo>
                      <a:pt x="7168" y="14613"/>
                    </a:lnTo>
                    <a:lnTo>
                      <a:pt x="7680" y="14613"/>
                    </a:lnTo>
                    <a:lnTo>
                      <a:pt x="8704" y="14613"/>
                    </a:lnTo>
                    <a:lnTo>
                      <a:pt x="9216" y="14613"/>
                    </a:lnTo>
                    <a:lnTo>
                      <a:pt x="9728" y="14613"/>
                    </a:lnTo>
                    <a:lnTo>
                      <a:pt x="10240" y="15056"/>
                    </a:lnTo>
                    <a:lnTo>
                      <a:pt x="11264" y="15056"/>
                    </a:lnTo>
                    <a:lnTo>
                      <a:pt x="11776" y="15056"/>
                    </a:lnTo>
                    <a:lnTo>
                      <a:pt x="12288" y="15056"/>
                    </a:lnTo>
                    <a:lnTo>
                      <a:pt x="13312" y="15056"/>
                    </a:lnTo>
                    <a:lnTo>
                      <a:pt x="13312" y="15941"/>
                    </a:lnTo>
                    <a:lnTo>
                      <a:pt x="13824" y="15941"/>
                    </a:lnTo>
                    <a:lnTo>
                      <a:pt x="14336" y="15941"/>
                    </a:lnTo>
                    <a:lnTo>
                      <a:pt x="14848" y="15941"/>
                    </a:lnTo>
                    <a:lnTo>
                      <a:pt x="14848" y="16384"/>
                    </a:lnTo>
                    <a:lnTo>
                      <a:pt x="15872" y="16384"/>
                    </a:lnTo>
                    <a:lnTo>
                      <a:pt x="16384" y="16384"/>
                    </a:lnTo>
                    <a:lnTo>
                      <a:pt x="768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87" name="Текст 1883">
                <a:extLst>
                  <a:ext uri="{FF2B5EF4-FFF2-40B4-BE49-F238E27FC236}">
                    <a16:creationId xmlns:a16="http://schemas.microsoft.com/office/drawing/2014/main" id="{00000000-0008-0000-1300-00001B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860000" y="2820000"/>
                <a:ext cx="28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" textlink="">
            <xdr:nvSpPr>
              <xdr:cNvPr id="15388" name="Объект 1884">
                <a:extLst>
                  <a:ext uri="{FF2B5EF4-FFF2-40B4-BE49-F238E27FC236}">
                    <a16:creationId xmlns:a16="http://schemas.microsoft.com/office/drawing/2014/main" id="{00000000-0008-0000-1300-00001C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20000" y="2740000"/>
                <a:ext cx="0" cy="58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5461"/>
                  </a:cxn>
                  <a:cxn ang="0">
                    <a:pos x="0" y="9461"/>
                  </a:cxn>
                  <a:cxn ang="0">
                    <a:pos x="0" y="12461"/>
                  </a:cxn>
                  <a:cxn ang="0">
                    <a:pos x="0" y="14307"/>
                  </a:cxn>
                  <a:cxn ang="0">
                    <a:pos x="0" y="15538"/>
                  </a:cxn>
                  <a:cxn ang="0">
                    <a:pos x="0" y="16076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5461"/>
                    </a:lnTo>
                    <a:lnTo>
                      <a:pt x="0" y="9461"/>
                    </a:lnTo>
                    <a:lnTo>
                      <a:pt x="0" y="12461"/>
                    </a:lnTo>
                    <a:lnTo>
                      <a:pt x="0" y="14307"/>
                    </a:lnTo>
                    <a:lnTo>
                      <a:pt x="0" y="15538"/>
                    </a:lnTo>
                    <a:lnTo>
                      <a:pt x="0" y="16076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00008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89" name="Объект 1885">
                <a:extLst>
                  <a:ext uri="{FF2B5EF4-FFF2-40B4-BE49-F238E27FC236}">
                    <a16:creationId xmlns:a16="http://schemas.microsoft.com/office/drawing/2014/main" id="{00000000-0008-0000-1300-00001D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80000" y="2860000"/>
                <a:ext cx="260000" cy="2000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330" y="0"/>
                  </a:cxn>
                  <a:cxn ang="0">
                    <a:pos x="9278" y="0"/>
                  </a:cxn>
                  <a:cxn ang="0">
                    <a:pos x="12436" y="0"/>
                  </a:cxn>
                  <a:cxn ang="0">
                    <a:pos x="14410" y="0"/>
                  </a:cxn>
                  <a:cxn ang="0">
                    <a:pos x="15397" y="0"/>
                  </a:cxn>
                  <a:cxn ang="0">
                    <a:pos x="16187" y="0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5330" y="0"/>
                    </a:lnTo>
                    <a:lnTo>
                      <a:pt x="9278" y="0"/>
                    </a:lnTo>
                    <a:lnTo>
                      <a:pt x="12436" y="0"/>
                    </a:lnTo>
                    <a:lnTo>
                      <a:pt x="14410" y="0"/>
                    </a:lnTo>
                    <a:lnTo>
                      <a:pt x="15397" y="0"/>
                    </a:lnTo>
                    <a:lnTo>
                      <a:pt x="16187" y="0"/>
                    </a:lnTo>
                    <a:lnTo>
                      <a:pt x="16384" y="0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90" name="Объект 1886">
                <a:extLst>
                  <a:ext uri="{FF2B5EF4-FFF2-40B4-BE49-F238E27FC236}">
                    <a16:creationId xmlns:a16="http://schemas.microsoft.com/office/drawing/2014/main" id="{00000000-0008-0000-1300-00001E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00000" y="282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0" y="8192"/>
                  </a:cxn>
                  <a:cxn ang="0">
                    <a:pos x="16384" y="0"/>
                  </a:cxn>
                  <a:cxn ang="0">
                    <a:pos x="16384" y="1024"/>
                  </a:cxn>
                  <a:cxn ang="0">
                    <a:pos x="15941" y="1536"/>
                  </a:cxn>
                  <a:cxn ang="0">
                    <a:pos x="15941" y="2048"/>
                  </a:cxn>
                  <a:cxn ang="0">
                    <a:pos x="15941" y="3072"/>
                  </a:cxn>
                  <a:cxn ang="0">
                    <a:pos x="15056" y="3584"/>
                  </a:cxn>
                  <a:cxn ang="0">
                    <a:pos x="15056" y="4096"/>
                  </a:cxn>
                  <a:cxn ang="0">
                    <a:pos x="15056" y="4608"/>
                  </a:cxn>
                  <a:cxn ang="0">
                    <a:pos x="15056" y="5632"/>
                  </a:cxn>
                  <a:cxn ang="0">
                    <a:pos x="14613" y="6144"/>
                  </a:cxn>
                  <a:cxn ang="0">
                    <a:pos x="14613" y="6656"/>
                  </a:cxn>
                  <a:cxn ang="0">
                    <a:pos x="14613" y="7680"/>
                  </a:cxn>
                  <a:cxn ang="0">
                    <a:pos x="14613" y="8192"/>
                  </a:cxn>
                  <a:cxn ang="0">
                    <a:pos x="14613" y="8704"/>
                  </a:cxn>
                  <a:cxn ang="0">
                    <a:pos x="14613" y="9216"/>
                  </a:cxn>
                  <a:cxn ang="0">
                    <a:pos x="14613" y="10240"/>
                  </a:cxn>
                  <a:cxn ang="0">
                    <a:pos x="15056" y="10752"/>
                  </a:cxn>
                  <a:cxn ang="0">
                    <a:pos x="15056" y="11264"/>
                  </a:cxn>
                  <a:cxn ang="0">
                    <a:pos x="15056" y="12288"/>
                  </a:cxn>
                  <a:cxn ang="0">
                    <a:pos x="15056" y="12800"/>
                  </a:cxn>
                  <a:cxn ang="0">
                    <a:pos x="15941" y="13312"/>
                  </a:cxn>
                  <a:cxn ang="0">
                    <a:pos x="15941" y="13824"/>
                  </a:cxn>
                  <a:cxn ang="0">
                    <a:pos x="15941" y="14848"/>
                  </a:cxn>
                  <a:cxn ang="0">
                    <a:pos x="16384" y="15360"/>
                  </a:cxn>
                  <a:cxn ang="0">
                    <a:pos x="16384" y="15872"/>
                  </a:cxn>
                  <a:cxn ang="0">
                    <a:pos x="16384" y="16384"/>
                  </a:cxn>
                  <a:cxn ang="0">
                    <a:pos x="0" y="8192"/>
                  </a:cxn>
                </a:cxnLst>
                <a:rect l="0" t="0" r="r" b="b"/>
                <a:pathLst>
                  <a:path w="16384" h="16384">
                    <a:moveTo>
                      <a:pt x="0" y="8192"/>
                    </a:moveTo>
                    <a:lnTo>
                      <a:pt x="16384" y="0"/>
                    </a:lnTo>
                    <a:lnTo>
                      <a:pt x="16384" y="1024"/>
                    </a:lnTo>
                    <a:lnTo>
                      <a:pt x="15941" y="1536"/>
                    </a:lnTo>
                    <a:lnTo>
                      <a:pt x="15941" y="2048"/>
                    </a:lnTo>
                    <a:lnTo>
                      <a:pt x="15941" y="3072"/>
                    </a:lnTo>
                    <a:lnTo>
                      <a:pt x="15056" y="3584"/>
                    </a:lnTo>
                    <a:lnTo>
                      <a:pt x="15056" y="4096"/>
                    </a:lnTo>
                    <a:lnTo>
                      <a:pt x="15056" y="4608"/>
                    </a:lnTo>
                    <a:lnTo>
                      <a:pt x="15056" y="5632"/>
                    </a:lnTo>
                    <a:lnTo>
                      <a:pt x="14613" y="6144"/>
                    </a:lnTo>
                    <a:lnTo>
                      <a:pt x="14613" y="6656"/>
                    </a:lnTo>
                    <a:lnTo>
                      <a:pt x="14613" y="7680"/>
                    </a:lnTo>
                    <a:lnTo>
                      <a:pt x="14613" y="8192"/>
                    </a:lnTo>
                    <a:lnTo>
                      <a:pt x="14613" y="8704"/>
                    </a:lnTo>
                    <a:lnTo>
                      <a:pt x="14613" y="9216"/>
                    </a:lnTo>
                    <a:lnTo>
                      <a:pt x="14613" y="10240"/>
                    </a:lnTo>
                    <a:lnTo>
                      <a:pt x="15056" y="10752"/>
                    </a:lnTo>
                    <a:lnTo>
                      <a:pt x="15056" y="11264"/>
                    </a:lnTo>
                    <a:lnTo>
                      <a:pt x="15056" y="12288"/>
                    </a:lnTo>
                    <a:lnTo>
                      <a:pt x="15056" y="12800"/>
                    </a:lnTo>
                    <a:lnTo>
                      <a:pt x="15941" y="13312"/>
                    </a:lnTo>
                    <a:lnTo>
                      <a:pt x="15941" y="13824"/>
                    </a:lnTo>
                    <a:lnTo>
                      <a:pt x="15941" y="14848"/>
                    </a:lnTo>
                    <a:lnTo>
                      <a:pt x="16384" y="15360"/>
                    </a:lnTo>
                    <a:lnTo>
                      <a:pt x="16384" y="15872"/>
                    </a:lnTo>
                    <a:lnTo>
                      <a:pt x="16384" y="16384"/>
                    </a:lnTo>
                    <a:lnTo>
                      <a:pt x="0" y="8192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91" name="Объект 1887">
                <a:extLst>
                  <a:ext uri="{FF2B5EF4-FFF2-40B4-BE49-F238E27FC236}">
                    <a16:creationId xmlns:a16="http://schemas.microsoft.com/office/drawing/2014/main" id="{00000000-0008-0000-1300-00001F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00000" y="282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16384" y="8192"/>
                  </a:cxn>
                  <a:cxn ang="0">
                    <a:pos x="0" y="0"/>
                  </a:cxn>
                  <a:cxn ang="0">
                    <a:pos x="420" y="0"/>
                  </a:cxn>
                  <a:cxn ang="0">
                    <a:pos x="420" y="1024"/>
                  </a:cxn>
                  <a:cxn ang="0">
                    <a:pos x="420" y="1536"/>
                  </a:cxn>
                  <a:cxn ang="0">
                    <a:pos x="1260" y="2048"/>
                  </a:cxn>
                  <a:cxn ang="0">
                    <a:pos x="1260" y="3072"/>
                  </a:cxn>
                  <a:cxn ang="0">
                    <a:pos x="1260" y="3584"/>
                  </a:cxn>
                  <a:cxn ang="0">
                    <a:pos x="1680" y="4096"/>
                  </a:cxn>
                  <a:cxn ang="0">
                    <a:pos x="1680" y="4608"/>
                  </a:cxn>
                  <a:cxn ang="0">
                    <a:pos x="1680" y="5632"/>
                  </a:cxn>
                  <a:cxn ang="0">
                    <a:pos x="1680" y="6144"/>
                  </a:cxn>
                  <a:cxn ang="0">
                    <a:pos x="1680" y="6656"/>
                  </a:cxn>
                  <a:cxn ang="0">
                    <a:pos x="1680" y="7680"/>
                  </a:cxn>
                  <a:cxn ang="0">
                    <a:pos x="1680" y="8192"/>
                  </a:cxn>
                  <a:cxn ang="0">
                    <a:pos x="1680" y="8704"/>
                  </a:cxn>
                  <a:cxn ang="0">
                    <a:pos x="1680" y="9216"/>
                  </a:cxn>
                  <a:cxn ang="0">
                    <a:pos x="1680" y="10240"/>
                  </a:cxn>
                  <a:cxn ang="0">
                    <a:pos x="1680" y="10752"/>
                  </a:cxn>
                  <a:cxn ang="0">
                    <a:pos x="1680" y="11264"/>
                  </a:cxn>
                  <a:cxn ang="0">
                    <a:pos x="1680" y="12288"/>
                  </a:cxn>
                  <a:cxn ang="0">
                    <a:pos x="1260" y="12800"/>
                  </a:cxn>
                  <a:cxn ang="0">
                    <a:pos x="1260" y="13312"/>
                  </a:cxn>
                  <a:cxn ang="0">
                    <a:pos x="1260" y="13824"/>
                  </a:cxn>
                  <a:cxn ang="0">
                    <a:pos x="1260" y="14848"/>
                  </a:cxn>
                  <a:cxn ang="0">
                    <a:pos x="420" y="14848"/>
                  </a:cxn>
                  <a:cxn ang="0">
                    <a:pos x="420" y="15360"/>
                  </a:cxn>
                  <a:cxn ang="0">
                    <a:pos x="420" y="15872"/>
                  </a:cxn>
                  <a:cxn ang="0">
                    <a:pos x="0" y="16384"/>
                  </a:cxn>
                  <a:cxn ang="0">
                    <a:pos x="16384" y="8192"/>
                  </a:cxn>
                </a:cxnLst>
                <a:rect l="0" t="0" r="r" b="b"/>
                <a:pathLst>
                  <a:path w="16384" h="16384">
                    <a:moveTo>
                      <a:pt x="16384" y="8192"/>
                    </a:moveTo>
                    <a:lnTo>
                      <a:pt x="0" y="0"/>
                    </a:lnTo>
                    <a:lnTo>
                      <a:pt x="420" y="0"/>
                    </a:lnTo>
                    <a:lnTo>
                      <a:pt x="420" y="1024"/>
                    </a:lnTo>
                    <a:lnTo>
                      <a:pt x="420" y="1536"/>
                    </a:lnTo>
                    <a:lnTo>
                      <a:pt x="1260" y="2048"/>
                    </a:lnTo>
                    <a:lnTo>
                      <a:pt x="1260" y="3072"/>
                    </a:lnTo>
                    <a:lnTo>
                      <a:pt x="1260" y="3584"/>
                    </a:lnTo>
                    <a:lnTo>
                      <a:pt x="1680" y="4096"/>
                    </a:lnTo>
                    <a:lnTo>
                      <a:pt x="1680" y="4608"/>
                    </a:lnTo>
                    <a:lnTo>
                      <a:pt x="1680" y="5632"/>
                    </a:lnTo>
                    <a:lnTo>
                      <a:pt x="1680" y="6144"/>
                    </a:lnTo>
                    <a:lnTo>
                      <a:pt x="1680" y="6656"/>
                    </a:lnTo>
                    <a:lnTo>
                      <a:pt x="1680" y="7680"/>
                    </a:lnTo>
                    <a:lnTo>
                      <a:pt x="1680" y="8192"/>
                    </a:lnTo>
                    <a:lnTo>
                      <a:pt x="1680" y="8704"/>
                    </a:lnTo>
                    <a:lnTo>
                      <a:pt x="1680" y="9216"/>
                    </a:lnTo>
                    <a:lnTo>
                      <a:pt x="1680" y="10240"/>
                    </a:lnTo>
                    <a:lnTo>
                      <a:pt x="1680" y="10752"/>
                    </a:lnTo>
                    <a:lnTo>
                      <a:pt x="1680" y="11264"/>
                    </a:lnTo>
                    <a:lnTo>
                      <a:pt x="1680" y="12288"/>
                    </a:lnTo>
                    <a:lnTo>
                      <a:pt x="1260" y="12800"/>
                    </a:lnTo>
                    <a:lnTo>
                      <a:pt x="1260" y="13312"/>
                    </a:lnTo>
                    <a:lnTo>
                      <a:pt x="1260" y="13824"/>
                    </a:lnTo>
                    <a:lnTo>
                      <a:pt x="1260" y="14848"/>
                    </a:lnTo>
                    <a:lnTo>
                      <a:pt x="420" y="14848"/>
                    </a:lnTo>
                    <a:lnTo>
                      <a:pt x="420" y="15360"/>
                    </a:lnTo>
                    <a:lnTo>
                      <a:pt x="420" y="15872"/>
                    </a:lnTo>
                    <a:lnTo>
                      <a:pt x="0" y="16384"/>
                    </a:lnTo>
                    <a:lnTo>
                      <a:pt x="16384" y="8192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92" name="Объект 1890">
                <a:extLst>
                  <a:ext uri="{FF2B5EF4-FFF2-40B4-BE49-F238E27FC236}">
                    <a16:creationId xmlns:a16="http://schemas.microsoft.com/office/drawing/2014/main" id="{00000000-0008-0000-1300-000020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40000" y="2680000"/>
                <a:ext cx="360000" cy="0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0" y="16384"/>
                  </a:cxn>
                  <a:cxn ang="0">
                    <a:pos x="16384" y="16384"/>
                  </a:cxn>
                  <a:cxn ang="0">
                    <a:pos x="16384" y="0"/>
                  </a:cxn>
                  <a:cxn ang="0">
                    <a:pos x="0" y="0"/>
                  </a:cxn>
                </a:cxnLst>
                <a:rect l="0" t="0" r="r" b="b"/>
                <a:pathLst>
                  <a:path w="16384" h="16384">
                    <a:moveTo>
                      <a:pt x="0" y="0"/>
                    </a:moveTo>
                    <a:lnTo>
                      <a:pt x="0" y="16384"/>
                    </a:lnTo>
                    <a:lnTo>
                      <a:pt x="16384" y="16384"/>
                    </a:lnTo>
                    <a:lnTo>
                      <a:pt x="16384" y="0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93" name="Текст 1959">
                <a:extLst>
                  <a:ext uri="{FF2B5EF4-FFF2-40B4-BE49-F238E27FC236}">
                    <a16:creationId xmlns:a16="http://schemas.microsoft.com/office/drawing/2014/main" id="{00000000-0008-0000-1300-000021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380000" y="144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5394" name="Текст 1960">
                <a:extLst>
                  <a:ext uri="{FF2B5EF4-FFF2-40B4-BE49-F238E27FC236}">
                    <a16:creationId xmlns:a16="http://schemas.microsoft.com/office/drawing/2014/main" id="{00000000-0008-0000-1300-000022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60000" y="1440000"/>
                <a:ext cx="420000" cy="50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 Cyr"/>
                    <a:cs typeface="Arial Cyr"/>
                  </a:rPr>
                  <a:t>X</a:t>
                </a:r>
              </a:p>
            </xdr:txBody>
          </xdr:sp>
          <xdr:sp macro="" textlink="">
            <xdr:nvSpPr>
              <xdr:cNvPr id="15395" name="Объект 1962">
                <a:extLst>
                  <a:ext uri="{FF2B5EF4-FFF2-40B4-BE49-F238E27FC236}">
                    <a16:creationId xmlns:a16="http://schemas.microsoft.com/office/drawing/2014/main" id="{00000000-0008-0000-1300-000023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520000" y="1420000"/>
                <a:ext cx="120000" cy="80000"/>
              </a:xfrm>
              <a:custGeom>
                <a:avLst/>
                <a:gdLst/>
                <a:ahLst/>
                <a:cxnLst>
                  <a:cxn ang="0">
                    <a:pos x="16384" y="8440"/>
                  </a:cxn>
                  <a:cxn ang="0">
                    <a:pos x="0" y="16384"/>
                  </a:cxn>
                  <a:cxn ang="0">
                    <a:pos x="0" y="15888"/>
                  </a:cxn>
                  <a:cxn ang="0">
                    <a:pos x="0" y="15391"/>
                  </a:cxn>
                  <a:cxn ang="0">
                    <a:pos x="443" y="14398"/>
                  </a:cxn>
                  <a:cxn ang="0">
                    <a:pos x="443" y="13902"/>
                  </a:cxn>
                  <a:cxn ang="0">
                    <a:pos x="886" y="13405"/>
                  </a:cxn>
                  <a:cxn ang="0">
                    <a:pos x="886" y="12909"/>
                  </a:cxn>
                  <a:cxn ang="0">
                    <a:pos x="886" y="11916"/>
                  </a:cxn>
                  <a:cxn ang="0">
                    <a:pos x="886" y="11419"/>
                  </a:cxn>
                  <a:cxn ang="0">
                    <a:pos x="1328" y="10923"/>
                  </a:cxn>
                  <a:cxn ang="0">
                    <a:pos x="1328" y="9930"/>
                  </a:cxn>
                  <a:cxn ang="0">
                    <a:pos x="1328" y="9433"/>
                  </a:cxn>
                  <a:cxn ang="0">
                    <a:pos x="1328" y="8937"/>
                  </a:cxn>
                  <a:cxn ang="0">
                    <a:pos x="1328" y="8440"/>
                  </a:cxn>
                  <a:cxn ang="0">
                    <a:pos x="1328" y="7447"/>
                  </a:cxn>
                  <a:cxn ang="0">
                    <a:pos x="1328" y="6951"/>
                  </a:cxn>
                  <a:cxn ang="0">
                    <a:pos x="1328" y="6454"/>
                  </a:cxn>
                  <a:cxn ang="0">
                    <a:pos x="1328" y="5958"/>
                  </a:cxn>
                  <a:cxn ang="0">
                    <a:pos x="886" y="4965"/>
                  </a:cxn>
                  <a:cxn ang="0">
                    <a:pos x="886" y="4468"/>
                  </a:cxn>
                  <a:cxn ang="0">
                    <a:pos x="886" y="3972"/>
                  </a:cxn>
                  <a:cxn ang="0">
                    <a:pos x="886" y="2979"/>
                  </a:cxn>
                  <a:cxn ang="0">
                    <a:pos x="443" y="2482"/>
                  </a:cxn>
                  <a:cxn ang="0">
                    <a:pos x="443" y="1986"/>
                  </a:cxn>
                  <a:cxn ang="0">
                    <a:pos x="0" y="1489"/>
                  </a:cxn>
                  <a:cxn ang="0">
                    <a:pos x="0" y="496"/>
                  </a:cxn>
                  <a:cxn ang="0">
                    <a:pos x="0" y="0"/>
                  </a:cxn>
                  <a:cxn ang="0">
                    <a:pos x="16384" y="8440"/>
                  </a:cxn>
                </a:cxnLst>
                <a:rect l="0" t="0" r="r" b="b"/>
                <a:pathLst>
                  <a:path w="16384" h="16384">
                    <a:moveTo>
                      <a:pt x="16384" y="8440"/>
                    </a:moveTo>
                    <a:lnTo>
                      <a:pt x="0" y="16384"/>
                    </a:lnTo>
                    <a:lnTo>
                      <a:pt x="0" y="15888"/>
                    </a:lnTo>
                    <a:lnTo>
                      <a:pt x="0" y="15391"/>
                    </a:lnTo>
                    <a:lnTo>
                      <a:pt x="443" y="14398"/>
                    </a:lnTo>
                    <a:lnTo>
                      <a:pt x="443" y="13902"/>
                    </a:lnTo>
                    <a:lnTo>
                      <a:pt x="886" y="13405"/>
                    </a:lnTo>
                    <a:lnTo>
                      <a:pt x="886" y="12909"/>
                    </a:lnTo>
                    <a:lnTo>
                      <a:pt x="886" y="11916"/>
                    </a:lnTo>
                    <a:lnTo>
                      <a:pt x="886" y="11419"/>
                    </a:lnTo>
                    <a:lnTo>
                      <a:pt x="1328" y="10923"/>
                    </a:lnTo>
                    <a:lnTo>
                      <a:pt x="1328" y="9930"/>
                    </a:lnTo>
                    <a:lnTo>
                      <a:pt x="1328" y="9433"/>
                    </a:lnTo>
                    <a:lnTo>
                      <a:pt x="1328" y="8937"/>
                    </a:lnTo>
                    <a:lnTo>
                      <a:pt x="1328" y="8440"/>
                    </a:lnTo>
                    <a:lnTo>
                      <a:pt x="1328" y="7447"/>
                    </a:lnTo>
                    <a:lnTo>
                      <a:pt x="1328" y="6951"/>
                    </a:lnTo>
                    <a:lnTo>
                      <a:pt x="1328" y="6454"/>
                    </a:lnTo>
                    <a:lnTo>
                      <a:pt x="1328" y="5958"/>
                    </a:lnTo>
                    <a:lnTo>
                      <a:pt x="886" y="4965"/>
                    </a:lnTo>
                    <a:lnTo>
                      <a:pt x="886" y="4468"/>
                    </a:lnTo>
                    <a:lnTo>
                      <a:pt x="886" y="3972"/>
                    </a:lnTo>
                    <a:lnTo>
                      <a:pt x="886" y="2979"/>
                    </a:lnTo>
                    <a:lnTo>
                      <a:pt x="443" y="2482"/>
                    </a:lnTo>
                    <a:lnTo>
                      <a:pt x="443" y="1986"/>
                    </a:lnTo>
                    <a:lnTo>
                      <a:pt x="0" y="1489"/>
                    </a:lnTo>
                    <a:lnTo>
                      <a:pt x="0" y="496"/>
                    </a:lnTo>
                    <a:lnTo>
                      <a:pt x="0" y="0"/>
                    </a:lnTo>
                    <a:lnTo>
                      <a:pt x="16384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96" name="Объект 1964">
                <a:extLst>
                  <a:ext uri="{FF2B5EF4-FFF2-40B4-BE49-F238E27FC236}">
                    <a16:creationId xmlns:a16="http://schemas.microsoft.com/office/drawing/2014/main" id="{00000000-0008-0000-1300-000024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20000" y="1420000"/>
                <a:ext cx="120000" cy="80000"/>
              </a:xfrm>
              <a:custGeom>
                <a:avLst/>
                <a:gdLst/>
                <a:ahLst/>
                <a:cxnLst>
                  <a:cxn ang="0">
                    <a:pos x="0" y="8440"/>
                  </a:cxn>
                  <a:cxn ang="0">
                    <a:pos x="16384" y="16384"/>
                  </a:cxn>
                  <a:cxn ang="0">
                    <a:pos x="16384" y="15888"/>
                  </a:cxn>
                  <a:cxn ang="0">
                    <a:pos x="15498" y="15391"/>
                  </a:cxn>
                  <a:cxn ang="0">
                    <a:pos x="15498" y="14398"/>
                  </a:cxn>
                  <a:cxn ang="0">
                    <a:pos x="15498" y="13902"/>
                  </a:cxn>
                  <a:cxn ang="0">
                    <a:pos x="15056" y="13405"/>
                  </a:cxn>
                  <a:cxn ang="0">
                    <a:pos x="15056" y="12909"/>
                  </a:cxn>
                  <a:cxn ang="0">
                    <a:pos x="15056" y="11916"/>
                  </a:cxn>
                  <a:cxn ang="0">
                    <a:pos x="15056" y="11419"/>
                  </a:cxn>
                  <a:cxn ang="0">
                    <a:pos x="14613" y="10923"/>
                  </a:cxn>
                  <a:cxn ang="0">
                    <a:pos x="14613" y="9930"/>
                  </a:cxn>
                  <a:cxn ang="0">
                    <a:pos x="14613" y="9433"/>
                  </a:cxn>
                  <a:cxn ang="0">
                    <a:pos x="14613" y="8937"/>
                  </a:cxn>
                  <a:cxn ang="0">
                    <a:pos x="14613" y="8440"/>
                  </a:cxn>
                  <a:cxn ang="0">
                    <a:pos x="14613" y="7447"/>
                  </a:cxn>
                  <a:cxn ang="0">
                    <a:pos x="14613" y="6951"/>
                  </a:cxn>
                  <a:cxn ang="0">
                    <a:pos x="14613" y="6454"/>
                  </a:cxn>
                  <a:cxn ang="0">
                    <a:pos x="14613" y="5958"/>
                  </a:cxn>
                  <a:cxn ang="0">
                    <a:pos x="15056" y="4965"/>
                  </a:cxn>
                  <a:cxn ang="0">
                    <a:pos x="15056" y="4468"/>
                  </a:cxn>
                  <a:cxn ang="0">
                    <a:pos x="15056" y="3972"/>
                  </a:cxn>
                  <a:cxn ang="0">
                    <a:pos x="15056" y="2979"/>
                  </a:cxn>
                  <a:cxn ang="0">
                    <a:pos x="15498" y="2482"/>
                  </a:cxn>
                  <a:cxn ang="0">
                    <a:pos x="15498" y="1986"/>
                  </a:cxn>
                  <a:cxn ang="0">
                    <a:pos x="15498" y="1489"/>
                  </a:cxn>
                  <a:cxn ang="0">
                    <a:pos x="16384" y="496"/>
                  </a:cxn>
                  <a:cxn ang="0">
                    <a:pos x="16384" y="0"/>
                  </a:cxn>
                  <a:cxn ang="0">
                    <a:pos x="0" y="8440"/>
                  </a:cxn>
                </a:cxnLst>
                <a:rect l="0" t="0" r="r" b="b"/>
                <a:pathLst>
                  <a:path w="16384" h="16384">
                    <a:moveTo>
                      <a:pt x="0" y="8440"/>
                    </a:moveTo>
                    <a:lnTo>
                      <a:pt x="16384" y="16384"/>
                    </a:lnTo>
                    <a:lnTo>
                      <a:pt x="16384" y="15888"/>
                    </a:lnTo>
                    <a:lnTo>
                      <a:pt x="15498" y="15391"/>
                    </a:lnTo>
                    <a:lnTo>
                      <a:pt x="15498" y="14398"/>
                    </a:lnTo>
                    <a:lnTo>
                      <a:pt x="15498" y="13902"/>
                    </a:lnTo>
                    <a:lnTo>
                      <a:pt x="15056" y="13405"/>
                    </a:lnTo>
                    <a:lnTo>
                      <a:pt x="15056" y="12909"/>
                    </a:lnTo>
                    <a:lnTo>
                      <a:pt x="15056" y="11916"/>
                    </a:lnTo>
                    <a:lnTo>
                      <a:pt x="15056" y="11419"/>
                    </a:lnTo>
                    <a:lnTo>
                      <a:pt x="14613" y="10923"/>
                    </a:lnTo>
                    <a:lnTo>
                      <a:pt x="14613" y="9930"/>
                    </a:lnTo>
                    <a:lnTo>
                      <a:pt x="14613" y="9433"/>
                    </a:lnTo>
                    <a:lnTo>
                      <a:pt x="14613" y="8937"/>
                    </a:lnTo>
                    <a:lnTo>
                      <a:pt x="14613" y="8440"/>
                    </a:lnTo>
                    <a:lnTo>
                      <a:pt x="14613" y="7447"/>
                    </a:lnTo>
                    <a:lnTo>
                      <a:pt x="14613" y="6951"/>
                    </a:lnTo>
                    <a:lnTo>
                      <a:pt x="14613" y="6454"/>
                    </a:lnTo>
                    <a:lnTo>
                      <a:pt x="14613" y="5958"/>
                    </a:lnTo>
                    <a:lnTo>
                      <a:pt x="15056" y="4965"/>
                    </a:lnTo>
                    <a:lnTo>
                      <a:pt x="15056" y="4468"/>
                    </a:lnTo>
                    <a:lnTo>
                      <a:pt x="15056" y="3972"/>
                    </a:lnTo>
                    <a:lnTo>
                      <a:pt x="15056" y="2979"/>
                    </a:lnTo>
                    <a:lnTo>
                      <a:pt x="15498" y="2482"/>
                    </a:lnTo>
                    <a:lnTo>
                      <a:pt x="15498" y="1986"/>
                    </a:lnTo>
                    <a:lnTo>
                      <a:pt x="15498" y="1489"/>
                    </a:lnTo>
                    <a:lnTo>
                      <a:pt x="16384" y="496"/>
                    </a:lnTo>
                    <a:lnTo>
                      <a:pt x="16384" y="0"/>
                    </a:lnTo>
                    <a:lnTo>
                      <a:pt x="0" y="844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397" name="Текст 1966">
                <a:extLst>
                  <a:ext uri="{FF2B5EF4-FFF2-40B4-BE49-F238E27FC236}">
                    <a16:creationId xmlns:a16="http://schemas.microsoft.com/office/drawing/2014/main" id="{00000000-0008-0000-1300-000025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00000" y="1080000"/>
                <a:ext cx="36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s</a:t>
                </a:r>
              </a:p>
            </xdr:txBody>
          </xdr:sp>
          <xdr:sp macro="" textlink="">
            <xdr:nvSpPr>
              <xdr:cNvPr id="15398" name="Объект 1967">
                <a:extLst>
                  <a:ext uri="{FF2B5EF4-FFF2-40B4-BE49-F238E27FC236}">
                    <a16:creationId xmlns:a16="http://schemas.microsoft.com/office/drawing/2014/main" id="{00000000-0008-0000-1300-000026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0000" y="720000"/>
                <a:ext cx="580000" cy="2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0478" y="1638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0478" y="1638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99" name="Объект 1968">
                <a:extLst>
                  <a:ext uri="{FF2B5EF4-FFF2-40B4-BE49-F238E27FC236}">
                    <a16:creationId xmlns:a16="http://schemas.microsoft.com/office/drawing/2014/main" id="{00000000-0008-0000-1300-000027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80000" y="72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2288" y="16384"/>
                  </a:cxn>
                  <a:cxn ang="0">
                    <a:pos x="11833" y="16384"/>
                  </a:cxn>
                  <a:cxn ang="0">
                    <a:pos x="11833" y="15565"/>
                  </a:cxn>
                  <a:cxn ang="0">
                    <a:pos x="11833" y="15155"/>
                  </a:cxn>
                  <a:cxn ang="0">
                    <a:pos x="10923" y="14746"/>
                  </a:cxn>
                  <a:cxn ang="0">
                    <a:pos x="10468" y="14336"/>
                  </a:cxn>
                  <a:cxn ang="0">
                    <a:pos x="10468" y="13517"/>
                  </a:cxn>
                  <a:cxn ang="0">
                    <a:pos x="10012" y="13517"/>
                  </a:cxn>
                  <a:cxn ang="0">
                    <a:pos x="10012" y="13107"/>
                  </a:cxn>
                  <a:cxn ang="0">
                    <a:pos x="9557" y="13107"/>
                  </a:cxn>
                  <a:cxn ang="0">
                    <a:pos x="9557" y="12698"/>
                  </a:cxn>
                  <a:cxn ang="0">
                    <a:pos x="8647" y="11878"/>
                  </a:cxn>
                  <a:cxn ang="0">
                    <a:pos x="8192" y="11878"/>
                  </a:cxn>
                  <a:cxn ang="0">
                    <a:pos x="8192" y="11469"/>
                  </a:cxn>
                  <a:cxn ang="0">
                    <a:pos x="7737" y="11469"/>
                  </a:cxn>
                  <a:cxn ang="0">
                    <a:pos x="7737" y="11059"/>
                  </a:cxn>
                  <a:cxn ang="0">
                    <a:pos x="6827" y="11059"/>
                  </a:cxn>
                  <a:cxn ang="0">
                    <a:pos x="6372" y="11059"/>
                  </a:cxn>
                  <a:cxn ang="0">
                    <a:pos x="6372" y="10650"/>
                  </a:cxn>
                  <a:cxn ang="0">
                    <a:pos x="5916" y="10650"/>
                  </a:cxn>
                  <a:cxn ang="0">
                    <a:pos x="5461" y="9830"/>
                  </a:cxn>
                  <a:cxn ang="0">
                    <a:pos x="4551" y="9830"/>
                  </a:cxn>
                  <a:cxn ang="0">
                    <a:pos x="4096" y="9421"/>
                  </a:cxn>
                  <a:cxn ang="0">
                    <a:pos x="3641" y="9421"/>
                  </a:cxn>
                  <a:cxn ang="0">
                    <a:pos x="2731" y="9421"/>
                  </a:cxn>
                  <a:cxn ang="0">
                    <a:pos x="2276" y="9011"/>
                  </a:cxn>
                  <a:cxn ang="0">
                    <a:pos x="1820" y="9011"/>
                  </a:cxn>
                  <a:cxn ang="0">
                    <a:pos x="1365" y="9011"/>
                  </a:cxn>
                  <a:cxn ang="0">
                    <a:pos x="455" y="9011"/>
                  </a:cxn>
                  <a:cxn ang="0">
                    <a:pos x="0" y="9011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2288" y="16384"/>
                    </a:lnTo>
                    <a:lnTo>
                      <a:pt x="11833" y="16384"/>
                    </a:lnTo>
                    <a:lnTo>
                      <a:pt x="11833" y="15565"/>
                    </a:lnTo>
                    <a:lnTo>
                      <a:pt x="11833" y="15155"/>
                    </a:lnTo>
                    <a:lnTo>
                      <a:pt x="10923" y="14746"/>
                    </a:lnTo>
                    <a:lnTo>
                      <a:pt x="10468" y="14336"/>
                    </a:lnTo>
                    <a:lnTo>
                      <a:pt x="10468" y="13517"/>
                    </a:lnTo>
                    <a:lnTo>
                      <a:pt x="10012" y="13517"/>
                    </a:lnTo>
                    <a:lnTo>
                      <a:pt x="10012" y="13107"/>
                    </a:lnTo>
                    <a:lnTo>
                      <a:pt x="9557" y="13107"/>
                    </a:lnTo>
                    <a:lnTo>
                      <a:pt x="9557" y="12698"/>
                    </a:lnTo>
                    <a:lnTo>
                      <a:pt x="8647" y="11878"/>
                    </a:lnTo>
                    <a:lnTo>
                      <a:pt x="8192" y="11878"/>
                    </a:lnTo>
                    <a:lnTo>
                      <a:pt x="8192" y="11469"/>
                    </a:lnTo>
                    <a:lnTo>
                      <a:pt x="7737" y="11469"/>
                    </a:lnTo>
                    <a:lnTo>
                      <a:pt x="7737" y="11059"/>
                    </a:lnTo>
                    <a:lnTo>
                      <a:pt x="6827" y="11059"/>
                    </a:lnTo>
                    <a:lnTo>
                      <a:pt x="6372" y="11059"/>
                    </a:lnTo>
                    <a:lnTo>
                      <a:pt x="6372" y="10650"/>
                    </a:lnTo>
                    <a:lnTo>
                      <a:pt x="5916" y="10650"/>
                    </a:lnTo>
                    <a:lnTo>
                      <a:pt x="5461" y="9830"/>
                    </a:lnTo>
                    <a:lnTo>
                      <a:pt x="4551" y="9830"/>
                    </a:lnTo>
                    <a:lnTo>
                      <a:pt x="4096" y="9421"/>
                    </a:lnTo>
                    <a:lnTo>
                      <a:pt x="3641" y="9421"/>
                    </a:lnTo>
                    <a:lnTo>
                      <a:pt x="2731" y="9421"/>
                    </a:lnTo>
                    <a:lnTo>
                      <a:pt x="2276" y="9011"/>
                    </a:lnTo>
                    <a:lnTo>
                      <a:pt x="1820" y="9011"/>
                    </a:lnTo>
                    <a:lnTo>
                      <a:pt x="1365" y="9011"/>
                    </a:lnTo>
                    <a:lnTo>
                      <a:pt x="455" y="9011"/>
                    </a:lnTo>
                    <a:lnTo>
                      <a:pt x="0" y="9011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400" name="Объект 1969">
                <a:extLst>
                  <a:ext uri="{FF2B5EF4-FFF2-40B4-BE49-F238E27FC236}">
                    <a16:creationId xmlns:a16="http://schemas.microsoft.com/office/drawing/2014/main" id="{00000000-0008-0000-1300-000028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0000" y="600000"/>
                <a:ext cx="460000" cy="22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8755" y="16384"/>
                  </a:cxn>
                  <a:cxn ang="0">
                    <a:pos x="0" y="16384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8755" y="16384"/>
                    </a:lnTo>
                    <a:lnTo>
                      <a:pt x="0" y="16384"/>
                    </a:lnTo>
                  </a:path>
                </a:pathLst>
              </a:custGeom>
              <a:noFill/>
              <a:ln w="1" cap="flat">
                <a:solidFill>
                  <a:srgbClr val="660066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01" name="Объект 1970">
                <a:extLst>
                  <a:ext uri="{FF2B5EF4-FFF2-40B4-BE49-F238E27FC236}">
                    <a16:creationId xmlns:a16="http://schemas.microsoft.com/office/drawing/2014/main" id="{00000000-0008-0000-1300-0000293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0000" y="600000"/>
                <a:ext cx="120000" cy="100000"/>
              </a:xfrm>
              <a:custGeom>
                <a:avLst/>
                <a:gdLst/>
                <a:ahLst/>
                <a:cxnLst>
                  <a:cxn ang="0">
                    <a:pos x="16384" y="0"/>
                  </a:cxn>
                  <a:cxn ang="0">
                    <a:pos x="11703" y="16384"/>
                  </a:cxn>
                  <a:cxn ang="0">
                    <a:pos x="11703" y="15585"/>
                  </a:cxn>
                  <a:cxn ang="0">
                    <a:pos x="11703" y="15185"/>
                  </a:cxn>
                  <a:cxn ang="0">
                    <a:pos x="11235" y="14786"/>
                  </a:cxn>
                  <a:cxn ang="0">
                    <a:pos x="10767" y="14386"/>
                  </a:cxn>
                  <a:cxn ang="0">
                    <a:pos x="10767" y="13587"/>
                  </a:cxn>
                  <a:cxn ang="0">
                    <a:pos x="9830" y="13587"/>
                  </a:cxn>
                  <a:cxn ang="0">
                    <a:pos x="9830" y="13187"/>
                  </a:cxn>
                  <a:cxn ang="0">
                    <a:pos x="9362" y="12788"/>
                  </a:cxn>
                  <a:cxn ang="0">
                    <a:pos x="8894" y="11988"/>
                  </a:cxn>
                  <a:cxn ang="0">
                    <a:pos x="7958" y="11988"/>
                  </a:cxn>
                  <a:cxn ang="0">
                    <a:pos x="7958" y="11589"/>
                  </a:cxn>
                  <a:cxn ang="0">
                    <a:pos x="7490" y="11589"/>
                  </a:cxn>
                  <a:cxn ang="0">
                    <a:pos x="7490" y="11189"/>
                  </a:cxn>
                  <a:cxn ang="0">
                    <a:pos x="7022" y="11189"/>
                  </a:cxn>
                  <a:cxn ang="0">
                    <a:pos x="6554" y="10789"/>
                  </a:cxn>
                  <a:cxn ang="0">
                    <a:pos x="5617" y="9990"/>
                  </a:cxn>
                  <a:cxn ang="0">
                    <a:pos x="5149" y="9990"/>
                  </a:cxn>
                  <a:cxn ang="0">
                    <a:pos x="4681" y="9591"/>
                  </a:cxn>
                  <a:cxn ang="0">
                    <a:pos x="4213" y="9591"/>
                  </a:cxn>
                  <a:cxn ang="0">
                    <a:pos x="3277" y="9591"/>
                  </a:cxn>
                  <a:cxn ang="0">
                    <a:pos x="3277" y="9191"/>
                  </a:cxn>
                  <a:cxn ang="0">
                    <a:pos x="2809" y="9191"/>
                  </a:cxn>
                  <a:cxn ang="0">
                    <a:pos x="2341" y="9191"/>
                  </a:cxn>
                  <a:cxn ang="0">
                    <a:pos x="1404" y="9191"/>
                  </a:cxn>
                  <a:cxn ang="0">
                    <a:pos x="1404" y="8791"/>
                  </a:cxn>
                  <a:cxn ang="0">
                    <a:pos x="936" y="8791"/>
                  </a:cxn>
                  <a:cxn ang="0">
                    <a:pos x="468" y="8791"/>
                  </a:cxn>
                  <a:cxn ang="0">
                    <a:pos x="0" y="8791"/>
                  </a:cxn>
                  <a:cxn ang="0">
                    <a:pos x="16384" y="0"/>
                  </a:cxn>
                </a:cxnLst>
                <a:rect l="0" t="0" r="r" b="b"/>
                <a:pathLst>
                  <a:path w="16384" h="16384">
                    <a:moveTo>
                      <a:pt x="16384" y="0"/>
                    </a:moveTo>
                    <a:lnTo>
                      <a:pt x="11703" y="16384"/>
                    </a:lnTo>
                    <a:lnTo>
                      <a:pt x="11703" y="15585"/>
                    </a:lnTo>
                    <a:lnTo>
                      <a:pt x="11703" y="15185"/>
                    </a:lnTo>
                    <a:lnTo>
                      <a:pt x="11235" y="14786"/>
                    </a:lnTo>
                    <a:lnTo>
                      <a:pt x="10767" y="14386"/>
                    </a:lnTo>
                    <a:lnTo>
                      <a:pt x="10767" y="13587"/>
                    </a:lnTo>
                    <a:lnTo>
                      <a:pt x="9830" y="13587"/>
                    </a:lnTo>
                    <a:lnTo>
                      <a:pt x="9830" y="13187"/>
                    </a:lnTo>
                    <a:lnTo>
                      <a:pt x="9362" y="12788"/>
                    </a:lnTo>
                    <a:lnTo>
                      <a:pt x="8894" y="11988"/>
                    </a:lnTo>
                    <a:lnTo>
                      <a:pt x="7958" y="11988"/>
                    </a:lnTo>
                    <a:lnTo>
                      <a:pt x="7958" y="11589"/>
                    </a:lnTo>
                    <a:lnTo>
                      <a:pt x="7490" y="11589"/>
                    </a:lnTo>
                    <a:lnTo>
                      <a:pt x="7490" y="11189"/>
                    </a:lnTo>
                    <a:lnTo>
                      <a:pt x="7022" y="11189"/>
                    </a:lnTo>
                    <a:lnTo>
                      <a:pt x="6554" y="10789"/>
                    </a:lnTo>
                    <a:lnTo>
                      <a:pt x="5617" y="9990"/>
                    </a:lnTo>
                    <a:lnTo>
                      <a:pt x="5149" y="9990"/>
                    </a:lnTo>
                    <a:lnTo>
                      <a:pt x="4681" y="9591"/>
                    </a:lnTo>
                    <a:lnTo>
                      <a:pt x="4213" y="9591"/>
                    </a:lnTo>
                    <a:lnTo>
                      <a:pt x="3277" y="9591"/>
                    </a:lnTo>
                    <a:lnTo>
                      <a:pt x="3277" y="9191"/>
                    </a:lnTo>
                    <a:lnTo>
                      <a:pt x="2809" y="9191"/>
                    </a:lnTo>
                    <a:lnTo>
                      <a:pt x="2341" y="9191"/>
                    </a:lnTo>
                    <a:lnTo>
                      <a:pt x="1404" y="9191"/>
                    </a:lnTo>
                    <a:lnTo>
                      <a:pt x="1404" y="8791"/>
                    </a:lnTo>
                    <a:lnTo>
                      <a:pt x="936" y="8791"/>
                    </a:lnTo>
                    <a:lnTo>
                      <a:pt x="468" y="8791"/>
                    </a:lnTo>
                    <a:lnTo>
                      <a:pt x="0" y="8791"/>
                    </a:lnTo>
                    <a:lnTo>
                      <a:pt x="16384" y="0"/>
                    </a:lnTo>
                    <a:close/>
                  </a:path>
                </a:pathLst>
              </a:custGeom>
              <a:solidFill>
                <a:srgbClr val="000080"/>
              </a:solidFill>
              <a:ln w="9525">
                <a:noFill/>
                <a:round/>
                <a:headEnd/>
                <a:tailEnd/>
              </a:ln>
            </xdr:spPr>
          </xdr:sp>
          <xdr:sp macro="" textlink="">
            <xdr:nvSpPr>
              <xdr:cNvPr id="15402" name="Текст 1971">
                <a:extLst>
                  <a:ext uri="{FF2B5EF4-FFF2-40B4-BE49-F238E27FC236}">
                    <a16:creationId xmlns:a16="http://schemas.microsoft.com/office/drawing/2014/main" id="{00000000-0008-0000-1300-00002A3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80000" y="580000"/>
                <a:ext cx="420000" cy="4800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" textlink="">
            <xdr:nvSpPr>
              <xdr:cNvPr id="15403" name="Line 43">
                <a:extLst>
                  <a:ext uri="{FF2B5EF4-FFF2-40B4-BE49-F238E27FC236}">
                    <a16:creationId xmlns:a16="http://schemas.microsoft.com/office/drawing/2014/main" id="{00000000-0008-0000-1300-00002B3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40000" y="260000"/>
                <a:ext cx="0" cy="342000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5404" name="Line 44">
                <a:extLst>
                  <a:ext uri="{FF2B5EF4-FFF2-40B4-BE49-F238E27FC236}">
                    <a16:creationId xmlns:a16="http://schemas.microsoft.com/office/drawing/2014/main" id="{00000000-0008-0000-1300-00002C3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40000" y="1820000"/>
                <a:ext cx="1640000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Dot"/>
                <a:round/>
                <a:headEnd/>
                <a:tailEnd/>
              </a:ln>
            </xdr:spPr>
          </xdr:sp>
          <xdr:sp macro="" textlink="">
            <xdr:nvSpPr>
              <xdr:cNvPr id="15405" name="Line 45">
                <a:extLst>
                  <a:ext uri="{FF2B5EF4-FFF2-40B4-BE49-F238E27FC236}">
                    <a16:creationId xmlns:a16="http://schemas.microsoft.com/office/drawing/2014/main" id="{00000000-0008-0000-1300-00002D3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280000" y="1460000"/>
                <a:ext cx="28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406" name="Line 46">
                <a:extLst>
                  <a:ext uri="{FF2B5EF4-FFF2-40B4-BE49-F238E27FC236}">
                    <a16:creationId xmlns:a16="http://schemas.microsoft.com/office/drawing/2014/main" id="{00000000-0008-0000-1300-00002E3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20000" y="1460000"/>
                <a:ext cx="20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407" name="Line 47">
                <a:extLst>
                  <a:ext uri="{FF2B5EF4-FFF2-40B4-BE49-F238E27FC236}">
                    <a16:creationId xmlns:a16="http://schemas.microsoft.com/office/drawing/2014/main" id="{00000000-0008-0000-1300-00002F3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00000" y="3420000"/>
                <a:ext cx="66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408" name="Line 48">
                <a:extLst>
                  <a:ext uri="{FF2B5EF4-FFF2-40B4-BE49-F238E27FC236}">
                    <a16:creationId xmlns:a16="http://schemas.microsoft.com/office/drawing/2014/main" id="{00000000-0008-0000-1300-0000303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00000" y="480000"/>
                <a:ext cx="64000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409" name="Line 49">
                <a:extLst>
                  <a:ext uri="{FF2B5EF4-FFF2-40B4-BE49-F238E27FC236}">
                    <a16:creationId xmlns:a16="http://schemas.microsoft.com/office/drawing/2014/main" id="{00000000-0008-0000-1300-0000313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2080000" y="2720000"/>
                <a:ext cx="0" cy="42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410" name="Line 50">
                <a:extLst>
                  <a:ext uri="{FF2B5EF4-FFF2-40B4-BE49-F238E27FC236}">
                    <a16:creationId xmlns:a16="http://schemas.microsoft.com/office/drawing/2014/main" id="{00000000-0008-0000-1300-0000323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080000" y="3500000"/>
                <a:ext cx="0" cy="18000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grpSp>
            <xdr:nvGrpSpPr>
              <xdr:cNvPr id="15411" name="Group 51">
                <a:extLst>
                  <a:ext uri="{FF2B5EF4-FFF2-40B4-BE49-F238E27FC236}">
                    <a16:creationId xmlns:a16="http://schemas.microsoft.com/office/drawing/2014/main" id="{00000000-0008-0000-1300-0000333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60000" y="2260000"/>
                <a:ext cx="2520000" cy="2140000"/>
                <a:chOff x="160000" y="2260000"/>
                <a:chExt cx="2520000" cy="2140000"/>
              </a:xfrm>
            </xdr:grpSpPr>
            <xdr:sp macro="" textlink="">
              <xdr:nvSpPr>
                <xdr:cNvPr id="15412" name="Текст 1888">
                  <a:extLst>
                    <a:ext uri="{FF2B5EF4-FFF2-40B4-BE49-F238E27FC236}">
                      <a16:creationId xmlns:a16="http://schemas.microsoft.com/office/drawing/2014/main" id="{00000000-0008-0000-1300-0000343C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2000000" y="2260000"/>
                  <a:ext cx="680000" cy="420000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18288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000" b="0" i="0" u="none" strike="noStrike" baseline="0">
                      <a:solidFill>
                        <a:srgbClr val="0000FF"/>
                      </a:solidFill>
                      <a:latin typeface="Arial Cyr"/>
                      <a:cs typeface="Arial Cyr"/>
                    </a:rPr>
                    <a:t>b - s</a:t>
                  </a:r>
                </a:p>
              </xdr:txBody>
            </xdr:sp>
            <xdr:sp macro="" textlink="">
              <xdr:nvSpPr>
                <xdr:cNvPr id="15413" name="Текст 1889">
                  <a:extLst>
                    <a:ext uri="{FF2B5EF4-FFF2-40B4-BE49-F238E27FC236}">
                      <a16:creationId xmlns:a16="http://schemas.microsoft.com/office/drawing/2014/main" id="{00000000-0008-0000-1300-0000353C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2180000" y="2540000"/>
                  <a:ext cx="300000" cy="420000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18288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000" b="0" i="0" u="none" strike="noStrike" baseline="0">
                      <a:solidFill>
                        <a:srgbClr val="0000FF"/>
                      </a:solidFill>
                      <a:latin typeface="Arial Cyr"/>
                      <a:cs typeface="Arial Cyr"/>
                    </a:rPr>
                    <a:t>4</a:t>
                  </a:r>
                </a:p>
              </xdr:txBody>
            </xdr:sp>
            <xdr:sp macro="" textlink="">
              <xdr:nvSpPr>
                <xdr:cNvPr id="15414" name="Line 54">
                  <a:extLst>
                    <a:ext uri="{FF2B5EF4-FFF2-40B4-BE49-F238E27FC236}">
                      <a16:creationId xmlns:a16="http://schemas.microsoft.com/office/drawing/2014/main" id="{00000000-0008-0000-1300-0000363C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2040000" y="2560000"/>
                  <a:ext cx="560000" cy="0"/>
                </a:xfrm>
                <a:prstGeom prst="line">
                  <a:avLst/>
                </a:prstGeom>
                <a:noFill/>
                <a:ln w="9525">
                  <a:solidFill>
                    <a:srgbClr val="00008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5419" name="Текст 59">
                  <a:extLst>
                    <a:ext uri="{FF2B5EF4-FFF2-40B4-BE49-F238E27FC236}">
                      <a16:creationId xmlns:a16="http://schemas.microsoft.com/office/drawing/2014/main" id="{00000000-0008-0000-1300-00003B3C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60000" y="3900000"/>
                  <a:ext cx="560000" cy="500000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200" b="1" i="0" u="none" strike="noStrike" baseline="0">
                      <a:solidFill>
                        <a:srgbClr val="800000"/>
                      </a:solidFill>
                      <a:latin typeface="Arial Cyr"/>
                      <a:cs typeface="Arial Cyr"/>
                    </a:rPr>
                    <a:t>11</a:t>
                  </a:r>
                </a:p>
              </xdr:txBody>
            </xdr:sp>
          </xdr:grp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3</xdr:row>
          <xdr:rowOff>0</xdr:rowOff>
        </xdr:from>
        <xdr:to>
          <xdr:col>20</xdr:col>
          <xdr:colOff>66675</xdr:colOff>
          <xdr:row>4</xdr:row>
          <xdr:rowOff>19050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4</xdr:row>
          <xdr:rowOff>76200</xdr:rowOff>
        </xdr:from>
        <xdr:to>
          <xdr:col>16</xdr:col>
          <xdr:colOff>200025</xdr:colOff>
          <xdr:row>5</xdr:row>
          <xdr:rowOff>95250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0</xdr:row>
          <xdr:rowOff>57150</xdr:rowOff>
        </xdr:from>
        <xdr:to>
          <xdr:col>16</xdr:col>
          <xdr:colOff>95250</xdr:colOff>
          <xdr:row>1</xdr:row>
          <xdr:rowOff>19050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3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</xdr:row>
          <xdr:rowOff>95250</xdr:rowOff>
        </xdr:from>
        <xdr:to>
          <xdr:col>15</xdr:col>
          <xdr:colOff>95250</xdr:colOff>
          <xdr:row>11</xdr:row>
          <xdr:rowOff>95250</xdr:rowOff>
        </xdr:to>
        <xdr:sp macro="" textlink="">
          <xdr:nvSpPr>
            <xdr:cNvPr id="16386" name="List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4</xdr:row>
          <xdr:rowOff>114300</xdr:rowOff>
        </xdr:from>
        <xdr:to>
          <xdr:col>17</xdr:col>
          <xdr:colOff>209550</xdr:colOff>
          <xdr:row>9</xdr:row>
          <xdr:rowOff>76200</xdr:rowOff>
        </xdr:to>
        <xdr:sp macro="" textlink="">
          <xdr:nvSpPr>
            <xdr:cNvPr id="16389" name="List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</xdr:row>
          <xdr:rowOff>95250</xdr:rowOff>
        </xdr:from>
        <xdr:to>
          <xdr:col>19</xdr:col>
          <xdr:colOff>304800</xdr:colOff>
          <xdr:row>14</xdr:row>
          <xdr:rowOff>9525</xdr:rowOff>
        </xdr:to>
        <xdr:sp macro="" textlink="">
          <xdr:nvSpPr>
            <xdr:cNvPr id="16390" name="List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76200</xdr:colOff>
      <xdr:row>0</xdr:row>
      <xdr:rowOff>38100</xdr:rowOff>
    </xdr:from>
    <xdr:ext cx="266700" cy="238125"/>
    <xdr:sp macro="" textlink="">
      <xdr:nvSpPr>
        <xdr:cNvPr id="17449" name="Текст 41">
          <a:extLst>
            <a:ext uri="{FF2B5EF4-FFF2-40B4-BE49-F238E27FC236}">
              <a16:creationId xmlns:a16="http://schemas.microsoft.com/office/drawing/2014/main" id="{00000000-0008-0000-1600-000029440000}"/>
            </a:ext>
          </a:extLst>
        </xdr:cNvPr>
        <xdr:cNvSpPr txBox="1">
          <a:spLocks noChangeArrowheads="1"/>
        </xdr:cNvSpPr>
      </xdr:nvSpPr>
      <xdr:spPr bwMode="auto">
        <a:xfrm>
          <a:off x="266700" y="38100"/>
          <a:ext cx="2667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ru-RU" sz="1200" b="1" i="0" u="none" strike="noStrike" baseline="0">
              <a:solidFill>
                <a:srgbClr val="800000"/>
              </a:solidFill>
              <a:latin typeface="Arial Cyr"/>
              <a:cs typeface="Arial Cyr"/>
            </a:rPr>
            <a:t>12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85725</xdr:colOff>
          <xdr:row>6</xdr:row>
          <xdr:rowOff>19050</xdr:rowOff>
        </xdr:from>
        <xdr:to>
          <xdr:col>3</xdr:col>
          <xdr:colOff>133350</xdr:colOff>
          <xdr:row>13</xdr:row>
          <xdr:rowOff>85725</xdr:rowOff>
        </xdr:to>
        <xdr:sp macro="" textlink="">
          <xdr:nvSpPr>
            <xdr:cNvPr id="17434" name="List Box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16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6</xdr:row>
          <xdr:rowOff>47625</xdr:rowOff>
        </xdr:from>
        <xdr:to>
          <xdr:col>6</xdr:col>
          <xdr:colOff>142875</xdr:colOff>
          <xdr:row>10</xdr:row>
          <xdr:rowOff>95250</xdr:rowOff>
        </xdr:to>
        <xdr:sp macro="" textlink="">
          <xdr:nvSpPr>
            <xdr:cNvPr id="17435" name="List Box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1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6</xdr:row>
          <xdr:rowOff>9525</xdr:rowOff>
        </xdr:from>
        <xdr:to>
          <xdr:col>9</xdr:col>
          <xdr:colOff>152400</xdr:colOff>
          <xdr:row>13</xdr:row>
          <xdr:rowOff>76200</xdr:rowOff>
        </xdr:to>
        <xdr:sp macro="" textlink="">
          <xdr:nvSpPr>
            <xdr:cNvPr id="17436" name="List Box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1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85725</xdr:colOff>
          <xdr:row>6</xdr:row>
          <xdr:rowOff>19050</xdr:rowOff>
        </xdr:from>
        <xdr:to>
          <xdr:col>14</xdr:col>
          <xdr:colOff>95250</xdr:colOff>
          <xdr:row>13</xdr:row>
          <xdr:rowOff>85725</xdr:rowOff>
        </xdr:to>
        <xdr:sp macro="" textlink="">
          <xdr:nvSpPr>
            <xdr:cNvPr id="17437" name="List Box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1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6</xdr:row>
          <xdr:rowOff>66675</xdr:rowOff>
        </xdr:from>
        <xdr:to>
          <xdr:col>17</xdr:col>
          <xdr:colOff>200025</xdr:colOff>
          <xdr:row>11</xdr:row>
          <xdr:rowOff>19050</xdr:rowOff>
        </xdr:to>
        <xdr:sp macro="" textlink="">
          <xdr:nvSpPr>
            <xdr:cNvPr id="17438" name="List Box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16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57150</xdr:colOff>
          <xdr:row>6</xdr:row>
          <xdr:rowOff>9525</xdr:rowOff>
        </xdr:from>
        <xdr:to>
          <xdr:col>20</xdr:col>
          <xdr:colOff>133350</xdr:colOff>
          <xdr:row>13</xdr:row>
          <xdr:rowOff>76200</xdr:rowOff>
        </xdr:to>
        <xdr:sp macro="" textlink="">
          <xdr:nvSpPr>
            <xdr:cNvPr id="17439" name="List Box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16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0</xdr:row>
          <xdr:rowOff>57150</xdr:rowOff>
        </xdr:from>
        <xdr:to>
          <xdr:col>16</xdr:col>
          <xdr:colOff>285750</xdr:colOff>
          <xdr:row>0</xdr:row>
          <xdr:rowOff>190500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16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15</xdr:row>
          <xdr:rowOff>47625</xdr:rowOff>
        </xdr:from>
        <xdr:to>
          <xdr:col>3</xdr:col>
          <xdr:colOff>304800</xdr:colOff>
          <xdr:row>26</xdr:row>
          <xdr:rowOff>28575</xdr:rowOff>
        </xdr:to>
        <xdr:sp macro="" textlink="">
          <xdr:nvSpPr>
            <xdr:cNvPr id="18433" name="List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15</xdr:row>
          <xdr:rowOff>38100</xdr:rowOff>
        </xdr:from>
        <xdr:to>
          <xdr:col>8</xdr:col>
          <xdr:colOff>38100</xdr:colOff>
          <xdr:row>27</xdr:row>
          <xdr:rowOff>0</xdr:rowOff>
        </xdr:to>
        <xdr:sp macro="" textlink="">
          <xdr:nvSpPr>
            <xdr:cNvPr id="18434" name="List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15</xdr:row>
          <xdr:rowOff>85725</xdr:rowOff>
        </xdr:from>
        <xdr:to>
          <xdr:col>11</xdr:col>
          <xdr:colOff>247650</xdr:colOff>
          <xdr:row>25</xdr:row>
          <xdr:rowOff>104775</xdr:rowOff>
        </xdr:to>
        <xdr:sp macro="" textlink="">
          <xdr:nvSpPr>
            <xdr:cNvPr id="18435" name="List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7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247650</xdr:colOff>
      <xdr:row>0</xdr:row>
      <xdr:rowOff>57150</xdr:rowOff>
    </xdr:from>
    <xdr:ext cx="266700" cy="238125"/>
    <xdr:sp macro="" textlink="">
      <xdr:nvSpPr>
        <xdr:cNvPr id="19471" name="Текст 15">
          <a:extLst>
            <a:ext uri="{FF2B5EF4-FFF2-40B4-BE49-F238E27FC236}">
              <a16:creationId xmlns:a16="http://schemas.microsoft.com/office/drawing/2014/main" id="{00000000-0008-0000-1800-00000F4C0000}"/>
            </a:ext>
          </a:extLst>
        </xdr:cNvPr>
        <xdr:cNvSpPr txBox="1">
          <a:spLocks noChangeArrowheads="1"/>
        </xdr:cNvSpPr>
      </xdr:nvSpPr>
      <xdr:spPr bwMode="auto">
        <a:xfrm>
          <a:off x="457200" y="57150"/>
          <a:ext cx="2667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ru-RU" sz="1200" b="1" i="0" u="none" strike="noStrike" baseline="0">
              <a:solidFill>
                <a:srgbClr val="800000"/>
              </a:solidFill>
              <a:latin typeface="Arial Cyr"/>
              <a:cs typeface="Arial Cyr"/>
            </a:rPr>
            <a:t>13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6</xdr:row>
          <xdr:rowOff>38100</xdr:rowOff>
        </xdr:from>
        <xdr:to>
          <xdr:col>3</xdr:col>
          <xdr:colOff>171450</xdr:colOff>
          <xdr:row>16</xdr:row>
          <xdr:rowOff>19050</xdr:rowOff>
        </xdr:to>
        <xdr:sp macro="" textlink="">
          <xdr:nvSpPr>
            <xdr:cNvPr id="19458" name="List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6</xdr:row>
          <xdr:rowOff>19050</xdr:rowOff>
        </xdr:from>
        <xdr:to>
          <xdr:col>8</xdr:col>
          <xdr:colOff>152400</xdr:colOff>
          <xdr:row>16</xdr:row>
          <xdr:rowOff>0</xdr:rowOff>
        </xdr:to>
        <xdr:sp macro="" textlink="">
          <xdr:nvSpPr>
            <xdr:cNvPr id="19459" name="List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8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5</xdr:row>
          <xdr:rowOff>19050</xdr:rowOff>
        </xdr:from>
        <xdr:to>
          <xdr:col>14</xdr:col>
          <xdr:colOff>123825</xdr:colOff>
          <xdr:row>15</xdr:row>
          <xdr:rowOff>85725</xdr:rowOff>
        </xdr:to>
        <xdr:sp macro="" textlink="">
          <xdr:nvSpPr>
            <xdr:cNvPr id="19460" name="List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8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57150</xdr:colOff>
          <xdr:row>5</xdr:row>
          <xdr:rowOff>19050</xdr:rowOff>
        </xdr:from>
        <xdr:to>
          <xdr:col>19</xdr:col>
          <xdr:colOff>171450</xdr:colOff>
          <xdr:row>15</xdr:row>
          <xdr:rowOff>85725</xdr:rowOff>
        </xdr:to>
        <xdr:sp macro="" textlink="">
          <xdr:nvSpPr>
            <xdr:cNvPr id="19461" name="List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18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0</xdr:row>
          <xdr:rowOff>47625</xdr:rowOff>
        </xdr:from>
        <xdr:to>
          <xdr:col>16</xdr:col>
          <xdr:colOff>28575</xdr:colOff>
          <xdr:row>0</xdr:row>
          <xdr:rowOff>171450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18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10</xdr:row>
      <xdr:rowOff>85725</xdr:rowOff>
    </xdr:from>
    <xdr:to>
      <xdr:col>12</xdr:col>
      <xdr:colOff>19050</xdr:colOff>
      <xdr:row>11</xdr:row>
      <xdr:rowOff>76200</xdr:rowOff>
    </xdr:to>
    <xdr:sp macro="" textlink="">
      <xdr:nvSpPr>
        <xdr:cNvPr id="20565" name="Rectangle 85">
          <a:extLst>
            <a:ext uri="{FF2B5EF4-FFF2-40B4-BE49-F238E27FC236}">
              <a16:creationId xmlns:a16="http://schemas.microsoft.com/office/drawing/2014/main" id="{00000000-0008-0000-1900-000055500000}"/>
            </a:ext>
          </a:extLst>
        </xdr:cNvPr>
        <xdr:cNvSpPr>
          <a:spLocks noChangeArrowheads="1"/>
        </xdr:cNvSpPr>
      </xdr:nvSpPr>
      <xdr:spPr bwMode="auto">
        <a:xfrm>
          <a:off x="3448050" y="1704975"/>
          <a:ext cx="581025" cy="152400"/>
        </a:xfrm>
        <a:prstGeom prst="rect">
          <a:avLst/>
        </a:prstGeom>
        <a:solidFill>
          <a:srgbClr val="00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4</xdr:col>
      <xdr:colOff>9525</xdr:colOff>
      <xdr:row>10</xdr:row>
      <xdr:rowOff>66675</xdr:rowOff>
    </xdr:from>
    <xdr:to>
      <xdr:col>4</xdr:col>
      <xdr:colOff>628650</xdr:colOff>
      <xdr:row>11</xdr:row>
      <xdr:rowOff>76200</xdr:rowOff>
    </xdr:to>
    <xdr:sp macro="" textlink="">
      <xdr:nvSpPr>
        <xdr:cNvPr id="20502" name="Rectangle 22">
          <a:extLst>
            <a:ext uri="{FF2B5EF4-FFF2-40B4-BE49-F238E27FC236}">
              <a16:creationId xmlns:a16="http://schemas.microsoft.com/office/drawing/2014/main" id="{00000000-0008-0000-1900-000016500000}"/>
            </a:ext>
          </a:extLst>
        </xdr:cNvPr>
        <xdr:cNvSpPr>
          <a:spLocks noChangeArrowheads="1"/>
        </xdr:cNvSpPr>
      </xdr:nvSpPr>
      <xdr:spPr bwMode="auto">
        <a:xfrm>
          <a:off x="1123950" y="1685925"/>
          <a:ext cx="619125" cy="171450"/>
        </a:xfrm>
        <a:prstGeom prst="rect">
          <a:avLst/>
        </a:prstGeom>
        <a:solidFill>
          <a:srgbClr val="FFFF00"/>
        </a:solidFill>
        <a:ln w="1">
          <a:noFill/>
          <a:miter lim="800000"/>
          <a:headEnd/>
          <a:tailEnd/>
        </a:ln>
      </xdr:spPr>
    </xdr:sp>
    <xdr:clientData/>
  </xdr:twoCellAnchor>
  <xdr:twoCellAnchor editAs="absolute">
    <xdr:from>
      <xdr:col>3</xdr:col>
      <xdr:colOff>457200</xdr:colOff>
      <xdr:row>4</xdr:row>
      <xdr:rowOff>76200</xdr:rowOff>
    </xdr:from>
    <xdr:to>
      <xdr:col>5</xdr:col>
      <xdr:colOff>66675</xdr:colOff>
      <xdr:row>10</xdr:row>
      <xdr:rowOff>19050</xdr:rowOff>
    </xdr:to>
    <xdr:sp macro="" textlink="">
      <xdr:nvSpPr>
        <xdr:cNvPr id="20500" name="Oval 20">
          <a:extLst>
            <a:ext uri="{FF2B5EF4-FFF2-40B4-BE49-F238E27FC236}">
              <a16:creationId xmlns:a16="http://schemas.microsoft.com/office/drawing/2014/main" id="{00000000-0008-0000-1900-000014500000}"/>
            </a:ext>
          </a:extLst>
        </xdr:cNvPr>
        <xdr:cNvSpPr>
          <a:spLocks noChangeArrowheads="1"/>
        </xdr:cNvSpPr>
      </xdr:nvSpPr>
      <xdr:spPr bwMode="auto">
        <a:xfrm>
          <a:off x="1066800" y="885825"/>
          <a:ext cx="752475" cy="752475"/>
        </a:xfrm>
        <a:prstGeom prst="ellipse">
          <a:avLst/>
        </a:prstGeom>
        <a:pattFill prst="ltUpDiag">
          <a:fgClr>
            <a:srgbClr val="000000"/>
          </a:fgClr>
          <a:bgClr>
            <a:srgbClr val="FFFFFF"/>
          </a:bgClr>
        </a:pattFill>
        <a:ln w="1714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 editAs="absolute">
    <xdr:from>
      <xdr:col>4</xdr:col>
      <xdr:colOff>314325</xdr:colOff>
      <xdr:row>4</xdr:row>
      <xdr:rowOff>47625</xdr:rowOff>
    </xdr:from>
    <xdr:to>
      <xdr:col>4</xdr:col>
      <xdr:colOff>314325</xdr:colOff>
      <xdr:row>10</xdr:row>
      <xdr:rowOff>47625</xdr:rowOff>
    </xdr:to>
    <xdr:sp macro="" textlink="">
      <xdr:nvSpPr>
        <xdr:cNvPr id="20506" name="Line 26">
          <a:extLst>
            <a:ext uri="{FF2B5EF4-FFF2-40B4-BE49-F238E27FC236}">
              <a16:creationId xmlns:a16="http://schemas.microsoft.com/office/drawing/2014/main" id="{00000000-0008-0000-1900-00001A500000}"/>
            </a:ext>
          </a:extLst>
        </xdr:cNvPr>
        <xdr:cNvSpPr>
          <a:spLocks noChangeShapeType="1"/>
        </xdr:cNvSpPr>
      </xdr:nvSpPr>
      <xdr:spPr bwMode="auto">
        <a:xfrm>
          <a:off x="1428750" y="857250"/>
          <a:ext cx="0" cy="809625"/>
        </a:xfrm>
        <a:prstGeom prst="line">
          <a:avLst/>
        </a:prstGeom>
        <a:noFill/>
        <a:ln w="1">
          <a:solidFill>
            <a:srgbClr val="000000"/>
          </a:solidFill>
          <a:prstDash val="lgDashDot"/>
          <a:round/>
          <a:headEnd/>
          <a:tailEnd/>
        </a:ln>
      </xdr:spPr>
    </xdr:sp>
    <xdr:clientData fPrintsWithSheet="0"/>
  </xdr:twoCellAnchor>
  <xdr:twoCellAnchor editAs="absolute">
    <xdr:from>
      <xdr:col>3</xdr:col>
      <xdr:colOff>457200</xdr:colOff>
      <xdr:row>11</xdr:row>
      <xdr:rowOff>142875</xdr:rowOff>
    </xdr:from>
    <xdr:to>
      <xdr:col>5</xdr:col>
      <xdr:colOff>66675</xdr:colOff>
      <xdr:row>11</xdr:row>
      <xdr:rowOff>142875</xdr:rowOff>
    </xdr:to>
    <xdr:sp macro="" textlink="">
      <xdr:nvSpPr>
        <xdr:cNvPr id="20507" name="Line 27">
          <a:extLst>
            <a:ext uri="{FF2B5EF4-FFF2-40B4-BE49-F238E27FC236}">
              <a16:creationId xmlns:a16="http://schemas.microsoft.com/office/drawing/2014/main" id="{00000000-0008-0000-1900-00001B500000}"/>
            </a:ext>
          </a:extLst>
        </xdr:cNvPr>
        <xdr:cNvSpPr>
          <a:spLocks noChangeShapeType="1"/>
        </xdr:cNvSpPr>
      </xdr:nvSpPr>
      <xdr:spPr bwMode="auto">
        <a:xfrm>
          <a:off x="1066800" y="1924050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</xdr:spPr>
    </xdr:sp>
    <xdr:clientData fPrintsWithSheet="0"/>
  </xdr:twoCellAnchor>
  <xdr:twoCellAnchor editAs="absolute">
    <xdr:from>
      <xdr:col>3</xdr:col>
      <xdr:colOff>457200</xdr:colOff>
      <xdr:row>7</xdr:row>
      <xdr:rowOff>76200</xdr:rowOff>
    </xdr:from>
    <xdr:to>
      <xdr:col>3</xdr:col>
      <xdr:colOff>457200</xdr:colOff>
      <xdr:row>12</xdr:row>
      <xdr:rowOff>114300</xdr:rowOff>
    </xdr:to>
    <xdr:sp macro="" textlink="">
      <xdr:nvSpPr>
        <xdr:cNvPr id="20548" name="Line 68">
          <a:extLst>
            <a:ext uri="{FF2B5EF4-FFF2-40B4-BE49-F238E27FC236}">
              <a16:creationId xmlns:a16="http://schemas.microsoft.com/office/drawing/2014/main" id="{00000000-0008-0000-1900-000044500000}"/>
            </a:ext>
          </a:extLst>
        </xdr:cNvPr>
        <xdr:cNvSpPr>
          <a:spLocks noChangeShapeType="1"/>
        </xdr:cNvSpPr>
      </xdr:nvSpPr>
      <xdr:spPr bwMode="auto">
        <a:xfrm>
          <a:off x="1066800" y="1209675"/>
          <a:ext cx="0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 editAs="absolute">
    <xdr:from>
      <xdr:col>5</xdr:col>
      <xdr:colOff>66675</xdr:colOff>
      <xdr:row>7</xdr:row>
      <xdr:rowOff>95250</xdr:rowOff>
    </xdr:from>
    <xdr:to>
      <xdr:col>5</xdr:col>
      <xdr:colOff>66675</xdr:colOff>
      <xdr:row>12</xdr:row>
      <xdr:rowOff>133350</xdr:rowOff>
    </xdr:to>
    <xdr:sp macro="" textlink="">
      <xdr:nvSpPr>
        <xdr:cNvPr id="20549" name="Line 69">
          <a:extLst>
            <a:ext uri="{FF2B5EF4-FFF2-40B4-BE49-F238E27FC236}">
              <a16:creationId xmlns:a16="http://schemas.microsoft.com/office/drawing/2014/main" id="{00000000-0008-0000-1900-000045500000}"/>
            </a:ext>
          </a:extLst>
        </xdr:cNvPr>
        <xdr:cNvSpPr>
          <a:spLocks noChangeShapeType="1"/>
        </xdr:cNvSpPr>
      </xdr:nvSpPr>
      <xdr:spPr bwMode="auto">
        <a:xfrm>
          <a:off x="1819275" y="1228725"/>
          <a:ext cx="0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 fPrintsWithSheet="0"/>
  </xdr:twoCellAnchor>
  <xdr:twoCellAnchor editAs="absolute">
    <xdr:from>
      <xdr:col>3</xdr:col>
      <xdr:colOff>361950</xdr:colOff>
      <xdr:row>7</xdr:row>
      <xdr:rowOff>133350</xdr:rowOff>
    </xdr:from>
    <xdr:to>
      <xdr:col>5</xdr:col>
      <xdr:colOff>161925</xdr:colOff>
      <xdr:row>7</xdr:row>
      <xdr:rowOff>133350</xdr:rowOff>
    </xdr:to>
    <xdr:sp macro="" textlink="">
      <xdr:nvSpPr>
        <xdr:cNvPr id="20550" name="Line 70">
          <a:extLst>
            <a:ext uri="{FF2B5EF4-FFF2-40B4-BE49-F238E27FC236}">
              <a16:creationId xmlns:a16="http://schemas.microsoft.com/office/drawing/2014/main" id="{00000000-0008-0000-1900-000046500000}"/>
            </a:ext>
          </a:extLst>
        </xdr:cNvPr>
        <xdr:cNvSpPr>
          <a:spLocks noChangeShapeType="1"/>
        </xdr:cNvSpPr>
      </xdr:nvSpPr>
      <xdr:spPr bwMode="auto">
        <a:xfrm>
          <a:off x="971550" y="1266825"/>
          <a:ext cx="942975" cy="0"/>
        </a:xfrm>
        <a:prstGeom prst="line">
          <a:avLst/>
        </a:prstGeom>
        <a:noFill/>
        <a:ln w="1">
          <a:solidFill>
            <a:srgbClr val="000000"/>
          </a:solidFill>
          <a:prstDash val="lgDashDot"/>
          <a:round/>
          <a:headEnd/>
          <a:tailEnd/>
        </a:ln>
      </xdr:spPr>
    </xdr:sp>
    <xdr:clientData fPrintsWithSheet="0"/>
  </xdr:twoCellAnchor>
  <xdr:twoCellAnchor editAs="absolute">
    <xdr:from>
      <xdr:col>10</xdr:col>
      <xdr:colOff>323850</xdr:colOff>
      <xdr:row>3</xdr:row>
      <xdr:rowOff>85725</xdr:rowOff>
    </xdr:from>
    <xdr:to>
      <xdr:col>12</xdr:col>
      <xdr:colOff>209550</xdr:colOff>
      <xdr:row>12</xdr:row>
      <xdr:rowOff>47625</xdr:rowOff>
    </xdr:to>
    <xdr:grpSp>
      <xdr:nvGrpSpPr>
        <xdr:cNvPr id="20563" name="Group 83">
          <a:extLst>
            <a:ext uri="{FF2B5EF4-FFF2-40B4-BE49-F238E27FC236}">
              <a16:creationId xmlns:a16="http://schemas.microsoft.com/office/drawing/2014/main" id="{00000000-0008-0000-1900-000053500000}"/>
            </a:ext>
          </a:extLst>
        </xdr:cNvPr>
        <xdr:cNvGrpSpPr>
          <a:grpSpLocks/>
        </xdr:cNvGrpSpPr>
      </xdr:nvGrpSpPr>
      <xdr:grpSpPr bwMode="auto">
        <a:xfrm>
          <a:off x="3257550" y="733425"/>
          <a:ext cx="962025" cy="1257300"/>
          <a:chOff x="-1919" y="-2974"/>
          <a:chExt cx="20806" cy="264"/>
        </a:xfrm>
      </xdr:grpSpPr>
      <xdr:grpSp>
        <xdr:nvGrpSpPr>
          <xdr:cNvPr id="20559" name="Group 79">
            <a:extLst>
              <a:ext uri="{FF2B5EF4-FFF2-40B4-BE49-F238E27FC236}">
                <a16:creationId xmlns:a16="http://schemas.microsoft.com/office/drawing/2014/main" id="{00000000-0008-0000-1900-00004F500000}"/>
              </a:ext>
            </a:extLst>
          </xdr:cNvPr>
          <xdr:cNvGrpSpPr>
            <a:grpSpLocks/>
          </xdr:cNvGrpSpPr>
        </xdr:nvGrpSpPr>
        <xdr:grpSpPr bwMode="auto">
          <a:xfrm>
            <a:off x="-1919" y="-2974"/>
            <a:ext cx="20806" cy="204"/>
            <a:chOff x="6840000" y="1540000"/>
            <a:chExt cx="2020000" cy="2040000"/>
          </a:xfrm>
        </xdr:grpSpPr>
        <xdr:sp macro="" textlink="">
          <xdr:nvSpPr>
            <xdr:cNvPr id="20556" name="Прямоуг. 76">
              <a:extLst>
                <a:ext uri="{FF2B5EF4-FFF2-40B4-BE49-F238E27FC236}">
                  <a16:creationId xmlns:a16="http://schemas.microsoft.com/office/drawing/2014/main" id="{00000000-0008-0000-1900-00004C5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0000" y="1820000"/>
              <a:ext cx="1460000" cy="1440000"/>
            </a:xfrm>
            <a:prstGeom prst="roundRect">
              <a:avLst>
                <a:gd name="adj" fmla="val 16667"/>
              </a:avLst>
            </a:prstGeom>
            <a:pattFill prst="ltUpDiag">
              <a:fgClr>
                <a:srgbClr val="000000"/>
              </a:fgClr>
              <a:bgClr>
                <a:srgbClr val="FFFFFF"/>
              </a:bgClr>
            </a:pattFill>
            <a:ln w="1714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558" name="Line 78">
              <a:extLst>
                <a:ext uri="{FF2B5EF4-FFF2-40B4-BE49-F238E27FC236}">
                  <a16:creationId xmlns:a16="http://schemas.microsoft.com/office/drawing/2014/main" id="{00000000-0008-0000-1900-00004E5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40000" y="2540000"/>
              <a:ext cx="202000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prstDash val="lgDashDot"/>
              <a:round/>
              <a:headEnd/>
              <a:tailEnd/>
            </a:ln>
          </xdr:spPr>
        </xdr:sp>
        <xdr:sp macro="" textlink="">
          <xdr:nvSpPr>
            <xdr:cNvPr id="20557" name="Line 77">
              <a:extLst>
                <a:ext uri="{FF2B5EF4-FFF2-40B4-BE49-F238E27FC236}">
                  <a16:creationId xmlns:a16="http://schemas.microsoft.com/office/drawing/2014/main" id="{00000000-0008-0000-1900-00004D5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820000" y="1540000"/>
              <a:ext cx="0" cy="204000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prstDash val="lgDashDot"/>
              <a:round/>
              <a:headEnd/>
              <a:tailEnd/>
            </a:ln>
          </xdr:spPr>
        </xdr:sp>
      </xdr:grpSp>
      <xdr:sp macro="" textlink="">
        <xdr:nvSpPr>
          <xdr:cNvPr id="20560" name="Line 80">
            <a:extLst>
              <a:ext uri="{FF2B5EF4-FFF2-40B4-BE49-F238E27FC236}">
                <a16:creationId xmlns:a16="http://schemas.microsoft.com/office/drawing/2014/main" id="{00000000-0008-0000-1900-000050500000}"/>
              </a:ext>
            </a:extLst>
          </xdr:cNvPr>
          <xdr:cNvSpPr>
            <a:spLocks noChangeShapeType="1"/>
          </xdr:cNvSpPr>
        </xdr:nvSpPr>
        <xdr:spPr bwMode="auto">
          <a:xfrm>
            <a:off x="759" y="-2838"/>
            <a:ext cx="0" cy="12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561" name="Line 81">
            <a:extLst>
              <a:ext uri="{FF2B5EF4-FFF2-40B4-BE49-F238E27FC236}">
                <a16:creationId xmlns:a16="http://schemas.microsoft.com/office/drawing/2014/main" id="{00000000-0008-0000-1900-000051500000}"/>
              </a:ext>
            </a:extLst>
          </xdr:cNvPr>
          <xdr:cNvSpPr>
            <a:spLocks noChangeShapeType="1"/>
          </xdr:cNvSpPr>
        </xdr:nvSpPr>
        <xdr:spPr bwMode="auto">
          <a:xfrm>
            <a:off x="16003" y="-2842"/>
            <a:ext cx="0" cy="13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562" name="Line 82">
            <a:extLst>
              <a:ext uri="{FF2B5EF4-FFF2-40B4-BE49-F238E27FC236}">
                <a16:creationId xmlns:a16="http://schemas.microsoft.com/office/drawing/2014/main" id="{00000000-0008-0000-1900-000052500000}"/>
              </a:ext>
            </a:extLst>
          </xdr:cNvPr>
          <xdr:cNvSpPr>
            <a:spLocks noChangeShapeType="1"/>
          </xdr:cNvSpPr>
        </xdr:nvSpPr>
        <xdr:spPr bwMode="auto">
          <a:xfrm>
            <a:off x="965" y="-2722"/>
            <a:ext cx="1503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</xdr:spPr>
      </xdr:sp>
    </xdr:grpSp>
    <xdr:clientData fPrintsWithSheet="0"/>
  </xdr:twoCellAnchor>
  <xdr:twoCellAnchor editAs="absolute">
    <xdr:from>
      <xdr:col>17</xdr:col>
      <xdr:colOff>47625</xdr:colOff>
      <xdr:row>4</xdr:row>
      <xdr:rowOff>57150</xdr:rowOff>
    </xdr:from>
    <xdr:to>
      <xdr:col>17</xdr:col>
      <xdr:colOff>228600</xdr:colOff>
      <xdr:row>8</xdr:row>
      <xdr:rowOff>104775</xdr:rowOff>
    </xdr:to>
    <xdr:sp macro="" textlink="" fLocksText="0">
      <xdr:nvSpPr>
        <xdr:cNvPr id="20598" name="Текст 118">
          <a:extLst>
            <a:ext uri="{FF2B5EF4-FFF2-40B4-BE49-F238E27FC236}">
              <a16:creationId xmlns:a16="http://schemas.microsoft.com/office/drawing/2014/main" id="{00000000-0008-0000-1900-000076500000}"/>
            </a:ext>
          </a:extLst>
        </xdr:cNvPr>
        <xdr:cNvSpPr txBox="1">
          <a:spLocks noChangeArrowheads="1"/>
        </xdr:cNvSpPr>
      </xdr:nvSpPr>
      <xdr:spPr bwMode="auto">
        <a:xfrm>
          <a:off x="5219700" y="866775"/>
          <a:ext cx="180975" cy="53340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51,96 мм</a:t>
          </a:r>
        </a:p>
      </xdr:txBody>
    </xdr:sp>
    <xdr:clientData fPrintsWithSheet="0"/>
  </xdr:twoCellAnchor>
  <xdr:twoCellAnchor editAs="absolute">
    <xdr:from>
      <xdr:col>18</xdr:col>
      <xdr:colOff>66675</xdr:colOff>
      <xdr:row>10</xdr:row>
      <xdr:rowOff>76200</xdr:rowOff>
    </xdr:from>
    <xdr:to>
      <xdr:col>18</xdr:col>
      <xdr:colOff>657225</xdr:colOff>
      <xdr:row>11</xdr:row>
      <xdr:rowOff>95250</xdr:rowOff>
    </xdr:to>
    <xdr:sp macro="" textlink="" fLocksText="0">
      <xdr:nvSpPr>
        <xdr:cNvPr id="20599" name="Текст 119">
          <a:extLst>
            <a:ext uri="{FF2B5EF4-FFF2-40B4-BE49-F238E27FC236}">
              <a16:creationId xmlns:a16="http://schemas.microsoft.com/office/drawing/2014/main" id="{00000000-0008-0000-1900-000077500000}"/>
            </a:ext>
          </a:extLst>
        </xdr:cNvPr>
        <xdr:cNvSpPr txBox="1">
          <a:spLocks noChangeArrowheads="1"/>
        </xdr:cNvSpPr>
      </xdr:nvSpPr>
      <xdr:spPr bwMode="auto">
        <a:xfrm>
          <a:off x="5676900" y="1695450"/>
          <a:ext cx="590550" cy="1809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a = 90 </a:t>
          </a: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мм</a:t>
          </a:r>
        </a:p>
      </xdr:txBody>
    </xdr:sp>
    <xdr:clientData fPrintsWithSheet="0"/>
  </xdr:twoCellAnchor>
  <xdr:twoCellAnchor editAs="absolute">
    <xdr:from>
      <xdr:col>17</xdr:col>
      <xdr:colOff>238125</xdr:colOff>
      <xdr:row>3</xdr:row>
      <xdr:rowOff>38100</xdr:rowOff>
    </xdr:from>
    <xdr:to>
      <xdr:col>19</xdr:col>
      <xdr:colOff>200025</xdr:colOff>
      <xdr:row>12</xdr:row>
      <xdr:rowOff>66675</xdr:rowOff>
    </xdr:to>
    <xdr:grpSp>
      <xdr:nvGrpSpPr>
        <xdr:cNvPr id="20603" name="Group 123">
          <a:extLst>
            <a:ext uri="{FF2B5EF4-FFF2-40B4-BE49-F238E27FC236}">
              <a16:creationId xmlns:a16="http://schemas.microsoft.com/office/drawing/2014/main" id="{00000000-0008-0000-1900-00007B500000}"/>
            </a:ext>
          </a:extLst>
        </xdr:cNvPr>
        <xdr:cNvGrpSpPr>
          <a:grpSpLocks/>
        </xdr:cNvGrpSpPr>
      </xdr:nvGrpSpPr>
      <xdr:grpSpPr bwMode="auto">
        <a:xfrm>
          <a:off x="5410200" y="685800"/>
          <a:ext cx="1066800" cy="1323975"/>
          <a:chOff x="-4332" y="-2927"/>
          <a:chExt cx="22848" cy="139"/>
        </a:xfrm>
      </xdr:grpSpPr>
      <xdr:grpSp>
        <xdr:nvGrpSpPr>
          <xdr:cNvPr id="20594" name="Group 114">
            <a:extLst>
              <a:ext uri="{FF2B5EF4-FFF2-40B4-BE49-F238E27FC236}">
                <a16:creationId xmlns:a16="http://schemas.microsoft.com/office/drawing/2014/main" id="{00000000-0008-0000-1900-000072500000}"/>
              </a:ext>
            </a:extLst>
          </xdr:cNvPr>
          <xdr:cNvGrpSpPr>
            <a:grpSpLocks/>
          </xdr:cNvGrpSpPr>
        </xdr:nvGrpSpPr>
        <xdr:grpSpPr bwMode="auto">
          <a:xfrm>
            <a:off x="-2496" y="-2927"/>
            <a:ext cx="21012" cy="139"/>
            <a:chOff x="11540000" y="1440000"/>
            <a:chExt cx="2060000" cy="2780000"/>
          </a:xfrm>
        </xdr:grpSpPr>
        <xdr:grpSp>
          <xdr:nvGrpSpPr>
            <xdr:cNvPr id="20590" name="Group 110">
              <a:extLst>
                <a:ext uri="{FF2B5EF4-FFF2-40B4-BE49-F238E27FC236}">
                  <a16:creationId xmlns:a16="http://schemas.microsoft.com/office/drawing/2014/main" id="{00000000-0008-0000-1900-00006E5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1540000" y="1440000"/>
              <a:ext cx="2060000" cy="1980000"/>
              <a:chOff x="11540000" y="1440000"/>
              <a:chExt cx="2060000" cy="1980000"/>
            </a:xfrm>
          </xdr:grpSpPr>
          <xdr:grpSp>
            <xdr:nvGrpSpPr>
              <xdr:cNvPr id="20589" name="Group 109">
                <a:extLst>
                  <a:ext uri="{FF2B5EF4-FFF2-40B4-BE49-F238E27FC236}">
                    <a16:creationId xmlns:a16="http://schemas.microsoft.com/office/drawing/2014/main" id="{00000000-0008-0000-1900-00006D5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1540000" y="1540000"/>
                <a:ext cx="2060000" cy="1720000"/>
                <a:chOff x="11540000" y="1540000"/>
                <a:chExt cx="2060000" cy="1720000"/>
              </a:xfrm>
            </xdr:grpSpPr>
            <xdr:sp macro="" textlink="">
              <xdr:nvSpPr>
                <xdr:cNvPr id="20586" name="Объект 106">
                  <a:extLst>
                    <a:ext uri="{FF2B5EF4-FFF2-40B4-BE49-F238E27FC236}">
                      <a16:creationId xmlns:a16="http://schemas.microsoft.com/office/drawing/2014/main" id="{00000000-0008-0000-1900-00006A5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820000" y="1540000"/>
                  <a:ext cx="1500000" cy="1720000"/>
                </a:xfrm>
                <a:custGeom>
                  <a:avLst/>
                  <a:gdLst/>
                  <a:ahLst/>
                  <a:cxnLst>
                    <a:cxn ang="0">
                      <a:pos x="0" y="4096"/>
                    </a:cxn>
                    <a:cxn ang="0">
                      <a:pos x="8093" y="0"/>
                    </a:cxn>
                    <a:cxn ang="0">
                      <a:pos x="16384" y="4096"/>
                    </a:cxn>
                    <a:cxn ang="0">
                      <a:pos x="16384" y="4267"/>
                    </a:cxn>
                    <a:cxn ang="0">
                      <a:pos x="16384" y="12459"/>
                    </a:cxn>
                    <a:cxn ang="0">
                      <a:pos x="8291" y="16384"/>
                    </a:cxn>
                    <a:cxn ang="0">
                      <a:pos x="0" y="12459"/>
                    </a:cxn>
                    <a:cxn ang="0">
                      <a:pos x="0" y="4096"/>
                    </a:cxn>
                  </a:cxnLst>
                  <a:rect l="0" t="0" r="r" b="b"/>
                  <a:pathLst>
                    <a:path w="16384" h="16384">
                      <a:moveTo>
                        <a:pt x="0" y="4096"/>
                      </a:moveTo>
                      <a:lnTo>
                        <a:pt x="8093" y="0"/>
                      </a:lnTo>
                      <a:lnTo>
                        <a:pt x="16384" y="4096"/>
                      </a:lnTo>
                      <a:lnTo>
                        <a:pt x="16384" y="4267"/>
                      </a:lnTo>
                      <a:lnTo>
                        <a:pt x="16384" y="12459"/>
                      </a:lnTo>
                      <a:lnTo>
                        <a:pt x="8291" y="16384"/>
                      </a:lnTo>
                      <a:lnTo>
                        <a:pt x="0" y="12459"/>
                      </a:lnTo>
                      <a:lnTo>
                        <a:pt x="0" y="4096"/>
                      </a:lnTo>
                      <a:close/>
                    </a:path>
                  </a:pathLst>
                </a:custGeom>
                <a:pattFill prst="ltUpDiag">
                  <a:fgClr>
                    <a:srgbClr val="000000"/>
                  </a:fgClr>
                  <a:bgClr>
                    <a:srgbClr val="FFFFFF"/>
                  </a:bgClr>
                </a:pattFill>
                <a:ln w="17145" cap="flat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87" name="Line 107">
                  <a:extLst>
                    <a:ext uri="{FF2B5EF4-FFF2-40B4-BE49-F238E27FC236}">
                      <a16:creationId xmlns:a16="http://schemas.microsoft.com/office/drawing/2014/main" id="{00000000-0008-0000-1900-00006B5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11540000" y="2400000"/>
                  <a:ext cx="2060000" cy="0"/>
                </a:xfrm>
                <a:prstGeom prst="line">
                  <a:avLst/>
                </a:prstGeom>
                <a:noFill/>
                <a:ln w="1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20588" name="Line 108">
                <a:extLst>
                  <a:ext uri="{FF2B5EF4-FFF2-40B4-BE49-F238E27FC236}">
                    <a16:creationId xmlns:a16="http://schemas.microsoft.com/office/drawing/2014/main" id="{00000000-0008-0000-1900-00006C5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2560000" y="1440000"/>
                <a:ext cx="0" cy="1980000"/>
              </a:xfrm>
              <a:prstGeom prst="line">
                <a:avLst/>
              </a:prstGeom>
              <a:noFill/>
              <a:ln w="1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</xdr:grpSp>
        <xdr:sp macro="" textlink="">
          <xdr:nvSpPr>
            <xdr:cNvPr id="20591" name="Line 111">
              <a:extLst>
                <a:ext uri="{FF2B5EF4-FFF2-40B4-BE49-F238E27FC236}">
                  <a16:creationId xmlns:a16="http://schemas.microsoft.com/office/drawing/2014/main" id="{00000000-0008-0000-1900-00006F5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800000" y="2720000"/>
              <a:ext cx="0" cy="150000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592" name="Line 112">
              <a:extLst>
                <a:ext uri="{FF2B5EF4-FFF2-40B4-BE49-F238E27FC236}">
                  <a16:creationId xmlns:a16="http://schemas.microsoft.com/office/drawing/2014/main" id="{00000000-0008-0000-1900-0000705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3320000" y="2720000"/>
              <a:ext cx="0" cy="150000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593" name="Line 113">
              <a:extLst>
                <a:ext uri="{FF2B5EF4-FFF2-40B4-BE49-F238E27FC236}">
                  <a16:creationId xmlns:a16="http://schemas.microsoft.com/office/drawing/2014/main" id="{00000000-0008-0000-1900-0000715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800000" y="4120000"/>
              <a:ext cx="150000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med" len="med"/>
              <a:tailEnd type="arrow" w="med" len="med"/>
            </a:ln>
          </xdr:spPr>
        </xdr:sp>
      </xdr:grpSp>
      <xdr:sp macro="" textlink="">
        <xdr:nvSpPr>
          <xdr:cNvPr id="20600" name="Line 120">
            <a:extLst>
              <a:ext uri="{FF2B5EF4-FFF2-40B4-BE49-F238E27FC236}">
                <a16:creationId xmlns:a16="http://schemas.microsoft.com/office/drawing/2014/main" id="{00000000-0008-0000-1900-0000785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332" y="-2902"/>
            <a:ext cx="469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601" name="Line 121">
            <a:extLst>
              <a:ext uri="{FF2B5EF4-FFF2-40B4-BE49-F238E27FC236}">
                <a16:creationId xmlns:a16="http://schemas.microsoft.com/office/drawing/2014/main" id="{00000000-0008-0000-1900-0000795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332" y="-2857"/>
            <a:ext cx="469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602" name="Line 122">
            <a:extLst>
              <a:ext uri="{FF2B5EF4-FFF2-40B4-BE49-F238E27FC236}">
                <a16:creationId xmlns:a16="http://schemas.microsoft.com/office/drawing/2014/main" id="{00000000-0008-0000-1900-00007A500000}"/>
              </a:ext>
            </a:extLst>
          </xdr:cNvPr>
          <xdr:cNvSpPr>
            <a:spLocks noChangeShapeType="1"/>
          </xdr:cNvSpPr>
        </xdr:nvSpPr>
        <xdr:spPr bwMode="auto">
          <a:xfrm>
            <a:off x="-2496" y="-2902"/>
            <a:ext cx="0" cy="4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</xdr:spPr>
      </xdr:sp>
    </xdr:grpSp>
    <xdr:clientData fPrintsWithSheet="0"/>
  </xdr:twoCellAnchor>
  <xdr:oneCellAnchor>
    <xdr:from>
      <xdr:col>1</xdr:col>
      <xdr:colOff>219075</xdr:colOff>
      <xdr:row>0</xdr:row>
      <xdr:rowOff>85725</xdr:rowOff>
    </xdr:from>
    <xdr:ext cx="266700" cy="238125"/>
    <xdr:sp macro="" textlink="">
      <xdr:nvSpPr>
        <xdr:cNvPr id="20605" name="Текст 125">
          <a:extLst>
            <a:ext uri="{FF2B5EF4-FFF2-40B4-BE49-F238E27FC236}">
              <a16:creationId xmlns:a16="http://schemas.microsoft.com/office/drawing/2014/main" id="{00000000-0008-0000-1900-00007D500000}"/>
            </a:ext>
          </a:extLst>
        </xdr:cNvPr>
        <xdr:cNvSpPr txBox="1">
          <a:spLocks noChangeArrowheads="1"/>
        </xdr:cNvSpPr>
      </xdr:nvSpPr>
      <xdr:spPr bwMode="auto">
        <a:xfrm>
          <a:off x="314325" y="85725"/>
          <a:ext cx="2667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ru-RU" sz="1200" b="1" i="0" u="none" strike="noStrike" baseline="0">
              <a:solidFill>
                <a:srgbClr val="800000"/>
              </a:solidFill>
              <a:latin typeface="Arial Cyr"/>
              <a:cs typeface="Arial Cyr"/>
            </a:rPr>
            <a:t>14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95250</xdr:colOff>
          <xdr:row>10</xdr:row>
          <xdr:rowOff>57150</xdr:rowOff>
        </xdr:from>
        <xdr:to>
          <xdr:col>12</xdr:col>
          <xdr:colOff>28575</xdr:colOff>
          <xdr:row>11</xdr:row>
          <xdr:rowOff>66675</xdr:rowOff>
        </xdr:to>
        <xdr:sp macro="" textlink="">
          <xdr:nvSpPr>
            <xdr:cNvPr id="20564" name="Label 84" hidden="1">
              <a:extLst>
                <a:ext uri="{63B3BB69-23CF-44E3-9099-C40C66FF867C}">
                  <a14:compatExt spid="_x0000_s20564"/>
                </a:ext>
                <a:ext uri="{FF2B5EF4-FFF2-40B4-BE49-F238E27FC236}">
                  <a16:creationId xmlns:a16="http://schemas.microsoft.com/office/drawing/2014/main" id="{00000000-0008-0000-1900-00005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= 13 мм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10</xdr:row>
          <xdr:rowOff>57150</xdr:rowOff>
        </xdr:from>
        <xdr:to>
          <xdr:col>4</xdr:col>
          <xdr:colOff>504825</xdr:colOff>
          <xdr:row>11</xdr:row>
          <xdr:rowOff>66675</xdr:rowOff>
        </xdr:to>
        <xdr:sp macro="" textlink="">
          <xdr:nvSpPr>
            <xdr:cNvPr id="20501" name="Label 21" hidden="1">
              <a:extLst>
                <a:ext uri="{63B3BB69-23CF-44E3-9099-C40C66FF867C}">
                  <a14:compatExt spid="_x0000_s20501"/>
                </a:ext>
                <a:ext uri="{FF2B5EF4-FFF2-40B4-BE49-F238E27FC236}">
                  <a16:creationId xmlns:a16="http://schemas.microsoft.com/office/drawing/2014/main" id="{00000000-0008-0000-1900-00001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 = 170 мм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</xdr:row>
          <xdr:rowOff>19050</xdr:rowOff>
        </xdr:from>
        <xdr:to>
          <xdr:col>3</xdr:col>
          <xdr:colOff>104775</xdr:colOff>
          <xdr:row>13</xdr:row>
          <xdr:rowOff>0</xdr:rowOff>
        </xdr:to>
        <xdr:sp macro="" textlink="">
          <xdr:nvSpPr>
            <xdr:cNvPr id="20481" name="List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4</xdr:row>
          <xdr:rowOff>0</xdr:rowOff>
        </xdr:from>
        <xdr:to>
          <xdr:col>10</xdr:col>
          <xdr:colOff>19050</xdr:colOff>
          <xdr:row>12</xdr:row>
          <xdr:rowOff>114300</xdr:rowOff>
        </xdr:to>
        <xdr:sp macro="" textlink="">
          <xdr:nvSpPr>
            <xdr:cNvPr id="20482" name="List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9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47625</xdr:colOff>
          <xdr:row>4</xdr:row>
          <xdr:rowOff>0</xdr:rowOff>
        </xdr:from>
        <xdr:to>
          <xdr:col>16</xdr:col>
          <xdr:colOff>228600</xdr:colOff>
          <xdr:row>12</xdr:row>
          <xdr:rowOff>114300</xdr:rowOff>
        </xdr:to>
        <xdr:sp macro="" textlink="">
          <xdr:nvSpPr>
            <xdr:cNvPr id="20487" name="List Box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9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76200</xdr:rowOff>
        </xdr:from>
        <xdr:to>
          <xdr:col>14</xdr:col>
          <xdr:colOff>66675</xdr:colOff>
          <xdr:row>1</xdr:row>
          <xdr:rowOff>0</xdr:rowOff>
        </xdr:to>
        <xdr:sp macro="" textlink="">
          <xdr:nvSpPr>
            <xdr:cNvPr id="20604" name="Button 124" hidden="1">
              <a:extLst>
                <a:ext uri="{63B3BB69-23CF-44E3-9099-C40C66FF867C}">
                  <a14:compatExt spid="_x0000_s20604"/>
                </a:ext>
                <a:ext uri="{FF2B5EF4-FFF2-40B4-BE49-F238E27FC236}">
                  <a16:creationId xmlns:a16="http://schemas.microsoft.com/office/drawing/2014/main" id="{00000000-0008-0000-1900-00007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0</xdr:row>
      <xdr:rowOff>38100</xdr:rowOff>
    </xdr:from>
    <xdr:ext cx="266700" cy="238125"/>
    <xdr:sp macro="" textlink="">
      <xdr:nvSpPr>
        <xdr:cNvPr id="21516" name="Текст 12">
          <a:extLst>
            <a:ext uri="{FF2B5EF4-FFF2-40B4-BE49-F238E27FC236}">
              <a16:creationId xmlns:a16="http://schemas.microsoft.com/office/drawing/2014/main" id="{00000000-0008-0000-1A00-00000C540000}"/>
            </a:ext>
          </a:extLst>
        </xdr:cNvPr>
        <xdr:cNvSpPr txBox="1">
          <a:spLocks noChangeArrowheads="1"/>
        </xdr:cNvSpPr>
      </xdr:nvSpPr>
      <xdr:spPr bwMode="auto">
        <a:xfrm>
          <a:off x="285750" y="38100"/>
          <a:ext cx="2667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ru-RU" sz="1200" b="1" i="0" u="none" strike="noStrike" baseline="0">
              <a:solidFill>
                <a:srgbClr val="800000"/>
              </a:solidFill>
              <a:latin typeface="Arial Cyr"/>
              <a:cs typeface="Arial Cyr"/>
            </a:rPr>
            <a:t>15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6</xdr:row>
          <xdr:rowOff>47625</xdr:rowOff>
        </xdr:from>
        <xdr:to>
          <xdr:col>2</xdr:col>
          <xdr:colOff>390525</xdr:colOff>
          <xdr:row>13</xdr:row>
          <xdr:rowOff>95250</xdr:rowOff>
        </xdr:to>
        <xdr:sp macro="" textlink="">
          <xdr:nvSpPr>
            <xdr:cNvPr id="21505" name="List Box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6</xdr:row>
          <xdr:rowOff>38100</xdr:rowOff>
        </xdr:from>
        <xdr:to>
          <xdr:col>5</xdr:col>
          <xdr:colOff>57150</xdr:colOff>
          <xdr:row>13</xdr:row>
          <xdr:rowOff>95250</xdr:rowOff>
        </xdr:to>
        <xdr:sp macro="" textlink="">
          <xdr:nvSpPr>
            <xdr:cNvPr id="21506" name="List Box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5</xdr:row>
          <xdr:rowOff>219075</xdr:rowOff>
        </xdr:from>
        <xdr:to>
          <xdr:col>8</xdr:col>
          <xdr:colOff>400050</xdr:colOff>
          <xdr:row>14</xdr:row>
          <xdr:rowOff>19050</xdr:rowOff>
        </xdr:to>
        <xdr:sp macro="" textlink="">
          <xdr:nvSpPr>
            <xdr:cNvPr id="21508" name="List Box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A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95250</xdr:colOff>
          <xdr:row>5</xdr:row>
          <xdr:rowOff>219075</xdr:rowOff>
        </xdr:from>
        <xdr:to>
          <xdr:col>10</xdr:col>
          <xdr:colOff>476250</xdr:colOff>
          <xdr:row>14</xdr:row>
          <xdr:rowOff>19050</xdr:rowOff>
        </xdr:to>
        <xdr:sp macro="" textlink="">
          <xdr:nvSpPr>
            <xdr:cNvPr id="21510" name="List Box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A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95250</xdr:colOff>
          <xdr:row>6</xdr:row>
          <xdr:rowOff>9525</xdr:rowOff>
        </xdr:from>
        <xdr:to>
          <xdr:col>14</xdr:col>
          <xdr:colOff>381000</xdr:colOff>
          <xdr:row>13</xdr:row>
          <xdr:rowOff>57150</xdr:rowOff>
        </xdr:to>
        <xdr:sp macro="" textlink="">
          <xdr:nvSpPr>
            <xdr:cNvPr id="21511" name="List Box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1A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104775</xdr:colOff>
          <xdr:row>6</xdr:row>
          <xdr:rowOff>19050</xdr:rowOff>
        </xdr:from>
        <xdr:to>
          <xdr:col>17</xdr:col>
          <xdr:colOff>9525</xdr:colOff>
          <xdr:row>13</xdr:row>
          <xdr:rowOff>76200</xdr:rowOff>
        </xdr:to>
        <xdr:sp macro="" textlink="">
          <xdr:nvSpPr>
            <xdr:cNvPr id="21512" name="List Box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1A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28575</xdr:rowOff>
        </xdr:from>
        <xdr:to>
          <xdr:col>10</xdr:col>
          <xdr:colOff>238125</xdr:colOff>
          <xdr:row>1</xdr:row>
          <xdr:rowOff>66675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1A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47625</xdr:rowOff>
    </xdr:from>
    <xdr:to>
      <xdr:col>5</xdr:col>
      <xdr:colOff>180975</xdr:colOff>
      <xdr:row>7</xdr:row>
      <xdr:rowOff>76200</xdr:rowOff>
    </xdr:to>
    <xdr:grpSp>
      <xdr:nvGrpSpPr>
        <xdr:cNvPr id="22565" name="Group 37">
          <a:extLst>
            <a:ext uri="{FF2B5EF4-FFF2-40B4-BE49-F238E27FC236}">
              <a16:creationId xmlns:a16="http://schemas.microsoft.com/office/drawing/2014/main" id="{00000000-0008-0000-1B00-000025580000}"/>
            </a:ext>
          </a:extLst>
        </xdr:cNvPr>
        <xdr:cNvGrpSpPr>
          <a:grpSpLocks/>
        </xdr:cNvGrpSpPr>
      </xdr:nvGrpSpPr>
      <xdr:grpSpPr bwMode="auto">
        <a:xfrm>
          <a:off x="504825" y="47625"/>
          <a:ext cx="1314450" cy="1276350"/>
          <a:chOff x="12" y="6"/>
          <a:chExt cx="143" cy="134"/>
        </a:xfrm>
      </xdr:grpSpPr>
      <xdr:sp macro="" textlink="">
        <xdr:nvSpPr>
          <xdr:cNvPr id="22534" name="Rectangle 6">
            <a:extLst>
              <a:ext uri="{FF2B5EF4-FFF2-40B4-BE49-F238E27FC236}">
                <a16:creationId xmlns:a16="http://schemas.microsoft.com/office/drawing/2014/main" id="{00000000-0008-0000-1B00-000006580000}"/>
              </a:ext>
            </a:extLst>
          </xdr:cNvPr>
          <xdr:cNvSpPr>
            <a:spLocks noChangeArrowheads="1"/>
          </xdr:cNvSpPr>
        </xdr:nvSpPr>
        <xdr:spPr bwMode="auto">
          <a:xfrm>
            <a:off x="12" y="9"/>
            <a:ext cx="143" cy="131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2536" name="Group 8">
            <a:extLst>
              <a:ext uri="{FF2B5EF4-FFF2-40B4-BE49-F238E27FC236}">
                <a16:creationId xmlns:a16="http://schemas.microsoft.com/office/drawing/2014/main" id="{00000000-0008-0000-1B00-000008580000}"/>
              </a:ext>
            </a:extLst>
          </xdr:cNvPr>
          <xdr:cNvGrpSpPr>
            <a:grpSpLocks/>
          </xdr:cNvGrpSpPr>
        </xdr:nvGrpSpPr>
        <xdr:grpSpPr bwMode="auto">
          <a:xfrm>
            <a:off x="41" y="29"/>
            <a:ext cx="81" cy="81"/>
            <a:chOff x="209" y="122"/>
            <a:chExt cx="74" cy="74"/>
          </a:xfrm>
        </xdr:grpSpPr>
        <xdr:sp macro="" textlink="">
          <xdr:nvSpPr>
            <xdr:cNvPr id="22537" name="AutoShape 9" descr="Светлый диагональный 2">
              <a:extLst>
                <a:ext uri="{FF2B5EF4-FFF2-40B4-BE49-F238E27FC236}">
                  <a16:creationId xmlns:a16="http://schemas.microsoft.com/office/drawing/2014/main" id="{00000000-0008-0000-1B00-0000095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122"/>
              <a:ext cx="74" cy="74"/>
            </a:xfrm>
            <a:prstGeom prst="roundRect">
              <a:avLst>
                <a:gd name="adj" fmla="val 16667"/>
              </a:avLst>
            </a:prstGeom>
            <a:pattFill prst="ltUpDiag">
              <a:fgClr>
                <a:srgbClr val="000000"/>
              </a:fgClr>
              <a:bgClr>
                <a:srgbClr val="FFFFFF"/>
              </a:bgClr>
            </a:patt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538" name="AutoShape 10">
              <a:extLst>
                <a:ext uri="{FF2B5EF4-FFF2-40B4-BE49-F238E27FC236}">
                  <a16:creationId xmlns:a16="http://schemas.microsoft.com/office/drawing/2014/main" id="{00000000-0008-0000-1B00-00000A5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9" y="132"/>
              <a:ext cx="54" cy="54"/>
            </a:xfrm>
            <a:prstGeom prst="roundRect">
              <a:avLst>
                <a:gd name="adj" fmla="val 16667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2539" name="Rectangle 11" descr="Светлый диагональный 1">
            <a:extLst>
              <a:ext uri="{FF2B5EF4-FFF2-40B4-BE49-F238E27FC236}">
                <a16:creationId xmlns:a16="http://schemas.microsoft.com/office/drawing/2014/main" id="{00000000-0008-0000-1B00-00000B580000}"/>
              </a:ext>
            </a:extLst>
          </xdr:cNvPr>
          <xdr:cNvSpPr>
            <a:spLocks noChangeArrowheads="1"/>
          </xdr:cNvSpPr>
        </xdr:nvSpPr>
        <xdr:spPr bwMode="auto">
          <a:xfrm>
            <a:off x="41" y="67"/>
            <a:ext cx="10" cy="6"/>
          </a:xfrm>
          <a:prstGeom prst="rect">
            <a:avLst/>
          </a:prstGeom>
          <a:pattFill prst="ltDnDiag">
            <a:fgClr>
              <a:srgbClr val="000000"/>
            </a:fgClr>
            <a:bgClr>
              <a:srgbClr val="C0C0C0"/>
            </a:bgClr>
          </a:patt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2540" name="Text Box 12">
            <a:extLst>
              <a:ext uri="{FF2B5EF4-FFF2-40B4-BE49-F238E27FC236}">
                <a16:creationId xmlns:a16="http://schemas.microsoft.com/office/drawing/2014/main" id="{00000000-0008-0000-1B00-00000C5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" y="6"/>
            <a:ext cx="17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y</a:t>
            </a:r>
          </a:p>
        </xdr:txBody>
      </xdr:sp>
      <xdr:sp macro="" textlink="">
        <xdr:nvSpPr>
          <xdr:cNvPr id="22541" name="Text Box 13">
            <a:extLst>
              <a:ext uri="{FF2B5EF4-FFF2-40B4-BE49-F238E27FC236}">
                <a16:creationId xmlns:a16="http://schemas.microsoft.com/office/drawing/2014/main" id="{00000000-0008-0000-1B00-00000D5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" y="73"/>
            <a:ext cx="27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="vert270" wrap="none" lIns="27432" tIns="22860" rIns="0" bIns="0" anchor="t" upright="1">
            <a:spAutoFit/>
          </a:bodyPr>
          <a:lstStyle/>
          <a:p>
            <a:pPr algn="r" rtl="0">
              <a:defRPr sz="1000"/>
            </a:pPr>
            <a:r>
              <a:rPr lang="en-US" sz="1200" b="0" i="0" u="none" strike="noStrike" baseline="0">
                <a:solidFill>
                  <a:srgbClr val="0000FF"/>
                </a:solidFill>
                <a:latin typeface="Arial Cyr"/>
                <a:cs typeface="Arial Cyr"/>
              </a:rPr>
              <a:t>b</a:t>
            </a:r>
          </a:p>
        </xdr:txBody>
      </xdr:sp>
      <xdr:sp macro="" textlink="">
        <xdr:nvSpPr>
          <xdr:cNvPr id="22542" name="Text Box 14">
            <a:extLst>
              <a:ext uri="{FF2B5EF4-FFF2-40B4-BE49-F238E27FC236}">
                <a16:creationId xmlns:a16="http://schemas.microsoft.com/office/drawing/2014/main" id="{00000000-0008-0000-1B00-00000E5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" y="51"/>
            <a:ext cx="18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x</a:t>
            </a:r>
          </a:p>
        </xdr:txBody>
      </xdr:sp>
      <xdr:sp macro="" textlink="">
        <xdr:nvSpPr>
          <xdr:cNvPr id="22543" name="Text Box 15">
            <a:extLst>
              <a:ext uri="{FF2B5EF4-FFF2-40B4-BE49-F238E27FC236}">
                <a16:creationId xmlns:a16="http://schemas.microsoft.com/office/drawing/2014/main" id="{00000000-0008-0000-1B00-00000F5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" y="108"/>
            <a:ext cx="17" cy="24"/>
          </a:xfrm>
          <a:prstGeom prst="rect">
            <a:avLst/>
          </a:prstGeom>
          <a:noFill/>
          <a:ln w="0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y</a:t>
            </a:r>
          </a:p>
        </xdr:txBody>
      </xdr:sp>
      <xdr:grpSp>
        <xdr:nvGrpSpPr>
          <xdr:cNvPr id="22544" name="Group 16">
            <a:extLst>
              <a:ext uri="{FF2B5EF4-FFF2-40B4-BE49-F238E27FC236}">
                <a16:creationId xmlns:a16="http://schemas.microsoft.com/office/drawing/2014/main" id="{00000000-0008-0000-1B00-000010580000}"/>
              </a:ext>
            </a:extLst>
          </xdr:cNvPr>
          <xdr:cNvGrpSpPr>
            <a:grpSpLocks/>
          </xdr:cNvGrpSpPr>
        </xdr:nvGrpSpPr>
        <xdr:grpSpPr bwMode="auto">
          <a:xfrm>
            <a:off x="27" y="16"/>
            <a:ext cx="108" cy="107"/>
            <a:chOff x="170" y="101"/>
            <a:chExt cx="170" cy="170"/>
          </a:xfrm>
        </xdr:grpSpPr>
        <xdr:sp macro="" textlink="">
          <xdr:nvSpPr>
            <xdr:cNvPr id="22545" name="Line 17">
              <a:extLst>
                <a:ext uri="{FF2B5EF4-FFF2-40B4-BE49-F238E27FC236}">
                  <a16:creationId xmlns:a16="http://schemas.microsoft.com/office/drawing/2014/main" id="{00000000-0008-0000-1B00-0000115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70" y="187"/>
              <a:ext cx="170" cy="0"/>
            </a:xfrm>
            <a:prstGeom prst="line">
              <a:avLst/>
            </a:prstGeom>
            <a:noFill/>
            <a:ln w="12700">
              <a:solidFill>
                <a:srgbClr val="FF0000"/>
              </a:solidFill>
              <a:prstDash val="lgDash"/>
              <a:round/>
              <a:headEnd/>
              <a:tailEnd/>
            </a:ln>
          </xdr:spPr>
        </xdr:sp>
        <xdr:sp macro="" textlink="">
          <xdr:nvSpPr>
            <xdr:cNvPr id="22546" name="Line 18">
              <a:extLst>
                <a:ext uri="{FF2B5EF4-FFF2-40B4-BE49-F238E27FC236}">
                  <a16:creationId xmlns:a16="http://schemas.microsoft.com/office/drawing/2014/main" id="{00000000-0008-0000-1B00-0000125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6" y="101"/>
              <a:ext cx="0" cy="170"/>
            </a:xfrm>
            <a:prstGeom prst="line">
              <a:avLst/>
            </a:prstGeom>
            <a:noFill/>
            <a:ln w="12700">
              <a:solidFill>
                <a:srgbClr val="FF0000"/>
              </a:solidFill>
              <a:prstDash val="lgDash"/>
              <a:round/>
              <a:headEnd/>
              <a:tailEnd/>
            </a:ln>
          </xdr:spPr>
        </xdr:sp>
      </xdr:grpSp>
      <xdr:grpSp>
        <xdr:nvGrpSpPr>
          <xdr:cNvPr id="22547" name="Group 19">
            <a:extLst>
              <a:ext uri="{FF2B5EF4-FFF2-40B4-BE49-F238E27FC236}">
                <a16:creationId xmlns:a16="http://schemas.microsoft.com/office/drawing/2014/main" id="{00000000-0008-0000-1B00-000013580000}"/>
              </a:ext>
            </a:extLst>
          </xdr:cNvPr>
          <xdr:cNvGrpSpPr>
            <a:grpSpLocks/>
          </xdr:cNvGrpSpPr>
        </xdr:nvGrpSpPr>
        <xdr:grpSpPr bwMode="auto">
          <a:xfrm>
            <a:off x="108" y="29"/>
            <a:ext cx="39" cy="81"/>
            <a:chOff x="295" y="122"/>
            <a:chExt cx="61" cy="129"/>
          </a:xfrm>
        </xdr:grpSpPr>
        <xdr:sp macro="" textlink="">
          <xdr:nvSpPr>
            <xdr:cNvPr id="22548" name="Line 20">
              <a:extLst>
                <a:ext uri="{FF2B5EF4-FFF2-40B4-BE49-F238E27FC236}">
                  <a16:creationId xmlns:a16="http://schemas.microsoft.com/office/drawing/2014/main" id="{00000000-0008-0000-1B00-0000145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6" y="122"/>
              <a:ext cx="6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22549" name="Line 21">
              <a:extLst>
                <a:ext uri="{FF2B5EF4-FFF2-40B4-BE49-F238E27FC236}">
                  <a16:creationId xmlns:a16="http://schemas.microsoft.com/office/drawing/2014/main" id="{00000000-0008-0000-1B00-0000155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5" y="251"/>
              <a:ext cx="6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22550" name="Line 22">
              <a:extLst>
                <a:ext uri="{FF2B5EF4-FFF2-40B4-BE49-F238E27FC236}">
                  <a16:creationId xmlns:a16="http://schemas.microsoft.com/office/drawing/2014/main" id="{00000000-0008-0000-1B00-0000165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49" y="122"/>
              <a:ext cx="0" cy="129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 type="arrow" w="med" len="med"/>
              <a:tailEnd type="arrow" w="med" len="med"/>
            </a:ln>
          </xdr:spPr>
        </xdr:sp>
      </xdr:grpSp>
      <xdr:sp macro="" textlink="">
        <xdr:nvSpPr>
          <xdr:cNvPr id="22552" name="Text Box 24">
            <a:extLst>
              <a:ext uri="{FF2B5EF4-FFF2-40B4-BE49-F238E27FC236}">
                <a16:creationId xmlns:a16="http://schemas.microsoft.com/office/drawing/2014/main" id="{00000000-0008-0000-1B00-0000185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5" y="110"/>
            <a:ext cx="20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FF"/>
                </a:solidFill>
                <a:latin typeface="Arial Cyr"/>
                <a:cs typeface="Arial Cyr"/>
              </a:rPr>
              <a:t>b</a:t>
            </a:r>
          </a:p>
        </xdr:txBody>
      </xdr:sp>
      <xdr:sp macro="" textlink="">
        <xdr:nvSpPr>
          <xdr:cNvPr id="22553" name="Line 25">
            <a:extLst>
              <a:ext uri="{FF2B5EF4-FFF2-40B4-BE49-F238E27FC236}">
                <a16:creationId xmlns:a16="http://schemas.microsoft.com/office/drawing/2014/main" id="{00000000-0008-0000-1B00-00001958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103" y="117"/>
            <a:ext cx="37" cy="0"/>
          </a:xfrm>
          <a:prstGeom prst="line">
            <a:avLst/>
          </a:prstGeom>
          <a:noFill/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2554" name="Line 26">
            <a:extLst>
              <a:ext uri="{FF2B5EF4-FFF2-40B4-BE49-F238E27FC236}">
                <a16:creationId xmlns:a16="http://schemas.microsoft.com/office/drawing/2014/main" id="{00000000-0008-0000-1B00-00001A58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22" y="116"/>
            <a:ext cx="38" cy="0"/>
          </a:xfrm>
          <a:prstGeom prst="line">
            <a:avLst/>
          </a:prstGeom>
          <a:noFill/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2555" name="Line 27">
            <a:extLst>
              <a:ext uri="{FF2B5EF4-FFF2-40B4-BE49-F238E27FC236}">
                <a16:creationId xmlns:a16="http://schemas.microsoft.com/office/drawing/2014/main" id="{00000000-0008-0000-1B00-00001B58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82" y="90"/>
            <a:ext cx="0" cy="79"/>
          </a:xfrm>
          <a:prstGeom prst="line">
            <a:avLst/>
          </a:prstGeom>
          <a:noFill/>
          <a:ln w="9525">
            <a:solidFill>
              <a:srgbClr val="000080"/>
            </a:solidFill>
            <a:round/>
            <a:headEnd type="arrow" w="med" len="med"/>
            <a:tailEnd type="arrow" w="med" len="med"/>
          </a:ln>
        </xdr:spPr>
      </xdr:sp>
      <xdr:sp macro="" textlink="">
        <xdr:nvSpPr>
          <xdr:cNvPr id="22557" name="Text Box 29">
            <a:extLst>
              <a:ext uri="{FF2B5EF4-FFF2-40B4-BE49-F238E27FC236}">
                <a16:creationId xmlns:a16="http://schemas.microsoft.com/office/drawing/2014/main" id="{00000000-0008-0000-1B00-00001D5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4"/>
            <a:ext cx="19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FF"/>
                </a:solidFill>
                <a:latin typeface="Arial Cyr"/>
                <a:cs typeface="Arial Cyr"/>
              </a:rPr>
              <a:t>s</a:t>
            </a:r>
          </a:p>
        </xdr:txBody>
      </xdr:sp>
      <xdr:grpSp>
        <xdr:nvGrpSpPr>
          <xdr:cNvPr id="22558" name="Group 30">
            <a:extLst>
              <a:ext uri="{FF2B5EF4-FFF2-40B4-BE49-F238E27FC236}">
                <a16:creationId xmlns:a16="http://schemas.microsoft.com/office/drawing/2014/main" id="{00000000-0008-0000-1B00-00001E580000}"/>
              </a:ext>
            </a:extLst>
          </xdr:cNvPr>
          <xdr:cNvGrpSpPr>
            <a:grpSpLocks/>
          </xdr:cNvGrpSpPr>
        </xdr:nvGrpSpPr>
        <xdr:grpSpPr bwMode="auto">
          <a:xfrm>
            <a:off x="18" y="55"/>
            <a:ext cx="51" cy="0"/>
            <a:chOff x="155" y="164"/>
            <a:chExt cx="81" cy="0"/>
          </a:xfrm>
        </xdr:grpSpPr>
        <xdr:sp macro="" textlink="">
          <xdr:nvSpPr>
            <xdr:cNvPr id="22559" name="Line 31">
              <a:extLst>
                <a:ext uri="{FF2B5EF4-FFF2-40B4-BE49-F238E27FC236}">
                  <a16:creationId xmlns:a16="http://schemas.microsoft.com/office/drawing/2014/main" id="{00000000-0008-0000-1B00-00001F5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1" y="164"/>
              <a:ext cx="17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22560" name="Line 32">
              <a:extLst>
                <a:ext uri="{FF2B5EF4-FFF2-40B4-BE49-F238E27FC236}">
                  <a16:creationId xmlns:a16="http://schemas.microsoft.com/office/drawing/2014/main" id="{00000000-0008-0000-1B00-0000205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0" y="164"/>
              <a:ext cx="26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2561" name="Line 33">
              <a:extLst>
                <a:ext uri="{FF2B5EF4-FFF2-40B4-BE49-F238E27FC236}">
                  <a16:creationId xmlns:a16="http://schemas.microsoft.com/office/drawing/2014/main" id="{00000000-0008-0000-1B00-0000215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5" y="164"/>
              <a:ext cx="34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 type="arrow" w="med" len="med"/>
            </a:ln>
          </xdr:spPr>
        </xdr:sp>
      </xdr:grpSp>
      <xdr:sp macro="" textlink="">
        <xdr:nvSpPr>
          <xdr:cNvPr id="22562" name="Text Box 34">
            <a:extLst>
              <a:ext uri="{FF2B5EF4-FFF2-40B4-BE49-F238E27FC236}">
                <a16:creationId xmlns:a16="http://schemas.microsoft.com/office/drawing/2014/main" id="{00000000-0008-0000-1B00-0000225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5" y="50"/>
            <a:ext cx="18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x</a:t>
            </a:r>
          </a:p>
        </xdr:txBody>
      </xdr:sp>
      <xdr:sp macro="" textlink="">
        <xdr:nvSpPr>
          <xdr:cNvPr id="22563" name="Text Box 35">
            <a:extLst>
              <a:ext uri="{FF2B5EF4-FFF2-40B4-BE49-F238E27FC236}">
                <a16:creationId xmlns:a16="http://schemas.microsoft.com/office/drawing/2014/main" id="{00000000-0008-0000-1B00-0000235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" y="70"/>
            <a:ext cx="17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FF"/>
                </a:solidFill>
                <a:latin typeface="Arial Cyr"/>
                <a:cs typeface="Arial Cyr"/>
              </a:rPr>
              <a:t>R</a:t>
            </a:r>
          </a:p>
        </xdr:txBody>
      </xdr:sp>
      <xdr:sp macro="" textlink="">
        <xdr:nvSpPr>
          <xdr:cNvPr id="22564" name="Freeform 36">
            <a:extLst>
              <a:ext uri="{FF2B5EF4-FFF2-40B4-BE49-F238E27FC236}">
                <a16:creationId xmlns:a16="http://schemas.microsoft.com/office/drawing/2014/main" id="{00000000-0008-0000-1B00-000024580000}"/>
              </a:ext>
            </a:extLst>
          </xdr:cNvPr>
          <xdr:cNvSpPr>
            <a:spLocks/>
          </xdr:cNvSpPr>
        </xdr:nvSpPr>
        <xdr:spPr bwMode="auto">
          <a:xfrm>
            <a:off x="54" y="86"/>
            <a:ext cx="23" cy="10"/>
          </a:xfrm>
          <a:custGeom>
            <a:avLst/>
            <a:gdLst/>
            <a:ahLst/>
            <a:cxnLst>
              <a:cxn ang="0">
                <a:pos x="0" y="15"/>
              </a:cxn>
              <a:cxn ang="0">
                <a:pos x="9" y="0"/>
              </a:cxn>
              <a:cxn ang="0">
                <a:pos x="37" y="0"/>
              </a:cxn>
            </a:cxnLst>
            <a:rect l="0" t="0" r="r" b="b"/>
            <a:pathLst>
              <a:path w="37" h="15">
                <a:moveTo>
                  <a:pt x="0" y="15"/>
                </a:moveTo>
                <a:lnTo>
                  <a:pt x="9" y="0"/>
                </a:lnTo>
                <a:lnTo>
                  <a:pt x="37" y="0"/>
                </a:lnTo>
              </a:path>
            </a:pathLst>
          </a:custGeom>
          <a:noFill/>
          <a:ln w="9525" cap="flat" cmpd="sng">
            <a:solidFill>
              <a:srgbClr val="000080"/>
            </a:solidFill>
            <a:prstDash val="solid"/>
            <a:round/>
            <a:headEnd type="arrow" w="med" len="med"/>
            <a:tailEnd type="none" w="med" len="med"/>
          </a:ln>
        </xdr:spPr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47625</xdr:rowOff>
        </xdr:from>
        <xdr:to>
          <xdr:col>13</xdr:col>
          <xdr:colOff>228600</xdr:colOff>
          <xdr:row>0</xdr:row>
          <xdr:rowOff>171450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</xdr:row>
          <xdr:rowOff>47625</xdr:rowOff>
        </xdr:from>
        <xdr:to>
          <xdr:col>16</xdr:col>
          <xdr:colOff>76200</xdr:colOff>
          <xdr:row>2</xdr:row>
          <xdr:rowOff>57150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1B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</xdr:row>
          <xdr:rowOff>133350</xdr:rowOff>
        </xdr:from>
        <xdr:to>
          <xdr:col>13</xdr:col>
          <xdr:colOff>142875</xdr:colOff>
          <xdr:row>5</xdr:row>
          <xdr:rowOff>19050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  <a:ext uri="{FF2B5EF4-FFF2-40B4-BE49-F238E27FC236}">
                  <a16:creationId xmlns:a16="http://schemas.microsoft.com/office/drawing/2014/main" id="{00000000-0008-0000-1B00-00002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28575</xdr:rowOff>
    </xdr:from>
    <xdr:to>
      <xdr:col>5</xdr:col>
      <xdr:colOff>133350</xdr:colOff>
      <xdr:row>7</xdr:row>
      <xdr:rowOff>161925</xdr:rowOff>
    </xdr:to>
    <xdr:grpSp>
      <xdr:nvGrpSpPr>
        <xdr:cNvPr id="23647" name="Group 95">
          <a:extLst>
            <a:ext uri="{FF2B5EF4-FFF2-40B4-BE49-F238E27FC236}">
              <a16:creationId xmlns:a16="http://schemas.microsoft.com/office/drawing/2014/main" id="{00000000-0008-0000-1C00-00005F5C0000}"/>
            </a:ext>
          </a:extLst>
        </xdr:cNvPr>
        <xdr:cNvGrpSpPr>
          <a:grpSpLocks/>
        </xdr:cNvGrpSpPr>
      </xdr:nvGrpSpPr>
      <xdr:grpSpPr bwMode="auto">
        <a:xfrm>
          <a:off x="295275" y="28575"/>
          <a:ext cx="1133475" cy="1485900"/>
          <a:chOff x="10" y="17"/>
          <a:chExt cx="137" cy="156"/>
        </a:xfrm>
      </xdr:grpSpPr>
      <xdr:grpSp>
        <xdr:nvGrpSpPr>
          <xdr:cNvPr id="23646" name="Group 94">
            <a:extLst>
              <a:ext uri="{FF2B5EF4-FFF2-40B4-BE49-F238E27FC236}">
                <a16:creationId xmlns:a16="http://schemas.microsoft.com/office/drawing/2014/main" id="{00000000-0008-0000-1C00-00005E5C0000}"/>
              </a:ext>
            </a:extLst>
          </xdr:cNvPr>
          <xdr:cNvGrpSpPr>
            <a:grpSpLocks/>
          </xdr:cNvGrpSpPr>
        </xdr:nvGrpSpPr>
        <xdr:grpSpPr bwMode="auto">
          <a:xfrm>
            <a:off x="10" y="21"/>
            <a:ext cx="137" cy="152"/>
            <a:chOff x="9" y="5"/>
            <a:chExt cx="137" cy="152"/>
          </a:xfrm>
        </xdr:grpSpPr>
        <xdr:grpSp>
          <xdr:nvGrpSpPr>
            <xdr:cNvPr id="23615" name="Group 63">
              <a:extLst>
                <a:ext uri="{FF2B5EF4-FFF2-40B4-BE49-F238E27FC236}">
                  <a16:creationId xmlns:a16="http://schemas.microsoft.com/office/drawing/2014/main" id="{00000000-0008-0000-1C00-00003F5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9" y="5"/>
              <a:ext cx="136" cy="152"/>
              <a:chOff x="301" y="26"/>
              <a:chExt cx="224" cy="251"/>
            </a:xfrm>
          </xdr:grpSpPr>
          <xdr:sp macro="" textlink="">
            <xdr:nvSpPr>
              <xdr:cNvPr id="23616" name="Rectangle 64">
                <a:extLst>
                  <a:ext uri="{FF2B5EF4-FFF2-40B4-BE49-F238E27FC236}">
                    <a16:creationId xmlns:a16="http://schemas.microsoft.com/office/drawing/2014/main" id="{00000000-0008-0000-1C00-0000405C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01" y="26"/>
                <a:ext cx="224" cy="251"/>
              </a:xfrm>
              <a:prstGeom prst="rect">
                <a:avLst/>
              </a:prstGeom>
              <a:solidFill>
                <a:srgbClr val="CCFFCC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grpSp>
            <xdr:nvGrpSpPr>
              <xdr:cNvPr id="23617" name="Group 65">
                <a:extLst>
                  <a:ext uri="{FF2B5EF4-FFF2-40B4-BE49-F238E27FC236}">
                    <a16:creationId xmlns:a16="http://schemas.microsoft.com/office/drawing/2014/main" id="{00000000-0008-0000-1C00-0000415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1" y="40"/>
                <a:ext cx="205" cy="225"/>
                <a:chOff x="311" y="40"/>
                <a:chExt cx="205" cy="225"/>
              </a:xfrm>
            </xdr:grpSpPr>
            <xdr:grpSp>
              <xdr:nvGrpSpPr>
                <xdr:cNvPr id="23618" name="Group 66">
                  <a:extLst>
                    <a:ext uri="{FF2B5EF4-FFF2-40B4-BE49-F238E27FC236}">
                      <a16:creationId xmlns:a16="http://schemas.microsoft.com/office/drawing/2014/main" id="{00000000-0008-0000-1C00-0000425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48" y="54"/>
                  <a:ext cx="129" cy="169"/>
                  <a:chOff x="521" y="84"/>
                  <a:chExt cx="129" cy="169"/>
                </a:xfrm>
              </xdr:grpSpPr>
              <xdr:sp macro="" textlink="">
                <xdr:nvSpPr>
                  <xdr:cNvPr id="23619" name="AutoShape 67" descr="Светлый диагональный 2">
                    <a:extLst>
                      <a:ext uri="{FF2B5EF4-FFF2-40B4-BE49-F238E27FC236}">
                        <a16:creationId xmlns:a16="http://schemas.microsoft.com/office/drawing/2014/main" id="{00000000-0008-0000-1C00-0000435C0000}"/>
                      </a:ext>
                    </a:extLst>
                  </xdr:cNvPr>
                  <xdr:cNvSpPr>
                    <a:spLocks noChangeArrowheads="1"/>
                  </xdr:cNvSpPr>
                </xdr:nvSpPr>
                <xdr:spPr bwMode="auto">
                  <a:xfrm>
                    <a:off x="521" y="84"/>
                    <a:ext cx="129" cy="169"/>
                  </a:xfrm>
                  <a:prstGeom prst="roundRect">
                    <a:avLst>
                      <a:gd name="adj" fmla="val 16667"/>
                    </a:avLst>
                  </a:prstGeom>
                  <a:pattFill prst="ltUp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3620" name="AutoShape 68">
                    <a:extLst>
                      <a:ext uri="{FF2B5EF4-FFF2-40B4-BE49-F238E27FC236}">
                        <a16:creationId xmlns:a16="http://schemas.microsoft.com/office/drawing/2014/main" id="{00000000-0008-0000-1C00-0000445C0000}"/>
                      </a:ext>
                    </a:extLst>
                  </xdr:cNvPr>
                  <xdr:cNvSpPr>
                    <a:spLocks noChangeArrowheads="1"/>
                  </xdr:cNvSpPr>
                </xdr:nvSpPr>
                <xdr:spPr bwMode="auto">
                  <a:xfrm>
                    <a:off x="538" y="101"/>
                    <a:ext cx="95" cy="136"/>
                  </a:xfrm>
                  <a:prstGeom prst="roundRect">
                    <a:avLst>
                      <a:gd name="adj" fmla="val 16667"/>
                    </a:avLst>
                  </a:pr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" textlink="">
              <xdr:nvSpPr>
                <xdr:cNvPr id="23621" name="Rectangle 69" descr="Светлый диагональный 1">
                  <a:extLst>
                    <a:ext uri="{FF2B5EF4-FFF2-40B4-BE49-F238E27FC236}">
                      <a16:creationId xmlns:a16="http://schemas.microsoft.com/office/drawing/2014/main" id="{00000000-0008-0000-1C00-0000455C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348" y="133"/>
                  <a:ext cx="16" cy="10"/>
                </a:xfrm>
                <a:prstGeom prst="rect">
                  <a:avLst/>
                </a:prstGeom>
                <a:pattFill prst="ltDnDiag">
                  <a:fgClr>
                    <a:srgbClr val="000000"/>
                  </a:fgClr>
                  <a:bgClr>
                    <a:srgbClr val="C0C0C0"/>
                  </a:bgClr>
                </a:patt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grpSp>
              <xdr:nvGrpSpPr>
                <xdr:cNvPr id="23622" name="Group 70">
                  <a:extLst>
                    <a:ext uri="{FF2B5EF4-FFF2-40B4-BE49-F238E27FC236}">
                      <a16:creationId xmlns:a16="http://schemas.microsoft.com/office/drawing/2014/main" id="{00000000-0008-0000-1C00-0000465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27" y="40"/>
                  <a:ext cx="170" cy="202"/>
                  <a:chOff x="500" y="47"/>
                  <a:chExt cx="170" cy="202"/>
                </a:xfrm>
              </xdr:grpSpPr>
              <xdr:sp macro="" textlink="">
                <xdr:nvSpPr>
                  <xdr:cNvPr id="23623" name="Line 71">
                    <a:extLst>
                      <a:ext uri="{FF2B5EF4-FFF2-40B4-BE49-F238E27FC236}">
                        <a16:creationId xmlns:a16="http://schemas.microsoft.com/office/drawing/2014/main" id="{00000000-0008-0000-1C00-0000475C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500" y="145"/>
                    <a:ext cx="170" cy="0"/>
                  </a:xfrm>
                  <a:prstGeom prst="line">
                    <a:avLst/>
                  </a:prstGeom>
                  <a:noFill/>
                  <a:ln w="12700">
                    <a:solidFill>
                      <a:srgbClr val="FF0000"/>
                    </a:solidFill>
                    <a:prstDash val="lgDash"/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3624" name="Line 72">
                    <a:extLst>
                      <a:ext uri="{FF2B5EF4-FFF2-40B4-BE49-F238E27FC236}">
                        <a16:creationId xmlns:a16="http://schemas.microsoft.com/office/drawing/2014/main" id="{00000000-0008-0000-1C00-0000485C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586" y="47"/>
                    <a:ext cx="0" cy="202"/>
                  </a:xfrm>
                  <a:prstGeom prst="line">
                    <a:avLst/>
                  </a:prstGeom>
                  <a:noFill/>
                  <a:ln w="12700">
                    <a:solidFill>
                      <a:srgbClr val="FF0000"/>
                    </a:solidFill>
                    <a:prstDash val="lgDash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3625" name="Group 73">
                  <a:extLst>
                    <a:ext uri="{FF2B5EF4-FFF2-40B4-BE49-F238E27FC236}">
                      <a16:creationId xmlns:a16="http://schemas.microsoft.com/office/drawing/2014/main" id="{00000000-0008-0000-1C00-0000495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55" y="54"/>
                  <a:ext cx="61" cy="169"/>
                  <a:chOff x="295" y="122"/>
                  <a:chExt cx="61" cy="129"/>
                </a:xfrm>
              </xdr:grpSpPr>
              <xdr:sp macro="" textlink="">
                <xdr:nvSpPr>
                  <xdr:cNvPr id="23626" name="Line 74">
                    <a:extLst>
                      <a:ext uri="{FF2B5EF4-FFF2-40B4-BE49-F238E27FC236}">
                        <a16:creationId xmlns:a16="http://schemas.microsoft.com/office/drawing/2014/main" id="{00000000-0008-0000-1C00-00004A5C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296" y="122"/>
                    <a:ext cx="60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80"/>
                    </a:solidFill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3627" name="Line 75">
                    <a:extLst>
                      <a:ext uri="{FF2B5EF4-FFF2-40B4-BE49-F238E27FC236}">
                        <a16:creationId xmlns:a16="http://schemas.microsoft.com/office/drawing/2014/main" id="{00000000-0008-0000-1C00-00004B5C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295" y="251"/>
                    <a:ext cx="60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80"/>
                    </a:solidFill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3628" name="Line 76">
                    <a:extLst>
                      <a:ext uri="{FF2B5EF4-FFF2-40B4-BE49-F238E27FC236}">
                        <a16:creationId xmlns:a16="http://schemas.microsoft.com/office/drawing/2014/main" id="{00000000-0008-0000-1C00-00004C5C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349" y="122"/>
                    <a:ext cx="0" cy="129"/>
                  </a:xfrm>
                  <a:prstGeom prst="line">
                    <a:avLst/>
                  </a:prstGeom>
                  <a:noFill/>
                  <a:ln w="9525">
                    <a:solidFill>
                      <a:srgbClr val="000080"/>
                    </a:solidFill>
                    <a:round/>
                    <a:headEnd type="arrow" w="med" len="med"/>
                    <a:tailEnd type="arrow" w="med" len="med"/>
                  </a:ln>
                </xdr:spPr>
              </xdr:sp>
            </xdr:grpSp>
            <xdr:sp macro="" textlink="">
              <xdr:nvSpPr>
                <xdr:cNvPr id="23629" name="Line 77">
                  <a:extLst>
                    <a:ext uri="{FF2B5EF4-FFF2-40B4-BE49-F238E27FC236}">
                      <a16:creationId xmlns:a16="http://schemas.microsoft.com/office/drawing/2014/main" id="{00000000-0008-0000-1C00-00004D5C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447" y="235"/>
                  <a:ext cx="60" cy="0"/>
                </a:xfrm>
                <a:prstGeom prst="line">
                  <a:avLst/>
                </a:prstGeom>
                <a:noFill/>
                <a:ln w="9525">
                  <a:solidFill>
                    <a:srgbClr val="00008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23630" name="Line 78">
                  <a:extLst>
                    <a:ext uri="{FF2B5EF4-FFF2-40B4-BE49-F238E27FC236}">
                      <a16:creationId xmlns:a16="http://schemas.microsoft.com/office/drawing/2014/main" id="{00000000-0008-0000-1C00-00004E5C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318" y="234"/>
                  <a:ext cx="60" cy="0"/>
                </a:xfrm>
                <a:prstGeom prst="line">
                  <a:avLst/>
                </a:prstGeom>
                <a:noFill/>
                <a:ln w="9525">
                  <a:solidFill>
                    <a:srgbClr val="00008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23631" name="Line 79">
                  <a:extLst>
                    <a:ext uri="{FF2B5EF4-FFF2-40B4-BE49-F238E27FC236}">
                      <a16:creationId xmlns:a16="http://schemas.microsoft.com/office/drawing/2014/main" id="{00000000-0008-0000-1C00-00004F5C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413" y="194"/>
                  <a:ext cx="0" cy="125"/>
                </a:xfrm>
                <a:prstGeom prst="line">
                  <a:avLst/>
                </a:prstGeom>
                <a:noFill/>
                <a:ln w="9525">
                  <a:solidFill>
                    <a:srgbClr val="000080"/>
                  </a:solidFill>
                  <a:round/>
                  <a:headEnd type="arrow" w="med" len="med"/>
                  <a:tailEnd type="arrow" w="med" len="med"/>
                </a:ln>
              </xdr:spPr>
            </xdr:sp>
            <xdr:grpSp>
              <xdr:nvGrpSpPr>
                <xdr:cNvPr id="23632" name="Group 80">
                  <a:extLst>
                    <a:ext uri="{FF2B5EF4-FFF2-40B4-BE49-F238E27FC236}">
                      <a16:creationId xmlns:a16="http://schemas.microsoft.com/office/drawing/2014/main" id="{00000000-0008-0000-1C00-0000505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11" y="108"/>
                  <a:ext cx="82" cy="0"/>
                  <a:chOff x="484" y="115"/>
                  <a:chExt cx="82" cy="0"/>
                </a:xfrm>
              </xdr:grpSpPr>
              <xdr:sp macro="" textlink="">
                <xdr:nvSpPr>
                  <xdr:cNvPr id="23633" name="Line 81">
                    <a:extLst>
                      <a:ext uri="{FF2B5EF4-FFF2-40B4-BE49-F238E27FC236}">
                        <a16:creationId xmlns:a16="http://schemas.microsoft.com/office/drawing/2014/main" id="{00000000-0008-0000-1C00-0000515C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521" y="115"/>
                    <a:ext cx="17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80"/>
                    </a:solidFill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3634" name="Line 82">
                    <a:extLst>
                      <a:ext uri="{FF2B5EF4-FFF2-40B4-BE49-F238E27FC236}">
                        <a16:creationId xmlns:a16="http://schemas.microsoft.com/office/drawing/2014/main" id="{00000000-0008-0000-1C00-0000525C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540" y="115"/>
                    <a:ext cx="26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80"/>
                    </a:solidFill>
                    <a:round/>
                    <a:headEnd type="arrow" w="med" len="med"/>
                    <a:tailEnd/>
                  </a:ln>
                </xdr:spPr>
              </xdr:sp>
              <xdr:sp macro="" textlink="">
                <xdr:nvSpPr>
                  <xdr:cNvPr id="23635" name="Line 83">
                    <a:extLst>
                      <a:ext uri="{FF2B5EF4-FFF2-40B4-BE49-F238E27FC236}">
                        <a16:creationId xmlns:a16="http://schemas.microsoft.com/office/drawing/2014/main" id="{00000000-0008-0000-1C00-0000535C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484" y="115"/>
                    <a:ext cx="35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80"/>
                    </a:solidFill>
                    <a:round/>
                    <a:headEnd/>
                    <a:tailEnd type="arrow" w="med" len="med"/>
                  </a:ln>
                </xdr:spPr>
              </xdr:sp>
            </xdr:grpSp>
            <xdr:sp macro="" textlink="">
              <xdr:nvSpPr>
                <xdr:cNvPr id="23636" name="Freeform 84">
                  <a:extLst>
                    <a:ext uri="{FF2B5EF4-FFF2-40B4-BE49-F238E27FC236}">
                      <a16:creationId xmlns:a16="http://schemas.microsoft.com/office/drawing/2014/main" id="{00000000-0008-0000-1C00-0000545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68" y="186"/>
                  <a:ext cx="37" cy="15"/>
                </a:xfrm>
                <a:custGeom>
                  <a:avLst/>
                  <a:gdLst/>
                  <a:ahLst/>
                  <a:cxnLst>
                    <a:cxn ang="0">
                      <a:pos x="0" y="15"/>
                    </a:cxn>
                    <a:cxn ang="0">
                      <a:pos x="9" y="0"/>
                    </a:cxn>
                    <a:cxn ang="0">
                      <a:pos x="37" y="0"/>
                    </a:cxn>
                  </a:cxnLst>
                  <a:rect l="0" t="0" r="r" b="b"/>
                  <a:pathLst>
                    <a:path w="37" h="15">
                      <a:moveTo>
                        <a:pt x="0" y="15"/>
                      </a:moveTo>
                      <a:lnTo>
                        <a:pt x="9" y="0"/>
                      </a:lnTo>
                      <a:lnTo>
                        <a:pt x="37" y="0"/>
                      </a:lnTo>
                    </a:path>
                  </a:pathLst>
                </a:custGeom>
                <a:noFill/>
                <a:ln w="9525" cap="flat" cmpd="sng">
                  <a:solidFill>
                    <a:srgbClr val="000080"/>
                  </a:solidFill>
                  <a:prstDash val="solid"/>
                  <a:round/>
                  <a:headEnd type="arrow" w="med" len="med"/>
                  <a:tailEnd type="none" w="med" len="med"/>
                </a:ln>
              </xdr:spPr>
            </xdr:sp>
          </xdr:grpSp>
        </xdr:grpSp>
        <xdr:sp macro="" textlink="">
          <xdr:nvSpPr>
            <xdr:cNvPr id="23637" name="Text Box 85">
              <a:extLst>
                <a:ext uri="{FF2B5EF4-FFF2-40B4-BE49-F238E27FC236}">
                  <a16:creationId xmlns:a16="http://schemas.microsoft.com/office/drawing/2014/main" id="{00000000-0008-0000-1C00-0000555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9" y="86"/>
              <a:ext cx="19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R</a:t>
              </a:r>
            </a:p>
          </xdr:txBody>
        </xdr:sp>
        <xdr:sp macro="" textlink="">
          <xdr:nvSpPr>
            <xdr:cNvPr id="23638" name="Text Box 86">
              <a:extLst>
                <a:ext uri="{FF2B5EF4-FFF2-40B4-BE49-F238E27FC236}">
                  <a16:creationId xmlns:a16="http://schemas.microsoft.com/office/drawing/2014/main" id="{00000000-0008-0000-1C00-0000565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20" y="54"/>
              <a:ext cx="19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x</a:t>
              </a:r>
            </a:p>
          </xdr:txBody>
        </xdr:sp>
        <xdr:sp macro="" textlink="">
          <xdr:nvSpPr>
            <xdr:cNvPr id="23639" name="Text Box 87">
              <a:extLst>
                <a:ext uri="{FF2B5EF4-FFF2-40B4-BE49-F238E27FC236}">
                  <a16:creationId xmlns:a16="http://schemas.microsoft.com/office/drawing/2014/main" id="{00000000-0008-0000-1C00-0000575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16" y="79"/>
              <a:ext cx="30" cy="1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="vert270" wrap="none" lIns="27432" tIns="22860" rIns="0" bIns="0" anchor="t" upright="1">
              <a:spAutoFit/>
            </a:bodyPr>
            <a:lstStyle/>
            <a:p>
              <a:pPr algn="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h</a:t>
              </a:r>
            </a:p>
          </xdr:txBody>
        </xdr:sp>
        <xdr:sp macro="" textlink="">
          <xdr:nvSpPr>
            <xdr:cNvPr id="23640" name="Text Box 88">
              <a:extLst>
                <a:ext uri="{FF2B5EF4-FFF2-40B4-BE49-F238E27FC236}">
                  <a16:creationId xmlns:a16="http://schemas.microsoft.com/office/drawing/2014/main" id="{00000000-0008-0000-1C00-0000585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8" y="121"/>
              <a:ext cx="20" cy="24"/>
            </a:xfrm>
            <a:prstGeom prst="rect">
              <a:avLst/>
            </a:prstGeom>
            <a:noFill/>
            <a:ln w="0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y</a:t>
              </a:r>
            </a:p>
          </xdr:txBody>
        </xdr:sp>
        <xdr:sp macro="" textlink="">
          <xdr:nvSpPr>
            <xdr:cNvPr id="23641" name="Text Box 89">
              <a:extLst>
                <a:ext uri="{FF2B5EF4-FFF2-40B4-BE49-F238E27FC236}">
                  <a16:creationId xmlns:a16="http://schemas.microsoft.com/office/drawing/2014/main" id="{00000000-0008-0000-1C00-0000595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0" y="126"/>
              <a:ext cx="2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b</a:t>
              </a:r>
            </a:p>
          </xdr:txBody>
        </xdr:sp>
        <xdr:sp macro="" textlink="">
          <xdr:nvSpPr>
            <xdr:cNvPr id="23642" name="Text Box 90">
              <a:extLst>
                <a:ext uri="{FF2B5EF4-FFF2-40B4-BE49-F238E27FC236}">
                  <a16:creationId xmlns:a16="http://schemas.microsoft.com/office/drawing/2014/main" id="{00000000-0008-0000-1C00-00005A5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1" y="54"/>
              <a:ext cx="19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x</a:t>
              </a:r>
            </a:p>
          </xdr:txBody>
        </xdr:sp>
        <xdr:sp macro="" textlink="">
          <xdr:nvSpPr>
            <xdr:cNvPr id="23643" name="Text Box 91">
              <a:extLst>
                <a:ext uri="{FF2B5EF4-FFF2-40B4-BE49-F238E27FC236}">
                  <a16:creationId xmlns:a16="http://schemas.microsoft.com/office/drawing/2014/main" id="{00000000-0008-0000-1C00-00005B5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3" y="33"/>
              <a:ext cx="20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s</a:t>
              </a:r>
            </a:p>
          </xdr:txBody>
        </xdr:sp>
      </xdr:grpSp>
      <xdr:sp macro="" textlink="">
        <xdr:nvSpPr>
          <xdr:cNvPr id="23644" name="Text Box 92">
            <a:extLst>
              <a:ext uri="{FF2B5EF4-FFF2-40B4-BE49-F238E27FC236}">
                <a16:creationId xmlns:a16="http://schemas.microsoft.com/office/drawing/2014/main" id="{00000000-0008-0000-1C00-00005C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7" y="17"/>
            <a:ext cx="19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y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38100</xdr:rowOff>
        </xdr:from>
        <xdr:to>
          <xdr:col>14</xdr:col>
          <xdr:colOff>247650</xdr:colOff>
          <xdr:row>0</xdr:row>
          <xdr:rowOff>171450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</xdr:row>
          <xdr:rowOff>47625</xdr:rowOff>
        </xdr:from>
        <xdr:to>
          <xdr:col>17</xdr:col>
          <xdr:colOff>171450</xdr:colOff>
          <xdr:row>2</xdr:row>
          <xdr:rowOff>57150</xdr:rowOff>
        </xdr:to>
        <xdr:sp macro="" textlink="">
          <xdr:nvSpPr>
            <xdr:cNvPr id="23609" name="Drop Down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1C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19050</xdr:rowOff>
        </xdr:from>
        <xdr:to>
          <xdr:col>14</xdr:col>
          <xdr:colOff>171450</xdr:colOff>
          <xdr:row>4</xdr:row>
          <xdr:rowOff>38100</xdr:rowOff>
        </xdr:to>
        <xdr:sp macro="" textlink="">
          <xdr:nvSpPr>
            <xdr:cNvPr id="23610" name="Drop Down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1C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0</xdr:row>
      <xdr:rowOff>57150</xdr:rowOff>
    </xdr:from>
    <xdr:to>
      <xdr:col>5</xdr:col>
      <xdr:colOff>295275</xdr:colOff>
      <xdr:row>7</xdr:row>
      <xdr:rowOff>85725</xdr:rowOff>
    </xdr:to>
    <xdr:grpSp>
      <xdr:nvGrpSpPr>
        <xdr:cNvPr id="25632" name="Group 32">
          <a:extLst>
            <a:ext uri="{FF2B5EF4-FFF2-40B4-BE49-F238E27FC236}">
              <a16:creationId xmlns:a16="http://schemas.microsoft.com/office/drawing/2014/main" id="{00000000-0008-0000-1D00-000020640000}"/>
            </a:ext>
          </a:extLst>
        </xdr:cNvPr>
        <xdr:cNvGrpSpPr>
          <a:grpSpLocks/>
        </xdr:cNvGrpSpPr>
      </xdr:nvGrpSpPr>
      <xdr:grpSpPr bwMode="auto">
        <a:xfrm>
          <a:off x="800100" y="57150"/>
          <a:ext cx="1419225" cy="1276350"/>
          <a:chOff x="8" y="5"/>
          <a:chExt cx="143" cy="134"/>
        </a:xfrm>
      </xdr:grpSpPr>
      <xdr:sp macro="" textlink="">
        <xdr:nvSpPr>
          <xdr:cNvPr id="25604" name="Rectangle 4">
            <a:extLst>
              <a:ext uri="{FF2B5EF4-FFF2-40B4-BE49-F238E27FC236}">
                <a16:creationId xmlns:a16="http://schemas.microsoft.com/office/drawing/2014/main" id="{00000000-0008-0000-1D00-000004640000}"/>
              </a:ext>
            </a:extLst>
          </xdr:cNvPr>
          <xdr:cNvSpPr>
            <a:spLocks noChangeArrowheads="1"/>
          </xdr:cNvSpPr>
        </xdr:nvSpPr>
        <xdr:spPr bwMode="auto">
          <a:xfrm>
            <a:off x="8" y="8"/>
            <a:ext cx="143" cy="131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5605" name="Group 5">
            <a:extLst>
              <a:ext uri="{FF2B5EF4-FFF2-40B4-BE49-F238E27FC236}">
                <a16:creationId xmlns:a16="http://schemas.microsoft.com/office/drawing/2014/main" id="{00000000-0008-0000-1D00-000005640000}"/>
              </a:ext>
            </a:extLst>
          </xdr:cNvPr>
          <xdr:cNvGrpSpPr>
            <a:grpSpLocks/>
          </xdr:cNvGrpSpPr>
        </xdr:nvGrpSpPr>
        <xdr:grpSpPr bwMode="auto">
          <a:xfrm>
            <a:off x="37" y="28"/>
            <a:ext cx="81" cy="81"/>
            <a:chOff x="209" y="122"/>
            <a:chExt cx="74" cy="74"/>
          </a:xfrm>
        </xdr:grpSpPr>
        <xdr:sp macro="" textlink="">
          <xdr:nvSpPr>
            <xdr:cNvPr id="25606" name="AutoShape 6" descr="Светлый диагональный 2">
              <a:extLst>
                <a:ext uri="{FF2B5EF4-FFF2-40B4-BE49-F238E27FC236}">
                  <a16:creationId xmlns:a16="http://schemas.microsoft.com/office/drawing/2014/main" id="{00000000-0008-0000-1D00-0000066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122"/>
              <a:ext cx="74" cy="74"/>
            </a:xfrm>
            <a:prstGeom prst="roundRect">
              <a:avLst>
                <a:gd name="adj" fmla="val 16667"/>
              </a:avLst>
            </a:prstGeom>
            <a:pattFill prst="ltUpDiag">
              <a:fgClr>
                <a:srgbClr val="000000"/>
              </a:fgClr>
              <a:bgClr>
                <a:srgbClr val="FFFFFF"/>
              </a:bgClr>
            </a:patt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07" name="AutoShape 7">
              <a:extLst>
                <a:ext uri="{FF2B5EF4-FFF2-40B4-BE49-F238E27FC236}">
                  <a16:creationId xmlns:a16="http://schemas.microsoft.com/office/drawing/2014/main" id="{00000000-0008-0000-1D00-0000076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9" y="132"/>
              <a:ext cx="54" cy="54"/>
            </a:xfrm>
            <a:prstGeom prst="roundRect">
              <a:avLst>
                <a:gd name="adj" fmla="val 16667"/>
              </a:avLst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5609" name="Text Box 9">
            <a:extLst>
              <a:ext uri="{FF2B5EF4-FFF2-40B4-BE49-F238E27FC236}">
                <a16:creationId xmlns:a16="http://schemas.microsoft.com/office/drawing/2014/main" id="{00000000-0008-0000-1D00-0000096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9" y="5"/>
            <a:ext cx="16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y</a:t>
            </a:r>
          </a:p>
        </xdr:txBody>
      </xdr:sp>
      <xdr:sp macro="" textlink="">
        <xdr:nvSpPr>
          <xdr:cNvPr id="25610" name="Text Box 10">
            <a:extLst>
              <a:ext uri="{FF2B5EF4-FFF2-40B4-BE49-F238E27FC236}">
                <a16:creationId xmlns:a16="http://schemas.microsoft.com/office/drawing/2014/main" id="{00000000-0008-0000-1D00-00000A6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0" y="72"/>
            <a:ext cx="25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="vert270" wrap="none" lIns="27432" tIns="22860" rIns="0" bIns="0" anchor="t" upright="1">
            <a:spAutoFit/>
          </a:bodyPr>
          <a:lstStyle/>
          <a:p>
            <a:pPr algn="r" rtl="0">
              <a:defRPr sz="1000"/>
            </a:pPr>
            <a:r>
              <a:rPr lang="en-US" sz="1200" b="0" i="0" u="none" strike="noStrike" baseline="0">
                <a:solidFill>
                  <a:srgbClr val="0000FF"/>
                </a:solidFill>
                <a:latin typeface="Arial Cyr"/>
                <a:cs typeface="Arial Cyr"/>
              </a:rPr>
              <a:t>A</a:t>
            </a:r>
          </a:p>
        </xdr:txBody>
      </xdr:sp>
      <xdr:sp macro="" textlink="">
        <xdr:nvSpPr>
          <xdr:cNvPr id="25611" name="Text Box 11">
            <a:extLst>
              <a:ext uri="{FF2B5EF4-FFF2-40B4-BE49-F238E27FC236}">
                <a16:creationId xmlns:a16="http://schemas.microsoft.com/office/drawing/2014/main" id="{00000000-0008-0000-1D00-00000B6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50"/>
            <a:ext cx="16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x</a:t>
            </a:r>
          </a:p>
        </xdr:txBody>
      </xdr:sp>
      <xdr:sp macro="" textlink="">
        <xdr:nvSpPr>
          <xdr:cNvPr id="25612" name="Text Box 12">
            <a:extLst>
              <a:ext uri="{FF2B5EF4-FFF2-40B4-BE49-F238E27FC236}">
                <a16:creationId xmlns:a16="http://schemas.microsoft.com/office/drawing/2014/main" id="{00000000-0008-0000-1D00-00000C6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9" y="107"/>
            <a:ext cx="16" cy="24"/>
          </a:xfrm>
          <a:prstGeom prst="rect">
            <a:avLst/>
          </a:prstGeom>
          <a:noFill/>
          <a:ln w="0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y</a:t>
            </a:r>
          </a:p>
        </xdr:txBody>
      </xdr:sp>
      <xdr:grpSp>
        <xdr:nvGrpSpPr>
          <xdr:cNvPr id="25613" name="Group 13">
            <a:extLst>
              <a:ext uri="{FF2B5EF4-FFF2-40B4-BE49-F238E27FC236}">
                <a16:creationId xmlns:a16="http://schemas.microsoft.com/office/drawing/2014/main" id="{00000000-0008-0000-1D00-00000D640000}"/>
              </a:ext>
            </a:extLst>
          </xdr:cNvPr>
          <xdr:cNvGrpSpPr>
            <a:grpSpLocks/>
          </xdr:cNvGrpSpPr>
        </xdr:nvGrpSpPr>
        <xdr:grpSpPr bwMode="auto">
          <a:xfrm>
            <a:off x="23" y="15"/>
            <a:ext cx="108" cy="107"/>
            <a:chOff x="170" y="101"/>
            <a:chExt cx="170" cy="170"/>
          </a:xfrm>
        </xdr:grpSpPr>
        <xdr:sp macro="" textlink="">
          <xdr:nvSpPr>
            <xdr:cNvPr id="25614" name="Line 14">
              <a:extLst>
                <a:ext uri="{FF2B5EF4-FFF2-40B4-BE49-F238E27FC236}">
                  <a16:creationId xmlns:a16="http://schemas.microsoft.com/office/drawing/2014/main" id="{00000000-0008-0000-1D00-00000E6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70" y="187"/>
              <a:ext cx="170" cy="0"/>
            </a:xfrm>
            <a:prstGeom prst="line">
              <a:avLst/>
            </a:prstGeom>
            <a:noFill/>
            <a:ln w="12700">
              <a:solidFill>
                <a:srgbClr val="FF0000"/>
              </a:solidFill>
              <a:prstDash val="lgDash"/>
              <a:round/>
              <a:headEnd/>
              <a:tailEnd/>
            </a:ln>
          </xdr:spPr>
        </xdr:sp>
        <xdr:sp macro="" textlink="">
          <xdr:nvSpPr>
            <xdr:cNvPr id="25615" name="Line 15">
              <a:extLst>
                <a:ext uri="{FF2B5EF4-FFF2-40B4-BE49-F238E27FC236}">
                  <a16:creationId xmlns:a16="http://schemas.microsoft.com/office/drawing/2014/main" id="{00000000-0008-0000-1D00-00000F6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6" y="101"/>
              <a:ext cx="0" cy="170"/>
            </a:xfrm>
            <a:prstGeom prst="line">
              <a:avLst/>
            </a:prstGeom>
            <a:noFill/>
            <a:ln w="12700">
              <a:solidFill>
                <a:srgbClr val="FF0000"/>
              </a:solidFill>
              <a:prstDash val="lgDash"/>
              <a:round/>
              <a:headEnd/>
              <a:tailEnd/>
            </a:ln>
          </xdr:spPr>
        </xdr:sp>
      </xdr:grpSp>
      <xdr:grpSp>
        <xdr:nvGrpSpPr>
          <xdr:cNvPr id="25616" name="Group 16">
            <a:extLst>
              <a:ext uri="{FF2B5EF4-FFF2-40B4-BE49-F238E27FC236}">
                <a16:creationId xmlns:a16="http://schemas.microsoft.com/office/drawing/2014/main" id="{00000000-0008-0000-1D00-000010640000}"/>
              </a:ext>
            </a:extLst>
          </xdr:cNvPr>
          <xdr:cNvGrpSpPr>
            <a:grpSpLocks/>
          </xdr:cNvGrpSpPr>
        </xdr:nvGrpSpPr>
        <xdr:grpSpPr bwMode="auto">
          <a:xfrm>
            <a:off x="104" y="28"/>
            <a:ext cx="39" cy="81"/>
            <a:chOff x="295" y="122"/>
            <a:chExt cx="61" cy="129"/>
          </a:xfrm>
        </xdr:grpSpPr>
        <xdr:sp macro="" textlink="">
          <xdr:nvSpPr>
            <xdr:cNvPr id="25617" name="Line 17">
              <a:extLst>
                <a:ext uri="{FF2B5EF4-FFF2-40B4-BE49-F238E27FC236}">
                  <a16:creationId xmlns:a16="http://schemas.microsoft.com/office/drawing/2014/main" id="{00000000-0008-0000-1D00-0000116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6" y="122"/>
              <a:ext cx="6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25618" name="Line 18">
              <a:extLst>
                <a:ext uri="{FF2B5EF4-FFF2-40B4-BE49-F238E27FC236}">
                  <a16:creationId xmlns:a16="http://schemas.microsoft.com/office/drawing/2014/main" id="{00000000-0008-0000-1D00-0000126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5" y="251"/>
              <a:ext cx="60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25619" name="Line 19">
              <a:extLst>
                <a:ext uri="{FF2B5EF4-FFF2-40B4-BE49-F238E27FC236}">
                  <a16:creationId xmlns:a16="http://schemas.microsoft.com/office/drawing/2014/main" id="{00000000-0008-0000-1D00-0000136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49" y="122"/>
              <a:ext cx="0" cy="129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 type="arrow" w="med" len="med"/>
              <a:tailEnd type="arrow" w="med" len="med"/>
            </a:ln>
          </xdr:spPr>
        </xdr:sp>
      </xdr:grpSp>
      <xdr:sp macro="" textlink="">
        <xdr:nvSpPr>
          <xdr:cNvPr id="25620" name="Text Box 20">
            <a:extLst>
              <a:ext uri="{FF2B5EF4-FFF2-40B4-BE49-F238E27FC236}">
                <a16:creationId xmlns:a16="http://schemas.microsoft.com/office/drawing/2014/main" id="{00000000-0008-0000-1D00-0000146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" y="109"/>
            <a:ext cx="20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FF"/>
                </a:solidFill>
                <a:latin typeface="Arial Cyr"/>
                <a:cs typeface="Arial Cyr"/>
              </a:rPr>
              <a:t>A</a:t>
            </a:r>
          </a:p>
        </xdr:txBody>
      </xdr:sp>
      <xdr:sp macro="" textlink="">
        <xdr:nvSpPr>
          <xdr:cNvPr id="25621" name="Line 21">
            <a:extLst>
              <a:ext uri="{FF2B5EF4-FFF2-40B4-BE49-F238E27FC236}">
                <a16:creationId xmlns:a16="http://schemas.microsoft.com/office/drawing/2014/main" id="{00000000-0008-0000-1D00-0000156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99" y="116"/>
            <a:ext cx="37" cy="0"/>
          </a:xfrm>
          <a:prstGeom prst="line">
            <a:avLst/>
          </a:prstGeom>
          <a:noFill/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5622" name="Line 22">
            <a:extLst>
              <a:ext uri="{FF2B5EF4-FFF2-40B4-BE49-F238E27FC236}">
                <a16:creationId xmlns:a16="http://schemas.microsoft.com/office/drawing/2014/main" id="{00000000-0008-0000-1D00-0000166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18" y="115"/>
            <a:ext cx="38" cy="0"/>
          </a:xfrm>
          <a:prstGeom prst="line">
            <a:avLst/>
          </a:prstGeom>
          <a:noFill/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5623" name="Line 23">
            <a:extLst>
              <a:ext uri="{FF2B5EF4-FFF2-40B4-BE49-F238E27FC236}">
                <a16:creationId xmlns:a16="http://schemas.microsoft.com/office/drawing/2014/main" id="{00000000-0008-0000-1D00-0000176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78" y="89"/>
            <a:ext cx="0" cy="79"/>
          </a:xfrm>
          <a:prstGeom prst="line">
            <a:avLst/>
          </a:prstGeom>
          <a:noFill/>
          <a:ln w="9525">
            <a:solidFill>
              <a:srgbClr val="000080"/>
            </a:solidFill>
            <a:round/>
            <a:headEnd type="arrow" w="med" len="med"/>
            <a:tailEnd type="arrow" w="med" len="med"/>
          </a:ln>
        </xdr:spPr>
      </xdr:sp>
      <xdr:sp macro="" textlink="">
        <xdr:nvSpPr>
          <xdr:cNvPr id="25624" name="Text Box 24">
            <a:extLst>
              <a:ext uri="{FF2B5EF4-FFF2-40B4-BE49-F238E27FC236}">
                <a16:creationId xmlns:a16="http://schemas.microsoft.com/office/drawing/2014/main" id="{00000000-0008-0000-1D00-0000186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" y="33"/>
            <a:ext cx="17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FF"/>
                </a:solidFill>
                <a:latin typeface="Arial Cyr"/>
                <a:cs typeface="Arial Cyr"/>
              </a:rPr>
              <a:t>s</a:t>
            </a:r>
          </a:p>
        </xdr:txBody>
      </xdr:sp>
      <xdr:grpSp>
        <xdr:nvGrpSpPr>
          <xdr:cNvPr id="25625" name="Group 25">
            <a:extLst>
              <a:ext uri="{FF2B5EF4-FFF2-40B4-BE49-F238E27FC236}">
                <a16:creationId xmlns:a16="http://schemas.microsoft.com/office/drawing/2014/main" id="{00000000-0008-0000-1D00-000019640000}"/>
              </a:ext>
            </a:extLst>
          </xdr:cNvPr>
          <xdr:cNvGrpSpPr>
            <a:grpSpLocks/>
          </xdr:cNvGrpSpPr>
        </xdr:nvGrpSpPr>
        <xdr:grpSpPr bwMode="auto">
          <a:xfrm>
            <a:off x="14" y="54"/>
            <a:ext cx="51" cy="0"/>
            <a:chOff x="155" y="164"/>
            <a:chExt cx="81" cy="0"/>
          </a:xfrm>
        </xdr:grpSpPr>
        <xdr:sp macro="" textlink="">
          <xdr:nvSpPr>
            <xdr:cNvPr id="25626" name="Line 26">
              <a:extLst>
                <a:ext uri="{FF2B5EF4-FFF2-40B4-BE49-F238E27FC236}">
                  <a16:creationId xmlns:a16="http://schemas.microsoft.com/office/drawing/2014/main" id="{00000000-0008-0000-1D00-00001A6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1" y="164"/>
              <a:ext cx="17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25627" name="Line 27">
              <a:extLst>
                <a:ext uri="{FF2B5EF4-FFF2-40B4-BE49-F238E27FC236}">
                  <a16:creationId xmlns:a16="http://schemas.microsoft.com/office/drawing/2014/main" id="{00000000-0008-0000-1D00-00001B6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0" y="164"/>
              <a:ext cx="26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5628" name="Line 28">
              <a:extLst>
                <a:ext uri="{FF2B5EF4-FFF2-40B4-BE49-F238E27FC236}">
                  <a16:creationId xmlns:a16="http://schemas.microsoft.com/office/drawing/2014/main" id="{00000000-0008-0000-1D00-00001C6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5" y="164"/>
              <a:ext cx="34" cy="0"/>
            </a:xfrm>
            <a:prstGeom prst="line">
              <a:avLst/>
            </a:prstGeom>
            <a:noFill/>
            <a:ln w="9525">
              <a:solidFill>
                <a:srgbClr val="000080"/>
              </a:solidFill>
              <a:round/>
              <a:headEnd/>
              <a:tailEnd type="arrow" w="med" len="med"/>
            </a:ln>
          </xdr:spPr>
        </xdr:sp>
      </xdr:grpSp>
      <xdr:sp macro="" textlink="">
        <xdr:nvSpPr>
          <xdr:cNvPr id="25629" name="Text Box 29">
            <a:extLst>
              <a:ext uri="{FF2B5EF4-FFF2-40B4-BE49-F238E27FC236}">
                <a16:creationId xmlns:a16="http://schemas.microsoft.com/office/drawing/2014/main" id="{00000000-0008-0000-1D00-00001D6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1" y="49"/>
            <a:ext cx="17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FF0000"/>
                </a:solidFill>
                <a:latin typeface="Arial Cyr"/>
                <a:cs typeface="Arial Cyr"/>
              </a:rPr>
              <a:t>x</a:t>
            </a:r>
          </a:p>
        </xdr:txBody>
      </xdr:sp>
      <xdr:sp macro="" textlink="">
        <xdr:nvSpPr>
          <xdr:cNvPr id="25630" name="Text Box 30">
            <a:extLst>
              <a:ext uri="{FF2B5EF4-FFF2-40B4-BE49-F238E27FC236}">
                <a16:creationId xmlns:a16="http://schemas.microsoft.com/office/drawing/2014/main" id="{00000000-0008-0000-1D00-00001E6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" y="69"/>
            <a:ext cx="16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FF"/>
                </a:solidFill>
                <a:latin typeface="Arial Cyr"/>
                <a:cs typeface="Arial Cyr"/>
              </a:rPr>
              <a:t>R</a:t>
            </a:r>
          </a:p>
        </xdr:txBody>
      </xdr:sp>
      <xdr:sp macro="" textlink="">
        <xdr:nvSpPr>
          <xdr:cNvPr id="25631" name="Freeform 31">
            <a:extLst>
              <a:ext uri="{FF2B5EF4-FFF2-40B4-BE49-F238E27FC236}">
                <a16:creationId xmlns:a16="http://schemas.microsoft.com/office/drawing/2014/main" id="{00000000-0008-0000-1D00-00001F640000}"/>
              </a:ext>
            </a:extLst>
          </xdr:cNvPr>
          <xdr:cNvSpPr>
            <a:spLocks/>
          </xdr:cNvSpPr>
        </xdr:nvSpPr>
        <xdr:spPr bwMode="auto">
          <a:xfrm>
            <a:off x="42" y="85"/>
            <a:ext cx="31" cy="20"/>
          </a:xfrm>
          <a:custGeom>
            <a:avLst/>
            <a:gdLst/>
            <a:ahLst/>
            <a:cxnLst>
              <a:cxn ang="0">
                <a:pos x="0" y="15"/>
              </a:cxn>
              <a:cxn ang="0">
                <a:pos x="9" y="0"/>
              </a:cxn>
              <a:cxn ang="0">
                <a:pos x="37" y="0"/>
              </a:cxn>
            </a:cxnLst>
            <a:rect l="0" t="0" r="r" b="b"/>
            <a:pathLst>
              <a:path w="37" h="15">
                <a:moveTo>
                  <a:pt x="0" y="15"/>
                </a:moveTo>
                <a:lnTo>
                  <a:pt x="9" y="0"/>
                </a:lnTo>
                <a:lnTo>
                  <a:pt x="37" y="0"/>
                </a:lnTo>
              </a:path>
            </a:pathLst>
          </a:custGeom>
          <a:noFill/>
          <a:ln w="15875" cap="flat" cmpd="sng">
            <a:solidFill>
              <a:srgbClr val="000080"/>
            </a:solidFill>
            <a:prstDash val="solid"/>
            <a:round/>
            <a:headEnd type="arrow" w="med" len="med"/>
            <a:tailEnd type="none" w="med" len="med"/>
          </a:ln>
        </xdr:spPr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47625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</xdr:row>
          <xdr:rowOff>47625</xdr:rowOff>
        </xdr:from>
        <xdr:to>
          <xdr:col>16</xdr:col>
          <xdr:colOff>133350</xdr:colOff>
          <xdr:row>2</xdr:row>
          <xdr:rowOff>57150</xdr:rowOff>
        </xdr:to>
        <xdr:sp macro="" textlink="">
          <xdr:nvSpPr>
            <xdr:cNvPr id="25602" name="Drop Dow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</xdr:row>
          <xdr:rowOff>123825</xdr:rowOff>
        </xdr:from>
        <xdr:to>
          <xdr:col>13</xdr:col>
          <xdr:colOff>104775</xdr:colOff>
          <xdr:row>4</xdr:row>
          <xdr:rowOff>19050</xdr:rowOff>
        </xdr:to>
        <xdr:sp macro="" textlink="">
          <xdr:nvSpPr>
            <xdr:cNvPr id="25634" name="Drop Dow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1D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2</xdr:row>
          <xdr:rowOff>123825</xdr:rowOff>
        </xdr:from>
        <xdr:to>
          <xdr:col>14</xdr:col>
          <xdr:colOff>333375</xdr:colOff>
          <xdr:row>4</xdr:row>
          <xdr:rowOff>9525</xdr:rowOff>
        </xdr:to>
        <xdr:sp macro="" textlink="">
          <xdr:nvSpPr>
            <xdr:cNvPr id="25636" name="Drop Dow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1D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85725</xdr:rowOff>
    </xdr:from>
    <xdr:to>
      <xdr:col>6</xdr:col>
      <xdr:colOff>76200</xdr:colOff>
      <xdr:row>7</xdr:row>
      <xdr:rowOff>85725</xdr:rowOff>
    </xdr:to>
    <xdr:grpSp>
      <xdr:nvGrpSpPr>
        <xdr:cNvPr id="26695" name="Group 71">
          <a:extLst>
            <a:ext uri="{FF2B5EF4-FFF2-40B4-BE49-F238E27FC236}">
              <a16:creationId xmlns:a16="http://schemas.microsoft.com/office/drawing/2014/main" id="{00000000-0008-0000-1E00-000047680000}"/>
            </a:ext>
          </a:extLst>
        </xdr:cNvPr>
        <xdr:cNvGrpSpPr>
          <a:grpSpLocks/>
        </xdr:cNvGrpSpPr>
      </xdr:nvGrpSpPr>
      <xdr:grpSpPr bwMode="auto">
        <a:xfrm>
          <a:off x="1152525" y="85725"/>
          <a:ext cx="1485900" cy="1247775"/>
          <a:chOff x="21" y="29"/>
          <a:chExt cx="186" cy="131"/>
        </a:xfrm>
      </xdr:grpSpPr>
      <xdr:sp macro="" textlink="">
        <xdr:nvSpPr>
          <xdr:cNvPr id="26658" name="Rectangle 34">
            <a:extLst>
              <a:ext uri="{FF2B5EF4-FFF2-40B4-BE49-F238E27FC236}">
                <a16:creationId xmlns:a16="http://schemas.microsoft.com/office/drawing/2014/main" id="{00000000-0008-0000-1E00-000022680000}"/>
              </a:ext>
            </a:extLst>
          </xdr:cNvPr>
          <xdr:cNvSpPr>
            <a:spLocks noChangeArrowheads="1"/>
          </xdr:cNvSpPr>
        </xdr:nvSpPr>
        <xdr:spPr bwMode="auto">
          <a:xfrm>
            <a:off x="21" y="29"/>
            <a:ext cx="183" cy="131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6694" name="Group 70">
            <a:extLst>
              <a:ext uri="{FF2B5EF4-FFF2-40B4-BE49-F238E27FC236}">
                <a16:creationId xmlns:a16="http://schemas.microsoft.com/office/drawing/2014/main" id="{00000000-0008-0000-1E00-000046680000}"/>
              </a:ext>
            </a:extLst>
          </xdr:cNvPr>
          <xdr:cNvGrpSpPr>
            <a:grpSpLocks/>
          </xdr:cNvGrpSpPr>
        </xdr:nvGrpSpPr>
        <xdr:grpSpPr bwMode="auto">
          <a:xfrm>
            <a:off x="25" y="29"/>
            <a:ext cx="182" cy="128"/>
            <a:chOff x="25" y="29"/>
            <a:chExt cx="182" cy="128"/>
          </a:xfrm>
        </xdr:grpSpPr>
        <xdr:grpSp>
          <xdr:nvGrpSpPr>
            <xdr:cNvPr id="26687" name="Group 63">
              <a:extLst>
                <a:ext uri="{FF2B5EF4-FFF2-40B4-BE49-F238E27FC236}">
                  <a16:creationId xmlns:a16="http://schemas.microsoft.com/office/drawing/2014/main" id="{00000000-0008-0000-1E00-00003F6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3" y="55"/>
              <a:ext cx="119" cy="70"/>
              <a:chOff x="53" y="39"/>
              <a:chExt cx="119" cy="70"/>
            </a:xfrm>
          </xdr:grpSpPr>
          <xdr:sp macro="" textlink="">
            <xdr:nvSpPr>
              <xdr:cNvPr id="26661" name="AutoShape 37" descr="Светлый диагональный 2">
                <a:extLst>
                  <a:ext uri="{FF2B5EF4-FFF2-40B4-BE49-F238E27FC236}">
                    <a16:creationId xmlns:a16="http://schemas.microsoft.com/office/drawing/2014/main" id="{00000000-0008-0000-1E00-00002568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53" y="39"/>
                <a:ext cx="119" cy="70"/>
              </a:xfrm>
              <a:prstGeom prst="roundRect">
                <a:avLst>
                  <a:gd name="adj" fmla="val 16667"/>
                </a:avLst>
              </a:prstGeom>
              <a:pattFill prst="ltUpDiag">
                <a:fgClr>
                  <a:srgbClr val="000000"/>
                </a:fgClr>
                <a:bgClr>
                  <a:srgbClr val="FFFFFF"/>
                </a:bgClr>
              </a:patt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6662" name="AutoShape 38">
                <a:extLst>
                  <a:ext uri="{FF2B5EF4-FFF2-40B4-BE49-F238E27FC236}">
                    <a16:creationId xmlns:a16="http://schemas.microsoft.com/office/drawing/2014/main" id="{00000000-0008-0000-1E00-00002668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62" y="46"/>
                <a:ext cx="102" cy="56"/>
              </a:xfrm>
              <a:prstGeom prst="roundRect">
                <a:avLst>
                  <a:gd name="adj" fmla="val 16667"/>
                </a:avLst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6692" name="Group 68">
              <a:extLst>
                <a:ext uri="{FF2B5EF4-FFF2-40B4-BE49-F238E27FC236}">
                  <a16:creationId xmlns:a16="http://schemas.microsoft.com/office/drawing/2014/main" id="{00000000-0008-0000-1E00-0000446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4" y="37"/>
              <a:ext cx="156" cy="101"/>
              <a:chOff x="34" y="37"/>
              <a:chExt cx="156" cy="101"/>
            </a:xfrm>
          </xdr:grpSpPr>
          <xdr:sp macro="" textlink="">
            <xdr:nvSpPr>
              <xdr:cNvPr id="26665" name="Line 41">
                <a:extLst>
                  <a:ext uri="{FF2B5EF4-FFF2-40B4-BE49-F238E27FC236}">
                    <a16:creationId xmlns:a16="http://schemas.microsoft.com/office/drawing/2014/main" id="{00000000-0008-0000-1E00-000029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4" y="90"/>
                <a:ext cx="156" cy="0"/>
              </a:xfrm>
              <a:prstGeom prst="line">
                <a:avLst/>
              </a:prstGeom>
              <a:noFill/>
              <a:ln w="12700">
                <a:solidFill>
                  <a:srgbClr val="FF0000"/>
                </a:solidFill>
                <a:prstDash val="lgDash"/>
                <a:round/>
                <a:headEnd/>
                <a:tailEnd/>
              </a:ln>
            </xdr:spPr>
          </xdr:sp>
          <xdr:sp macro="" textlink="">
            <xdr:nvSpPr>
              <xdr:cNvPr id="26666" name="Line 42">
                <a:extLst>
                  <a:ext uri="{FF2B5EF4-FFF2-40B4-BE49-F238E27FC236}">
                    <a16:creationId xmlns:a16="http://schemas.microsoft.com/office/drawing/2014/main" id="{00000000-0008-0000-1E00-00002A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3" y="37"/>
                <a:ext cx="0" cy="101"/>
              </a:xfrm>
              <a:prstGeom prst="line">
                <a:avLst/>
              </a:prstGeom>
              <a:noFill/>
              <a:ln w="12700">
                <a:solidFill>
                  <a:srgbClr val="FF0000"/>
                </a:solidFill>
                <a:prstDash val="lgDash"/>
                <a:round/>
                <a:headEnd/>
                <a:tailEnd/>
              </a:ln>
            </xdr:spPr>
          </xdr:sp>
        </xdr:grpSp>
        <xdr:grpSp>
          <xdr:nvGrpSpPr>
            <xdr:cNvPr id="26667" name="Group 43">
              <a:extLst>
                <a:ext uri="{FF2B5EF4-FFF2-40B4-BE49-F238E27FC236}">
                  <a16:creationId xmlns:a16="http://schemas.microsoft.com/office/drawing/2014/main" id="{00000000-0008-0000-1E00-00002B6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70" y="55"/>
              <a:ext cx="29" cy="71"/>
              <a:chOff x="295" y="122"/>
              <a:chExt cx="61" cy="129"/>
            </a:xfrm>
          </xdr:grpSpPr>
          <xdr:sp macro="" textlink="">
            <xdr:nvSpPr>
              <xdr:cNvPr id="26668" name="Line 44">
                <a:extLst>
                  <a:ext uri="{FF2B5EF4-FFF2-40B4-BE49-F238E27FC236}">
                    <a16:creationId xmlns:a16="http://schemas.microsoft.com/office/drawing/2014/main" id="{00000000-0008-0000-1E00-00002C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96" y="122"/>
                <a:ext cx="6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6669" name="Line 45">
                <a:extLst>
                  <a:ext uri="{FF2B5EF4-FFF2-40B4-BE49-F238E27FC236}">
                    <a16:creationId xmlns:a16="http://schemas.microsoft.com/office/drawing/2014/main" id="{00000000-0008-0000-1E00-00002D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95" y="251"/>
                <a:ext cx="60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6670" name="Line 46">
                <a:extLst>
                  <a:ext uri="{FF2B5EF4-FFF2-40B4-BE49-F238E27FC236}">
                    <a16:creationId xmlns:a16="http://schemas.microsoft.com/office/drawing/2014/main" id="{00000000-0008-0000-1E00-00002E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49" y="122"/>
                <a:ext cx="0" cy="129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 type="arrow" w="med" len="med"/>
                <a:tailEnd type="arrow" w="med" len="med"/>
              </a:ln>
            </xdr:spPr>
          </xdr:sp>
        </xdr:grpSp>
        <xdr:grpSp>
          <xdr:nvGrpSpPr>
            <xdr:cNvPr id="26690" name="Group 66">
              <a:extLst>
                <a:ext uri="{FF2B5EF4-FFF2-40B4-BE49-F238E27FC236}">
                  <a16:creationId xmlns:a16="http://schemas.microsoft.com/office/drawing/2014/main" id="{00000000-0008-0000-1E00-0000426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3" y="118"/>
              <a:ext cx="119" cy="37"/>
              <a:chOff x="53" y="130"/>
              <a:chExt cx="119" cy="37"/>
            </a:xfrm>
          </xdr:grpSpPr>
          <xdr:sp macro="" textlink="">
            <xdr:nvSpPr>
              <xdr:cNvPr id="26671" name="Line 47">
                <a:extLst>
                  <a:ext uri="{FF2B5EF4-FFF2-40B4-BE49-F238E27FC236}">
                    <a16:creationId xmlns:a16="http://schemas.microsoft.com/office/drawing/2014/main" id="{00000000-0008-0000-1E00-00002F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rot="5400000">
                <a:off x="153" y="149"/>
                <a:ext cx="37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6672" name="Line 48">
                <a:extLst>
                  <a:ext uri="{FF2B5EF4-FFF2-40B4-BE49-F238E27FC236}">
                    <a16:creationId xmlns:a16="http://schemas.microsoft.com/office/drawing/2014/main" id="{00000000-0008-0000-1E00-000030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rot="5400000">
                <a:off x="35" y="148"/>
                <a:ext cx="36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6673" name="Line 49">
                <a:extLst>
                  <a:ext uri="{FF2B5EF4-FFF2-40B4-BE49-F238E27FC236}">
                    <a16:creationId xmlns:a16="http://schemas.microsoft.com/office/drawing/2014/main" id="{00000000-0008-0000-1E00-000031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rot="5400000">
                <a:off x="113" y="104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 type="arrow" w="med" len="med"/>
                <a:tailEnd type="arrow" w="med" len="med"/>
              </a:ln>
            </xdr:spPr>
          </xdr:sp>
        </xdr:grpSp>
        <xdr:grpSp>
          <xdr:nvGrpSpPr>
            <xdr:cNvPr id="26693" name="Group 69">
              <a:extLst>
                <a:ext uri="{FF2B5EF4-FFF2-40B4-BE49-F238E27FC236}">
                  <a16:creationId xmlns:a16="http://schemas.microsoft.com/office/drawing/2014/main" id="{00000000-0008-0000-1E00-0000456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5" y="71"/>
              <a:ext cx="63" cy="0"/>
              <a:chOff x="25" y="71"/>
              <a:chExt cx="63" cy="0"/>
            </a:xfrm>
          </xdr:grpSpPr>
          <xdr:sp macro="" textlink="">
            <xdr:nvSpPr>
              <xdr:cNvPr id="26675" name="Line 51">
                <a:extLst>
                  <a:ext uri="{FF2B5EF4-FFF2-40B4-BE49-F238E27FC236}">
                    <a16:creationId xmlns:a16="http://schemas.microsoft.com/office/drawing/2014/main" id="{00000000-0008-0000-1E00-000033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3" y="71"/>
                <a:ext cx="9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6676" name="Line 52">
                <a:extLst>
                  <a:ext uri="{FF2B5EF4-FFF2-40B4-BE49-F238E27FC236}">
                    <a16:creationId xmlns:a16="http://schemas.microsoft.com/office/drawing/2014/main" id="{00000000-0008-0000-1E00-000034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64" y="71"/>
                <a:ext cx="24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 type="arrow" w="med" len="med"/>
                <a:tailEnd/>
              </a:ln>
            </xdr:spPr>
          </xdr:sp>
          <xdr:sp macro="" textlink="">
            <xdr:nvSpPr>
              <xdr:cNvPr id="26677" name="Line 53">
                <a:extLst>
                  <a:ext uri="{FF2B5EF4-FFF2-40B4-BE49-F238E27FC236}">
                    <a16:creationId xmlns:a16="http://schemas.microsoft.com/office/drawing/2014/main" id="{00000000-0008-0000-1E00-00003568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5" y="71"/>
                <a:ext cx="26" cy="0"/>
              </a:xfrm>
              <a:prstGeom prst="line">
                <a:avLst/>
              </a:prstGeom>
              <a:noFill/>
              <a:ln w="9525">
                <a:solidFill>
                  <a:srgbClr val="000080"/>
                </a:solidFill>
                <a:round/>
                <a:headEnd/>
                <a:tailEnd type="arrow" w="med" len="med"/>
              </a:ln>
            </xdr:spPr>
          </xdr:sp>
        </xdr:grpSp>
        <xdr:grpSp>
          <xdr:nvGrpSpPr>
            <xdr:cNvPr id="26691" name="Group 67">
              <a:extLst>
                <a:ext uri="{FF2B5EF4-FFF2-40B4-BE49-F238E27FC236}">
                  <a16:creationId xmlns:a16="http://schemas.microsoft.com/office/drawing/2014/main" id="{00000000-0008-0000-1E00-0000436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99"/>
              <a:ext cx="34" cy="24"/>
              <a:chOff x="60" y="99"/>
              <a:chExt cx="34" cy="24"/>
            </a:xfrm>
          </xdr:grpSpPr>
          <xdr:sp macro="" textlink="">
            <xdr:nvSpPr>
              <xdr:cNvPr id="26678" name="Freeform 54">
                <a:extLst>
                  <a:ext uri="{FF2B5EF4-FFF2-40B4-BE49-F238E27FC236}">
                    <a16:creationId xmlns:a16="http://schemas.microsoft.com/office/drawing/2014/main" id="{00000000-0008-0000-1E00-00003668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4"/>
                <a:ext cx="34" cy="9"/>
              </a:xfrm>
              <a:custGeom>
                <a:avLst/>
                <a:gdLst/>
                <a:ahLst/>
                <a:cxnLst>
                  <a:cxn ang="0">
                    <a:pos x="0" y="15"/>
                  </a:cxn>
                  <a:cxn ang="0">
                    <a:pos x="9" y="0"/>
                  </a:cxn>
                  <a:cxn ang="0">
                    <a:pos x="37" y="0"/>
                  </a:cxn>
                </a:cxnLst>
                <a:rect l="0" t="0" r="r" b="b"/>
                <a:pathLst>
                  <a:path w="37" h="15">
                    <a:moveTo>
                      <a:pt x="0" y="15"/>
                    </a:moveTo>
                    <a:lnTo>
                      <a:pt x="9" y="0"/>
                    </a:lnTo>
                    <a:lnTo>
                      <a:pt x="37" y="0"/>
                    </a:lnTo>
                  </a:path>
                </a:pathLst>
              </a:custGeom>
              <a:noFill/>
              <a:ln w="19050" cap="flat" cmpd="sng">
                <a:solidFill>
                  <a:srgbClr val="000080"/>
                </a:solidFill>
                <a:prstDash val="solid"/>
                <a:round/>
                <a:headEnd type="arrow" w="med" len="med"/>
                <a:tailEnd type="none" w="med" len="med"/>
              </a:ln>
            </xdr:spPr>
          </xdr:sp>
          <xdr:sp macro="" textlink="">
            <xdr:nvSpPr>
              <xdr:cNvPr id="26679" name="Text Box 55">
                <a:extLst>
                  <a:ext uri="{FF2B5EF4-FFF2-40B4-BE49-F238E27FC236}">
                    <a16:creationId xmlns:a16="http://schemas.microsoft.com/office/drawing/2014/main" id="{00000000-0008-0000-1E00-00003768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3" y="99"/>
                <a:ext cx="20" cy="21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000" b="1" i="0" u="none" strike="noStrike" baseline="0">
                    <a:solidFill>
                      <a:srgbClr val="0000FF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</xdr:grpSp>
        <xdr:sp macro="" textlink="">
          <xdr:nvSpPr>
            <xdr:cNvPr id="26680" name="Text Box 56">
              <a:extLst>
                <a:ext uri="{FF2B5EF4-FFF2-40B4-BE49-F238E27FC236}">
                  <a16:creationId xmlns:a16="http://schemas.microsoft.com/office/drawing/2014/main" id="{00000000-0008-0000-1E00-00003868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75" y="73"/>
              <a:ext cx="20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x</a:t>
              </a:r>
            </a:p>
          </xdr:txBody>
        </xdr:sp>
        <xdr:sp macro="" textlink="">
          <xdr:nvSpPr>
            <xdr:cNvPr id="26681" name="Text Box 57">
              <a:extLst>
                <a:ext uri="{FF2B5EF4-FFF2-40B4-BE49-F238E27FC236}">
                  <a16:creationId xmlns:a16="http://schemas.microsoft.com/office/drawing/2014/main" id="{00000000-0008-0000-1E00-00003968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75" y="99"/>
              <a:ext cx="32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="vert270" wrap="none" lIns="27432" tIns="27432" rIns="0" bIns="0" anchor="t" upright="1">
              <a:spAutoFit/>
            </a:bodyPr>
            <a:lstStyle/>
            <a:p>
              <a:pPr algn="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B</a:t>
              </a:r>
            </a:p>
          </xdr:txBody>
        </xdr:sp>
        <xdr:sp macro="" textlink="">
          <xdr:nvSpPr>
            <xdr:cNvPr id="26682" name="Text Box 58">
              <a:extLst>
                <a:ext uri="{FF2B5EF4-FFF2-40B4-BE49-F238E27FC236}">
                  <a16:creationId xmlns:a16="http://schemas.microsoft.com/office/drawing/2014/main" id="{00000000-0008-0000-1E00-00003A68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9" y="124"/>
              <a:ext cx="21" cy="24"/>
            </a:xfrm>
            <a:prstGeom prst="rect">
              <a:avLst/>
            </a:prstGeom>
            <a:noFill/>
            <a:ln w="0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y</a:t>
              </a:r>
            </a:p>
          </xdr:txBody>
        </xdr:sp>
        <xdr:sp macro="" textlink="">
          <xdr:nvSpPr>
            <xdr:cNvPr id="26683" name="Text Box 59">
              <a:extLst>
                <a:ext uri="{FF2B5EF4-FFF2-40B4-BE49-F238E27FC236}">
                  <a16:creationId xmlns:a16="http://schemas.microsoft.com/office/drawing/2014/main" id="{00000000-0008-0000-1E00-00003B68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2" y="132"/>
              <a:ext cx="25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A</a:t>
              </a:r>
            </a:p>
          </xdr:txBody>
        </xdr:sp>
        <xdr:sp macro="" textlink="">
          <xdr:nvSpPr>
            <xdr:cNvPr id="26684" name="Text Box 60">
              <a:extLst>
                <a:ext uri="{FF2B5EF4-FFF2-40B4-BE49-F238E27FC236}">
                  <a16:creationId xmlns:a16="http://schemas.microsoft.com/office/drawing/2014/main" id="{00000000-0008-0000-1E00-00003C68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1" y="73"/>
              <a:ext cx="20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x</a:t>
              </a:r>
            </a:p>
          </xdr:txBody>
        </xdr:sp>
        <xdr:sp macro="" textlink="">
          <xdr:nvSpPr>
            <xdr:cNvPr id="26685" name="Text Box 61">
              <a:extLst>
                <a:ext uri="{FF2B5EF4-FFF2-40B4-BE49-F238E27FC236}">
                  <a16:creationId xmlns:a16="http://schemas.microsoft.com/office/drawing/2014/main" id="{00000000-0008-0000-1E00-00003D68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7" y="50"/>
              <a:ext cx="22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s</a:t>
              </a:r>
            </a:p>
          </xdr:txBody>
        </xdr:sp>
        <xdr:sp macro="" textlink="">
          <xdr:nvSpPr>
            <xdr:cNvPr id="26686" name="Text Box 62">
              <a:extLst>
                <a:ext uri="{FF2B5EF4-FFF2-40B4-BE49-F238E27FC236}">
                  <a16:creationId xmlns:a16="http://schemas.microsoft.com/office/drawing/2014/main" id="{00000000-0008-0000-1E00-00003E68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9" y="29"/>
              <a:ext cx="2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y</a:t>
              </a:r>
            </a:p>
          </xdr:txBody>
        </xdr: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38100</xdr:rowOff>
        </xdr:from>
        <xdr:to>
          <xdr:col>14</xdr:col>
          <xdr:colOff>247650</xdr:colOff>
          <xdr:row>0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E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</xdr:row>
          <xdr:rowOff>66675</xdr:rowOff>
        </xdr:from>
        <xdr:to>
          <xdr:col>16</xdr:col>
          <xdr:colOff>304800</xdr:colOff>
          <xdr:row>2</xdr:row>
          <xdr:rowOff>85725</xdr:rowOff>
        </xdr:to>
        <xdr:sp macro="" textlink="">
          <xdr:nvSpPr>
            <xdr:cNvPr id="26626" name="Drop Dow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E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</xdr:row>
          <xdr:rowOff>19050</xdr:rowOff>
        </xdr:from>
        <xdr:to>
          <xdr:col>13</xdr:col>
          <xdr:colOff>247650</xdr:colOff>
          <xdr:row>4</xdr:row>
          <xdr:rowOff>47625</xdr:rowOff>
        </xdr:to>
        <xdr:sp macro="" textlink="">
          <xdr:nvSpPr>
            <xdr:cNvPr id="26696" name="Drop Dow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1E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3</xdr:row>
          <xdr:rowOff>9525</xdr:rowOff>
        </xdr:from>
        <xdr:to>
          <xdr:col>15</xdr:col>
          <xdr:colOff>219075</xdr:colOff>
          <xdr:row>4</xdr:row>
          <xdr:rowOff>28575</xdr:rowOff>
        </xdr:to>
        <xdr:sp macro="" textlink="">
          <xdr:nvSpPr>
            <xdr:cNvPr id="26697" name="Drop Dow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1E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85725</xdr:rowOff>
    </xdr:from>
    <xdr:to>
      <xdr:col>11</xdr:col>
      <xdr:colOff>295275</xdr:colOff>
      <xdr:row>11</xdr:row>
      <xdr:rowOff>85725</xdr:rowOff>
    </xdr:to>
    <xdr:grpSp>
      <xdr:nvGrpSpPr>
        <xdr:cNvPr id="27731" name="Group 83">
          <a:extLst>
            <a:ext uri="{FF2B5EF4-FFF2-40B4-BE49-F238E27FC236}">
              <a16:creationId xmlns:a16="http://schemas.microsoft.com/office/drawing/2014/main" id="{00000000-0008-0000-1F00-0000536C0000}"/>
            </a:ext>
          </a:extLst>
        </xdr:cNvPr>
        <xdr:cNvGrpSpPr>
          <a:grpSpLocks/>
        </xdr:cNvGrpSpPr>
      </xdr:nvGrpSpPr>
      <xdr:grpSpPr bwMode="auto">
        <a:xfrm>
          <a:off x="47625" y="85725"/>
          <a:ext cx="3486150" cy="1781175"/>
          <a:chOff x="50" y="9"/>
          <a:chExt cx="366" cy="187"/>
        </a:xfrm>
      </xdr:grpSpPr>
      <xdr:sp macro="" textlink="">
        <xdr:nvSpPr>
          <xdr:cNvPr id="27716" name="Rectangle 68">
            <a:extLst>
              <a:ext uri="{FF2B5EF4-FFF2-40B4-BE49-F238E27FC236}">
                <a16:creationId xmlns:a16="http://schemas.microsoft.com/office/drawing/2014/main" id="{00000000-0008-0000-1F00-0000446C0000}"/>
              </a:ext>
            </a:extLst>
          </xdr:cNvPr>
          <xdr:cNvSpPr>
            <a:spLocks noChangeArrowheads="1"/>
          </xdr:cNvSpPr>
        </xdr:nvSpPr>
        <xdr:spPr bwMode="auto">
          <a:xfrm>
            <a:off x="50" y="9"/>
            <a:ext cx="366" cy="187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7730" name="Group 82">
            <a:extLst>
              <a:ext uri="{FF2B5EF4-FFF2-40B4-BE49-F238E27FC236}">
                <a16:creationId xmlns:a16="http://schemas.microsoft.com/office/drawing/2014/main" id="{00000000-0008-0000-1F00-0000526C0000}"/>
              </a:ext>
            </a:extLst>
          </xdr:cNvPr>
          <xdr:cNvGrpSpPr>
            <a:grpSpLocks/>
          </xdr:cNvGrpSpPr>
        </xdr:nvGrpSpPr>
        <xdr:grpSpPr bwMode="auto">
          <a:xfrm>
            <a:off x="54" y="20"/>
            <a:ext cx="355" cy="169"/>
            <a:chOff x="54" y="20"/>
            <a:chExt cx="355" cy="169"/>
          </a:xfrm>
        </xdr:grpSpPr>
        <xdr:grpSp>
          <xdr:nvGrpSpPr>
            <xdr:cNvPr id="27700" name="Group 52">
              <a:extLst>
                <a:ext uri="{FF2B5EF4-FFF2-40B4-BE49-F238E27FC236}">
                  <a16:creationId xmlns:a16="http://schemas.microsoft.com/office/drawing/2014/main" id="{00000000-0008-0000-1F00-0000346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46" y="20"/>
              <a:ext cx="161" cy="126"/>
              <a:chOff x="165" y="148"/>
              <a:chExt cx="161" cy="126"/>
            </a:xfrm>
          </xdr:grpSpPr>
          <xdr:sp macro="" textlink="">
            <xdr:nvSpPr>
              <xdr:cNvPr id="27652" name="Freeform 4" descr="Светлый диагональный 1">
                <a:extLst>
                  <a:ext uri="{FF2B5EF4-FFF2-40B4-BE49-F238E27FC236}">
                    <a16:creationId xmlns:a16="http://schemas.microsoft.com/office/drawing/2014/main" id="{00000000-0008-0000-1F00-0000046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5" y="148"/>
                <a:ext cx="161" cy="41"/>
              </a:xfrm>
              <a:custGeom>
                <a:avLst/>
                <a:gdLst/>
                <a:ahLst/>
                <a:cxnLst>
                  <a:cxn ang="0">
                    <a:pos x="13" y="0"/>
                  </a:cxn>
                  <a:cxn ang="0">
                    <a:pos x="26" y="14"/>
                  </a:cxn>
                  <a:cxn ang="0">
                    <a:pos x="55" y="14"/>
                  </a:cxn>
                  <a:cxn ang="0">
                    <a:pos x="73" y="26"/>
                  </a:cxn>
                  <a:cxn ang="0">
                    <a:pos x="155" y="26"/>
                  </a:cxn>
                  <a:cxn ang="0">
                    <a:pos x="158" y="31"/>
                  </a:cxn>
                  <a:cxn ang="0">
                    <a:pos x="153" y="34"/>
                  </a:cxn>
                  <a:cxn ang="0">
                    <a:pos x="161" y="39"/>
                  </a:cxn>
                  <a:cxn ang="0">
                    <a:pos x="155" y="41"/>
                  </a:cxn>
                  <a:cxn ang="0">
                    <a:pos x="55" y="41"/>
                  </a:cxn>
                  <a:cxn ang="0">
                    <a:pos x="55" y="29"/>
                  </a:cxn>
                  <a:cxn ang="0">
                    <a:pos x="0" y="17"/>
                  </a:cxn>
                  <a:cxn ang="0">
                    <a:pos x="0" y="0"/>
                  </a:cxn>
                  <a:cxn ang="0">
                    <a:pos x="13" y="0"/>
                  </a:cxn>
                </a:cxnLst>
                <a:rect l="0" t="0" r="r" b="b"/>
                <a:pathLst>
                  <a:path w="161" h="41">
                    <a:moveTo>
                      <a:pt x="13" y="0"/>
                    </a:moveTo>
                    <a:cubicBezTo>
                      <a:pt x="17" y="2"/>
                      <a:pt x="16" y="12"/>
                      <a:pt x="26" y="14"/>
                    </a:cubicBezTo>
                    <a:lnTo>
                      <a:pt x="55" y="14"/>
                    </a:lnTo>
                    <a:lnTo>
                      <a:pt x="73" y="26"/>
                    </a:lnTo>
                    <a:lnTo>
                      <a:pt x="155" y="26"/>
                    </a:lnTo>
                    <a:lnTo>
                      <a:pt x="158" y="31"/>
                    </a:lnTo>
                    <a:lnTo>
                      <a:pt x="153" y="34"/>
                    </a:lnTo>
                    <a:lnTo>
                      <a:pt x="161" y="39"/>
                    </a:lnTo>
                    <a:lnTo>
                      <a:pt x="155" y="41"/>
                    </a:lnTo>
                    <a:lnTo>
                      <a:pt x="55" y="41"/>
                    </a:lnTo>
                    <a:lnTo>
                      <a:pt x="55" y="29"/>
                    </a:lnTo>
                    <a:lnTo>
                      <a:pt x="0" y="17"/>
                    </a:lnTo>
                    <a:lnTo>
                      <a:pt x="0" y="0"/>
                    </a:lnTo>
                    <a:lnTo>
                      <a:pt x="13" y="0"/>
                    </a:lnTo>
                    <a:close/>
                  </a:path>
                </a:pathLst>
              </a:custGeom>
              <a:pattFill prst="ltDnDiag">
                <a:fgClr>
                  <a:srgbClr val="000000"/>
                </a:fgClr>
                <a:bgClr>
                  <a:srgbClr val="FFFFFF"/>
                </a:bgClr>
              </a:pattFill>
              <a:ln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54" name="Freeform 6" descr="Светлый диагональный 1">
                <a:extLst>
                  <a:ext uri="{FF2B5EF4-FFF2-40B4-BE49-F238E27FC236}">
                    <a16:creationId xmlns:a16="http://schemas.microsoft.com/office/drawing/2014/main" id="{00000000-0008-0000-1F00-0000066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5" y="233"/>
                <a:ext cx="160" cy="41"/>
              </a:xfrm>
              <a:custGeom>
                <a:avLst/>
                <a:gdLst/>
                <a:ahLst/>
                <a:cxnLst>
                  <a:cxn ang="0">
                    <a:pos x="13" y="41"/>
                  </a:cxn>
                  <a:cxn ang="0">
                    <a:pos x="26" y="27"/>
                  </a:cxn>
                  <a:cxn ang="0">
                    <a:pos x="55" y="27"/>
                  </a:cxn>
                  <a:cxn ang="0">
                    <a:pos x="73" y="15"/>
                  </a:cxn>
                  <a:cxn ang="0">
                    <a:pos x="155" y="15"/>
                  </a:cxn>
                  <a:cxn ang="0">
                    <a:pos x="151" y="11"/>
                  </a:cxn>
                  <a:cxn ang="0">
                    <a:pos x="157" y="9"/>
                  </a:cxn>
                  <a:cxn ang="0">
                    <a:pos x="154" y="5"/>
                  </a:cxn>
                  <a:cxn ang="0">
                    <a:pos x="160" y="0"/>
                  </a:cxn>
                  <a:cxn ang="0">
                    <a:pos x="55" y="0"/>
                  </a:cxn>
                  <a:cxn ang="0">
                    <a:pos x="55" y="12"/>
                  </a:cxn>
                  <a:cxn ang="0">
                    <a:pos x="0" y="24"/>
                  </a:cxn>
                  <a:cxn ang="0">
                    <a:pos x="0" y="41"/>
                  </a:cxn>
                  <a:cxn ang="0">
                    <a:pos x="13" y="41"/>
                  </a:cxn>
                </a:cxnLst>
                <a:rect l="0" t="0" r="r" b="b"/>
                <a:pathLst>
                  <a:path w="160" h="41">
                    <a:moveTo>
                      <a:pt x="13" y="41"/>
                    </a:moveTo>
                    <a:cubicBezTo>
                      <a:pt x="17" y="39"/>
                      <a:pt x="16" y="29"/>
                      <a:pt x="26" y="27"/>
                    </a:cubicBezTo>
                    <a:lnTo>
                      <a:pt x="55" y="27"/>
                    </a:lnTo>
                    <a:lnTo>
                      <a:pt x="73" y="15"/>
                    </a:lnTo>
                    <a:lnTo>
                      <a:pt x="155" y="15"/>
                    </a:lnTo>
                    <a:lnTo>
                      <a:pt x="151" y="11"/>
                    </a:lnTo>
                    <a:lnTo>
                      <a:pt x="157" y="9"/>
                    </a:lnTo>
                    <a:lnTo>
                      <a:pt x="154" y="5"/>
                    </a:lnTo>
                    <a:lnTo>
                      <a:pt x="160" y="0"/>
                    </a:lnTo>
                    <a:lnTo>
                      <a:pt x="55" y="0"/>
                    </a:lnTo>
                    <a:lnTo>
                      <a:pt x="55" y="12"/>
                    </a:lnTo>
                    <a:lnTo>
                      <a:pt x="0" y="24"/>
                    </a:lnTo>
                    <a:lnTo>
                      <a:pt x="0" y="41"/>
                    </a:lnTo>
                    <a:lnTo>
                      <a:pt x="13" y="41"/>
                    </a:lnTo>
                    <a:close/>
                  </a:path>
                </a:pathLst>
              </a:custGeom>
              <a:pattFill prst="ltDnDiag">
                <a:fgClr>
                  <a:srgbClr val="000000"/>
                </a:fgClr>
                <a:bgClr>
                  <a:srgbClr val="FFFFFF"/>
                </a:bgClr>
              </a:pattFill>
              <a:ln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55" name="Freeform 7">
                <a:extLst>
                  <a:ext uri="{FF2B5EF4-FFF2-40B4-BE49-F238E27FC236}">
                    <a16:creationId xmlns:a16="http://schemas.microsoft.com/office/drawing/2014/main" id="{00000000-0008-0000-1F00-0000076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5" y="165"/>
                <a:ext cx="55" cy="92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55" y="12"/>
                  </a:cxn>
                  <a:cxn ang="0">
                    <a:pos x="55" y="80"/>
                  </a:cxn>
                  <a:cxn ang="0">
                    <a:pos x="0" y="92"/>
                  </a:cxn>
                  <a:cxn ang="0">
                    <a:pos x="0" y="0"/>
                  </a:cxn>
                </a:cxnLst>
                <a:rect l="0" t="0" r="r" b="b"/>
                <a:pathLst>
                  <a:path w="55" h="92">
                    <a:moveTo>
                      <a:pt x="0" y="0"/>
                    </a:moveTo>
                    <a:lnTo>
                      <a:pt x="55" y="12"/>
                    </a:lnTo>
                    <a:lnTo>
                      <a:pt x="55" y="80"/>
                    </a:lnTo>
                    <a:lnTo>
                      <a:pt x="0" y="92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56" name="Rectangle 8">
                <a:extLst>
                  <a:ext uri="{FF2B5EF4-FFF2-40B4-BE49-F238E27FC236}">
                    <a16:creationId xmlns:a16="http://schemas.microsoft.com/office/drawing/2014/main" id="{00000000-0008-0000-1F00-0000086C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20" y="189"/>
                <a:ext cx="100" cy="44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grpSp>
          <xdr:nvGrpSpPr>
            <xdr:cNvPr id="27689" name="Group 41">
              <a:extLst>
                <a:ext uri="{FF2B5EF4-FFF2-40B4-BE49-F238E27FC236}">
                  <a16:creationId xmlns:a16="http://schemas.microsoft.com/office/drawing/2014/main" id="{00000000-0008-0000-1F00-0000296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6" y="49"/>
              <a:ext cx="75" cy="68"/>
              <a:chOff x="145" y="177"/>
              <a:chExt cx="75" cy="68"/>
            </a:xfrm>
          </xdr:grpSpPr>
          <xdr:sp macro="" textlink="">
            <xdr:nvSpPr>
              <xdr:cNvPr id="27657" name="Line 9">
                <a:extLst>
                  <a:ext uri="{FF2B5EF4-FFF2-40B4-BE49-F238E27FC236}">
                    <a16:creationId xmlns:a16="http://schemas.microsoft.com/office/drawing/2014/main" id="{00000000-0008-0000-1F00-000009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45" y="245"/>
                <a:ext cx="75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58" name="Line 10">
                <a:extLst>
                  <a:ext uri="{FF2B5EF4-FFF2-40B4-BE49-F238E27FC236}">
                    <a16:creationId xmlns:a16="http://schemas.microsoft.com/office/drawing/2014/main" id="{00000000-0008-0000-1F00-00000A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45" y="177"/>
                <a:ext cx="75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59" name="Line 11">
                <a:extLst>
                  <a:ext uri="{FF2B5EF4-FFF2-40B4-BE49-F238E27FC236}">
                    <a16:creationId xmlns:a16="http://schemas.microsoft.com/office/drawing/2014/main" id="{00000000-0008-0000-1F00-00000B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54" y="177"/>
                <a:ext cx="0" cy="68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 type="arrow" w="sm" len="med"/>
                <a:tailEnd type="arrow" w="sm" len="med"/>
              </a:ln>
            </xdr:spPr>
          </xdr:sp>
        </xdr:grpSp>
        <xdr:grpSp>
          <xdr:nvGrpSpPr>
            <xdr:cNvPr id="27688" name="Group 40">
              <a:extLst>
                <a:ext uri="{FF2B5EF4-FFF2-40B4-BE49-F238E27FC236}">
                  <a16:creationId xmlns:a16="http://schemas.microsoft.com/office/drawing/2014/main" id="{00000000-0008-0000-1F00-0000286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11" y="37"/>
              <a:ext cx="34" cy="91"/>
              <a:chOff x="130" y="165"/>
              <a:chExt cx="34" cy="91"/>
            </a:xfrm>
          </xdr:grpSpPr>
          <xdr:sp macro="" textlink="">
            <xdr:nvSpPr>
              <xdr:cNvPr id="27662" name="Line 14">
                <a:extLst>
                  <a:ext uri="{FF2B5EF4-FFF2-40B4-BE49-F238E27FC236}">
                    <a16:creationId xmlns:a16="http://schemas.microsoft.com/office/drawing/2014/main" id="{00000000-0008-0000-1F00-00000E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30" y="256"/>
                <a:ext cx="34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63" name="Line 15">
                <a:extLst>
                  <a:ext uri="{FF2B5EF4-FFF2-40B4-BE49-F238E27FC236}">
                    <a16:creationId xmlns:a16="http://schemas.microsoft.com/office/drawing/2014/main" id="{00000000-0008-0000-1F00-00000F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30" y="165"/>
                <a:ext cx="34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64" name="Line 16">
                <a:extLst>
                  <a:ext uri="{FF2B5EF4-FFF2-40B4-BE49-F238E27FC236}">
                    <a16:creationId xmlns:a16="http://schemas.microsoft.com/office/drawing/2014/main" id="{00000000-0008-0000-1F00-000010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34" y="165"/>
                <a:ext cx="0" cy="91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 type="arrow" w="sm" len="med"/>
                <a:tailEnd type="arrow" w="sm" len="med"/>
              </a:ln>
            </xdr:spPr>
          </xdr:sp>
        </xdr:grpSp>
        <xdr:grpSp>
          <xdr:nvGrpSpPr>
            <xdr:cNvPr id="27687" name="Group 39">
              <a:extLst>
                <a:ext uri="{FF2B5EF4-FFF2-40B4-BE49-F238E27FC236}">
                  <a16:creationId xmlns:a16="http://schemas.microsoft.com/office/drawing/2014/main" id="{00000000-0008-0000-1F00-0000276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6" y="34"/>
              <a:ext cx="83" cy="98"/>
              <a:chOff x="105" y="162"/>
              <a:chExt cx="83" cy="98"/>
            </a:xfrm>
          </xdr:grpSpPr>
          <xdr:sp macro="" textlink="">
            <xdr:nvSpPr>
              <xdr:cNvPr id="27666" name="Line 18">
                <a:extLst>
                  <a:ext uri="{FF2B5EF4-FFF2-40B4-BE49-F238E27FC236}">
                    <a16:creationId xmlns:a16="http://schemas.microsoft.com/office/drawing/2014/main" id="{00000000-0008-0000-1F00-000012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5" y="260"/>
                <a:ext cx="83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67" name="Line 19">
                <a:extLst>
                  <a:ext uri="{FF2B5EF4-FFF2-40B4-BE49-F238E27FC236}">
                    <a16:creationId xmlns:a16="http://schemas.microsoft.com/office/drawing/2014/main" id="{00000000-0008-0000-1F00-000013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5" y="162"/>
                <a:ext cx="83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68" name="Line 20">
                <a:extLst>
                  <a:ext uri="{FF2B5EF4-FFF2-40B4-BE49-F238E27FC236}">
                    <a16:creationId xmlns:a16="http://schemas.microsoft.com/office/drawing/2014/main" id="{00000000-0008-0000-1F00-000014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5" y="162"/>
                <a:ext cx="0" cy="98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 type="arrow" w="sm" len="med"/>
                <a:tailEnd type="arrow" w="sm" len="med"/>
              </a:ln>
            </xdr:spPr>
          </xdr:sp>
        </xdr:grpSp>
        <xdr:grpSp>
          <xdr:nvGrpSpPr>
            <xdr:cNvPr id="27686" name="Group 38">
              <a:extLst>
                <a:ext uri="{FF2B5EF4-FFF2-40B4-BE49-F238E27FC236}">
                  <a16:creationId xmlns:a16="http://schemas.microsoft.com/office/drawing/2014/main" id="{00000000-0008-0000-1F00-0000266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" y="20"/>
              <a:ext cx="83" cy="126"/>
              <a:chOff x="84" y="148"/>
              <a:chExt cx="83" cy="126"/>
            </a:xfrm>
          </xdr:grpSpPr>
          <xdr:sp macro="" textlink="">
            <xdr:nvSpPr>
              <xdr:cNvPr id="27670" name="Line 22">
                <a:extLst>
                  <a:ext uri="{FF2B5EF4-FFF2-40B4-BE49-F238E27FC236}">
                    <a16:creationId xmlns:a16="http://schemas.microsoft.com/office/drawing/2014/main" id="{00000000-0008-0000-1F00-000016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4" y="274"/>
                <a:ext cx="83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71" name="Line 23">
                <a:extLst>
                  <a:ext uri="{FF2B5EF4-FFF2-40B4-BE49-F238E27FC236}">
                    <a16:creationId xmlns:a16="http://schemas.microsoft.com/office/drawing/2014/main" id="{00000000-0008-0000-1F00-000017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4" y="148"/>
                <a:ext cx="83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72" name="Line 24">
                <a:extLst>
                  <a:ext uri="{FF2B5EF4-FFF2-40B4-BE49-F238E27FC236}">
                    <a16:creationId xmlns:a16="http://schemas.microsoft.com/office/drawing/2014/main" id="{00000000-0008-0000-1F00-000018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4" y="148"/>
                <a:ext cx="0" cy="126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 type="arrow" w="sm" len="med"/>
                <a:tailEnd type="arrow" w="sm" len="med"/>
              </a:ln>
            </xdr:spPr>
          </xdr:sp>
        </xdr:grpSp>
        <xdr:sp macro="" textlink="">
          <xdr:nvSpPr>
            <xdr:cNvPr id="27673" name="Text Box 25">
              <a:extLst>
                <a:ext uri="{FF2B5EF4-FFF2-40B4-BE49-F238E27FC236}">
                  <a16:creationId xmlns:a16="http://schemas.microsoft.com/office/drawing/2014/main" id="{00000000-0008-0000-1F00-000019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15" y="72"/>
              <a:ext cx="30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="vert270" wrap="none" lIns="27432" tIns="27432" rIns="0" bIns="0" anchor="t" upright="1">
              <a:spAutoFit/>
            </a:bodyPr>
            <a:lstStyle/>
            <a:p>
              <a:pPr algn="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Bookman Old Style"/>
                </a:rPr>
                <a:t>D</a:t>
              </a:r>
              <a:r>
                <a:rPr lang="en-US" sz="1100" b="0" i="0" u="none" strike="noStrike" baseline="-25000">
                  <a:solidFill>
                    <a:srgbClr val="000080"/>
                  </a:solidFill>
                  <a:latin typeface="Bookman Old Style"/>
                </a:rPr>
                <a:t>1</a:t>
              </a:r>
            </a:p>
          </xdr:txBody>
        </xdr:sp>
        <xdr:sp macro="" textlink="">
          <xdr:nvSpPr>
            <xdr:cNvPr id="27674" name="Text Box 26">
              <a:extLst>
                <a:ext uri="{FF2B5EF4-FFF2-40B4-BE49-F238E27FC236}">
                  <a16:creationId xmlns:a16="http://schemas.microsoft.com/office/drawing/2014/main" id="{00000000-0008-0000-1F00-00001A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5" y="72"/>
              <a:ext cx="30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="vert270" wrap="none" lIns="27432" tIns="27432" rIns="0" bIns="0" anchor="t" upright="1">
              <a:spAutoFit/>
            </a:bodyPr>
            <a:lstStyle/>
            <a:p>
              <a:pPr algn="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Bookman Old Style"/>
                </a:rPr>
                <a:t>D</a:t>
              </a:r>
              <a:r>
                <a:rPr lang="en-US" sz="1100" b="0" i="0" u="none" strike="noStrike" baseline="-25000">
                  <a:solidFill>
                    <a:srgbClr val="000080"/>
                  </a:solidFill>
                  <a:latin typeface="Bookman Old Style"/>
                </a:rPr>
                <a:t>2</a:t>
              </a:r>
            </a:p>
          </xdr:txBody>
        </xdr:sp>
        <xdr:sp macro="" textlink="">
          <xdr:nvSpPr>
            <xdr:cNvPr id="27675" name="Text Box 27">
              <a:extLst>
                <a:ext uri="{FF2B5EF4-FFF2-40B4-BE49-F238E27FC236}">
                  <a16:creationId xmlns:a16="http://schemas.microsoft.com/office/drawing/2014/main" id="{00000000-0008-0000-1F00-00001B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5" y="72"/>
              <a:ext cx="30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="vert270" wrap="none" lIns="27432" tIns="27432" rIns="0" bIns="0" anchor="t" upright="1">
              <a:spAutoFit/>
            </a:bodyPr>
            <a:lstStyle/>
            <a:p>
              <a:pPr algn="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Bookman Old Style"/>
                </a:rPr>
                <a:t>D</a:t>
              </a:r>
              <a:r>
                <a:rPr lang="en-US" sz="1100" b="0" i="0" u="none" strike="noStrike" baseline="-25000">
                  <a:solidFill>
                    <a:srgbClr val="000080"/>
                  </a:solidFill>
                  <a:latin typeface="Bookman Old Style"/>
                </a:rPr>
                <a:t>3</a:t>
              </a:r>
            </a:p>
          </xdr:txBody>
        </xdr:sp>
        <xdr:sp macro="" textlink="">
          <xdr:nvSpPr>
            <xdr:cNvPr id="27676" name="Text Box 28">
              <a:extLst>
                <a:ext uri="{FF2B5EF4-FFF2-40B4-BE49-F238E27FC236}">
                  <a16:creationId xmlns:a16="http://schemas.microsoft.com/office/drawing/2014/main" id="{00000000-0008-0000-1F00-00001C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4" y="72"/>
              <a:ext cx="30" cy="26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="vert270" wrap="none" lIns="27432" tIns="27432" rIns="0" bIns="0" anchor="t" upright="1">
              <a:spAutoFit/>
            </a:bodyPr>
            <a:lstStyle/>
            <a:p>
              <a:pPr algn="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Bookman Old Style"/>
                </a:rPr>
                <a:t>D</a:t>
              </a:r>
              <a:r>
                <a:rPr lang="en-US" sz="1100" b="0" i="0" u="none" strike="noStrike" baseline="-25000">
                  <a:solidFill>
                    <a:srgbClr val="000080"/>
                  </a:solidFill>
                  <a:latin typeface="Bookman Old Style"/>
                </a:rPr>
                <a:t>4</a:t>
              </a:r>
            </a:p>
          </xdr:txBody>
        </xdr:sp>
        <xdr:sp macro="" textlink="">
          <xdr:nvSpPr>
            <xdr:cNvPr id="27677" name="Text Box 29">
              <a:extLst>
                <a:ext uri="{FF2B5EF4-FFF2-40B4-BE49-F238E27FC236}">
                  <a16:creationId xmlns:a16="http://schemas.microsoft.com/office/drawing/2014/main" id="{00000000-0008-0000-1F00-00001D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78" y="68"/>
              <a:ext cx="31" cy="27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="vert270" wrap="none" lIns="27432" tIns="27432" rIns="0" bIns="0" anchor="t" upright="1">
              <a:spAutoFit/>
            </a:bodyPr>
            <a:lstStyle/>
            <a:p>
              <a:pPr algn="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Bookman Old Style"/>
                </a:rPr>
                <a:t>D</a:t>
              </a:r>
              <a:r>
                <a:rPr lang="ru-RU" sz="1200" b="1" i="0" u="none" strike="noStrike" baseline="-25000">
                  <a:solidFill>
                    <a:srgbClr val="000080"/>
                  </a:solidFill>
                  <a:latin typeface="Bookman Old Style"/>
                </a:rPr>
                <a:t>у</a:t>
              </a:r>
            </a:p>
          </xdr:txBody>
        </xdr:sp>
        <xdr:sp macro="" textlink="">
          <xdr:nvSpPr>
            <xdr:cNvPr id="27683" name="Line 35">
              <a:extLst>
                <a:ext uri="{FF2B5EF4-FFF2-40B4-BE49-F238E27FC236}">
                  <a16:creationId xmlns:a16="http://schemas.microsoft.com/office/drawing/2014/main" id="{00000000-0008-0000-1F00-0000236C0000}"/>
                </a:ext>
              </a:extLst>
            </xdr:cNvPr>
            <xdr:cNvSpPr>
              <a:spLocks noChangeShapeType="1"/>
            </xdr:cNvSpPr>
          </xdr:nvSpPr>
          <xdr:spPr bwMode="auto">
            <a:xfrm rot="16200000" flipH="1">
              <a:off x="151" y="155"/>
              <a:ext cx="17" cy="0"/>
            </a:xfrm>
            <a:prstGeom prst="line">
              <a:avLst/>
            </a:prstGeom>
            <a:noFill/>
            <a:ln w="6350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27684" name="Line 36">
              <a:extLst>
                <a:ext uri="{FF2B5EF4-FFF2-40B4-BE49-F238E27FC236}">
                  <a16:creationId xmlns:a16="http://schemas.microsoft.com/office/drawing/2014/main" id="{00000000-0008-0000-1F00-0000246C0000}"/>
                </a:ext>
              </a:extLst>
            </xdr:cNvPr>
            <xdr:cNvSpPr>
              <a:spLocks noChangeShapeType="1"/>
            </xdr:cNvSpPr>
          </xdr:nvSpPr>
          <xdr:spPr bwMode="auto">
            <a:xfrm rot="16200000" flipH="1">
              <a:off x="137" y="155"/>
              <a:ext cx="17" cy="0"/>
            </a:xfrm>
            <a:prstGeom prst="line">
              <a:avLst/>
            </a:prstGeom>
            <a:noFill/>
            <a:ln w="6350">
              <a:solidFill>
                <a:srgbClr val="000080"/>
              </a:solidFill>
              <a:round/>
              <a:headEnd/>
              <a:tailEnd/>
            </a:ln>
          </xdr:spPr>
        </xdr:sp>
        <xdr:sp macro="" textlink="">
          <xdr:nvSpPr>
            <xdr:cNvPr id="27685" name="Line 37">
              <a:extLst>
                <a:ext uri="{FF2B5EF4-FFF2-40B4-BE49-F238E27FC236}">
                  <a16:creationId xmlns:a16="http://schemas.microsoft.com/office/drawing/2014/main" id="{00000000-0008-0000-1F00-0000256C0000}"/>
                </a:ext>
              </a:extLst>
            </xdr:cNvPr>
            <xdr:cNvSpPr>
              <a:spLocks noChangeShapeType="1"/>
            </xdr:cNvSpPr>
          </xdr:nvSpPr>
          <xdr:spPr bwMode="auto">
            <a:xfrm rot="16200000">
              <a:off x="153" y="154"/>
              <a:ext cx="0" cy="14"/>
            </a:xfrm>
            <a:prstGeom prst="line">
              <a:avLst/>
            </a:prstGeom>
            <a:noFill/>
            <a:ln w="6350">
              <a:solidFill>
                <a:srgbClr val="000080"/>
              </a:solidFill>
              <a:round/>
              <a:headEnd type="none" w="sm" len="med"/>
              <a:tailEnd/>
            </a:ln>
          </xdr:spPr>
        </xdr:sp>
        <xdr:sp macro="" textlink="">
          <xdr:nvSpPr>
            <xdr:cNvPr id="27691" name="Line 43">
              <a:extLst>
                <a:ext uri="{FF2B5EF4-FFF2-40B4-BE49-F238E27FC236}">
                  <a16:creationId xmlns:a16="http://schemas.microsoft.com/office/drawing/2014/main" id="{00000000-0008-0000-1F00-00002B6C0000}"/>
                </a:ext>
              </a:extLst>
            </xdr:cNvPr>
            <xdr:cNvSpPr>
              <a:spLocks noChangeShapeType="1"/>
            </xdr:cNvSpPr>
          </xdr:nvSpPr>
          <xdr:spPr bwMode="auto">
            <a:xfrm rot="16200000">
              <a:off x="137" y="151"/>
              <a:ext cx="0" cy="20"/>
            </a:xfrm>
            <a:prstGeom prst="line">
              <a:avLst/>
            </a:prstGeom>
            <a:noFill/>
            <a:ln w="6350">
              <a:solidFill>
                <a:srgbClr val="000080"/>
              </a:solidFill>
              <a:round/>
              <a:headEnd type="none" w="sm" len="med"/>
              <a:tailEnd type="arrow" w="sm" len="med"/>
            </a:ln>
          </xdr:spPr>
        </xdr:sp>
        <xdr:sp macro="" textlink="">
          <xdr:nvSpPr>
            <xdr:cNvPr id="27692" name="Line 44">
              <a:extLst>
                <a:ext uri="{FF2B5EF4-FFF2-40B4-BE49-F238E27FC236}">
                  <a16:creationId xmlns:a16="http://schemas.microsoft.com/office/drawing/2014/main" id="{00000000-0008-0000-1F00-00002C6C0000}"/>
                </a:ext>
              </a:extLst>
            </xdr:cNvPr>
            <xdr:cNvSpPr>
              <a:spLocks noChangeShapeType="1"/>
            </xdr:cNvSpPr>
          </xdr:nvSpPr>
          <xdr:spPr bwMode="auto">
            <a:xfrm rot="16200000">
              <a:off x="171" y="151"/>
              <a:ext cx="0" cy="20"/>
            </a:xfrm>
            <a:prstGeom prst="line">
              <a:avLst/>
            </a:prstGeom>
            <a:noFill/>
            <a:ln w="6350">
              <a:solidFill>
                <a:srgbClr val="000080"/>
              </a:solidFill>
              <a:round/>
              <a:headEnd type="arrow" w="sm" len="med"/>
              <a:tailEnd/>
            </a:ln>
          </xdr:spPr>
        </xdr:sp>
        <xdr:sp macro="" textlink="">
          <xdr:nvSpPr>
            <xdr:cNvPr id="27694" name="Text Box 46">
              <a:extLst>
                <a:ext uri="{FF2B5EF4-FFF2-40B4-BE49-F238E27FC236}">
                  <a16:creationId xmlns:a16="http://schemas.microsoft.com/office/drawing/2014/main" id="{00000000-0008-0000-1F00-00002E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47" y="145"/>
              <a:ext cx="15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a</a:t>
              </a:r>
            </a:p>
          </xdr:txBody>
        </xdr:sp>
        <xdr:sp macro="" textlink="">
          <xdr:nvSpPr>
            <xdr:cNvPr id="27695" name="Text Box 47">
              <a:extLst>
                <a:ext uri="{FF2B5EF4-FFF2-40B4-BE49-F238E27FC236}">
                  <a16:creationId xmlns:a16="http://schemas.microsoft.com/office/drawing/2014/main" id="{00000000-0008-0000-1F00-00002F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65" y="167"/>
              <a:ext cx="16" cy="2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b</a:t>
              </a:r>
            </a:p>
          </xdr:txBody>
        </xdr:sp>
        <xdr:grpSp>
          <xdr:nvGrpSpPr>
            <xdr:cNvPr id="27705" name="Group 57">
              <a:extLst>
                <a:ext uri="{FF2B5EF4-FFF2-40B4-BE49-F238E27FC236}">
                  <a16:creationId xmlns:a16="http://schemas.microsoft.com/office/drawing/2014/main" id="{00000000-0008-0000-1F00-0000396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07" y="46"/>
              <a:ext cx="72" cy="74"/>
              <a:chOff x="326" y="174"/>
              <a:chExt cx="72" cy="74"/>
            </a:xfrm>
          </xdr:grpSpPr>
          <xdr:sp macro="" textlink="">
            <xdr:nvSpPr>
              <xdr:cNvPr id="27697" name="Freeform 49" descr="Светлый диагональный 1">
                <a:extLst>
                  <a:ext uri="{FF2B5EF4-FFF2-40B4-BE49-F238E27FC236}">
                    <a16:creationId xmlns:a16="http://schemas.microsoft.com/office/drawing/2014/main" id="{00000000-0008-0000-1F00-0000316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74"/>
                <a:ext cx="72" cy="74"/>
              </a:xfrm>
              <a:custGeom>
                <a:avLst/>
                <a:gdLst/>
                <a:ahLst/>
                <a:cxnLst>
                  <a:cxn ang="0">
                    <a:pos x="71" y="0"/>
                  </a:cxn>
                  <a:cxn ang="0">
                    <a:pos x="71" y="76"/>
                  </a:cxn>
                  <a:cxn ang="0">
                    <a:pos x="2" y="76"/>
                  </a:cxn>
                  <a:cxn ang="0">
                    <a:pos x="0" y="72"/>
                  </a:cxn>
                  <a:cxn ang="0">
                    <a:pos x="4" y="70"/>
                  </a:cxn>
                  <a:cxn ang="0">
                    <a:pos x="1" y="65"/>
                  </a:cxn>
                  <a:cxn ang="0">
                    <a:pos x="7" y="59"/>
                  </a:cxn>
                  <a:cxn ang="0">
                    <a:pos x="7" y="15"/>
                  </a:cxn>
                  <a:cxn ang="0">
                    <a:pos x="16" y="13"/>
                  </a:cxn>
                  <a:cxn ang="0">
                    <a:pos x="8" y="8"/>
                  </a:cxn>
                  <a:cxn ang="0">
                    <a:pos x="11" y="5"/>
                  </a:cxn>
                  <a:cxn ang="0">
                    <a:pos x="6" y="0"/>
                  </a:cxn>
                  <a:cxn ang="0">
                    <a:pos x="71" y="0"/>
                  </a:cxn>
                </a:cxnLst>
                <a:rect l="0" t="0" r="r" b="b"/>
                <a:pathLst>
                  <a:path w="71" h="76">
                    <a:moveTo>
                      <a:pt x="71" y="0"/>
                    </a:moveTo>
                    <a:lnTo>
                      <a:pt x="71" y="76"/>
                    </a:lnTo>
                    <a:lnTo>
                      <a:pt x="2" y="76"/>
                    </a:lnTo>
                    <a:lnTo>
                      <a:pt x="0" y="72"/>
                    </a:lnTo>
                    <a:lnTo>
                      <a:pt x="4" y="70"/>
                    </a:lnTo>
                    <a:lnTo>
                      <a:pt x="1" y="65"/>
                    </a:lnTo>
                    <a:lnTo>
                      <a:pt x="7" y="59"/>
                    </a:lnTo>
                    <a:lnTo>
                      <a:pt x="7" y="15"/>
                    </a:lnTo>
                    <a:lnTo>
                      <a:pt x="16" y="13"/>
                    </a:lnTo>
                    <a:lnTo>
                      <a:pt x="8" y="8"/>
                    </a:lnTo>
                    <a:lnTo>
                      <a:pt x="11" y="5"/>
                    </a:lnTo>
                    <a:lnTo>
                      <a:pt x="6" y="0"/>
                    </a:lnTo>
                    <a:lnTo>
                      <a:pt x="71" y="0"/>
                    </a:lnTo>
                    <a:close/>
                  </a:path>
                </a:pathLst>
              </a:custGeom>
              <a:pattFill prst="ltDnDiag">
                <a:fgClr>
                  <a:srgbClr val="000000"/>
                </a:fgClr>
                <a:bgClr>
                  <a:srgbClr val="FFFFFF"/>
                </a:bgClr>
              </a:pattFill>
              <a:ln w="9525" cap="flat" cmpd="sng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sp macro="" textlink="">
            <xdr:nvSpPr>
              <xdr:cNvPr id="27696" name="Rectangle 48">
                <a:extLst>
                  <a:ext uri="{FF2B5EF4-FFF2-40B4-BE49-F238E27FC236}">
                    <a16:creationId xmlns:a16="http://schemas.microsoft.com/office/drawing/2014/main" id="{00000000-0008-0000-1F00-0000306C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33" y="189"/>
                <a:ext cx="65" cy="44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grpSp>
          <xdr:nvGrpSpPr>
            <xdr:cNvPr id="27709" name="Group 61">
              <a:extLst>
                <a:ext uri="{FF2B5EF4-FFF2-40B4-BE49-F238E27FC236}">
                  <a16:creationId xmlns:a16="http://schemas.microsoft.com/office/drawing/2014/main" id="{00000000-0008-0000-1F00-00003D6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8" y="23"/>
              <a:ext cx="29" cy="82"/>
              <a:chOff x="397" y="151"/>
              <a:chExt cx="29" cy="82"/>
            </a:xfrm>
          </xdr:grpSpPr>
          <xdr:sp macro="" textlink="">
            <xdr:nvSpPr>
              <xdr:cNvPr id="27702" name="Line 54">
                <a:extLst>
                  <a:ext uri="{FF2B5EF4-FFF2-40B4-BE49-F238E27FC236}">
                    <a16:creationId xmlns:a16="http://schemas.microsoft.com/office/drawing/2014/main" id="{00000000-0008-0000-1F00-000036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97" y="233"/>
                <a:ext cx="29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03" name="Line 55">
                <a:extLst>
                  <a:ext uri="{FF2B5EF4-FFF2-40B4-BE49-F238E27FC236}">
                    <a16:creationId xmlns:a16="http://schemas.microsoft.com/office/drawing/2014/main" id="{00000000-0008-0000-1F00-000037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97" y="189"/>
                <a:ext cx="29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04" name="Line 56">
                <a:extLst>
                  <a:ext uri="{FF2B5EF4-FFF2-40B4-BE49-F238E27FC236}">
                    <a16:creationId xmlns:a16="http://schemas.microsoft.com/office/drawing/2014/main" id="{00000000-0008-0000-1F00-000038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422" y="189"/>
                <a:ext cx="0" cy="44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 type="arrow" w="sm" len="med"/>
                <a:tailEnd type="arrow" w="sm" len="med"/>
              </a:ln>
            </xdr:spPr>
          </xdr:sp>
          <xdr:sp macro="" textlink="">
            <xdr:nvSpPr>
              <xdr:cNvPr id="27706" name="Line 58">
                <a:extLst>
                  <a:ext uri="{FF2B5EF4-FFF2-40B4-BE49-F238E27FC236}">
                    <a16:creationId xmlns:a16="http://schemas.microsoft.com/office/drawing/2014/main" id="{00000000-0008-0000-1F00-00003A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98" y="174"/>
                <a:ext cx="28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07" name="Line 59">
                <a:extLst>
                  <a:ext uri="{FF2B5EF4-FFF2-40B4-BE49-F238E27FC236}">
                    <a16:creationId xmlns:a16="http://schemas.microsoft.com/office/drawing/2014/main" id="{00000000-0008-0000-1F00-00003B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422" y="174"/>
                <a:ext cx="0" cy="15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08" name="Line 60">
                <a:extLst>
                  <a:ext uri="{FF2B5EF4-FFF2-40B4-BE49-F238E27FC236}">
                    <a16:creationId xmlns:a16="http://schemas.microsoft.com/office/drawing/2014/main" id="{00000000-0008-0000-1F00-00003C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422" y="151"/>
                <a:ext cx="0" cy="23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 type="arrow" w="sm" len="med"/>
                <a:tailEnd/>
              </a:ln>
            </xdr:spPr>
          </xdr:sp>
        </xdr:grpSp>
        <xdr:sp macro="" textlink="">
          <xdr:nvSpPr>
            <xdr:cNvPr id="27710" name="Text Box 62">
              <a:extLst>
                <a:ext uri="{FF2B5EF4-FFF2-40B4-BE49-F238E27FC236}">
                  <a16:creationId xmlns:a16="http://schemas.microsoft.com/office/drawing/2014/main" id="{00000000-0008-0000-1F00-00003E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86" y="48"/>
              <a:ext cx="23" cy="1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="vert270" wrap="none" lIns="18288" tIns="22860" rIns="0" bIns="0" anchor="t" upright="1">
              <a:spAutoFit/>
            </a:bodyPr>
            <a:lstStyle/>
            <a:p>
              <a:pPr algn="r" rtl="0">
                <a:defRPr sz="1000"/>
              </a:pPr>
              <a:r>
                <a:rPr lang="en-US" sz="1000" b="0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s</a:t>
              </a:r>
            </a:p>
          </xdr:txBody>
        </xdr:sp>
        <xdr:grpSp>
          <xdr:nvGrpSpPr>
            <xdr:cNvPr id="27714" name="Group 66">
              <a:extLst>
                <a:ext uri="{FF2B5EF4-FFF2-40B4-BE49-F238E27FC236}">
                  <a16:creationId xmlns:a16="http://schemas.microsoft.com/office/drawing/2014/main" id="{00000000-0008-0000-1F00-0000426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46" y="116"/>
              <a:ext cx="233" cy="72"/>
              <a:chOff x="165" y="244"/>
              <a:chExt cx="233" cy="72"/>
            </a:xfrm>
          </xdr:grpSpPr>
          <xdr:sp macro="" textlink="">
            <xdr:nvSpPr>
              <xdr:cNvPr id="27679" name="Line 31">
                <a:extLst>
                  <a:ext uri="{FF2B5EF4-FFF2-40B4-BE49-F238E27FC236}">
                    <a16:creationId xmlns:a16="http://schemas.microsoft.com/office/drawing/2014/main" id="{00000000-0008-0000-1F00-00001F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rot="16200000" flipH="1">
                <a:off x="184" y="280"/>
                <a:ext cx="72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80" name="Line 32">
                <a:extLst>
                  <a:ext uri="{FF2B5EF4-FFF2-40B4-BE49-F238E27FC236}">
                    <a16:creationId xmlns:a16="http://schemas.microsoft.com/office/drawing/2014/main" id="{00000000-0008-0000-1F00-000020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rot="16200000" flipH="1">
                <a:off x="144" y="296"/>
                <a:ext cx="41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681" name="Line 33">
                <a:extLst>
                  <a:ext uri="{FF2B5EF4-FFF2-40B4-BE49-F238E27FC236}">
                    <a16:creationId xmlns:a16="http://schemas.microsoft.com/office/drawing/2014/main" id="{00000000-0008-0000-1F00-000021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rot="16200000">
                <a:off x="193" y="283"/>
                <a:ext cx="0" cy="55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 type="arrow" w="sm" len="med"/>
                <a:tailEnd type="arrow" w="sm" len="med"/>
              </a:ln>
            </xdr:spPr>
          </xdr:sp>
          <xdr:sp macro="" textlink="">
            <xdr:nvSpPr>
              <xdr:cNvPr id="27711" name="Line 63">
                <a:extLst>
                  <a:ext uri="{FF2B5EF4-FFF2-40B4-BE49-F238E27FC236}">
                    <a16:creationId xmlns:a16="http://schemas.microsoft.com/office/drawing/2014/main" id="{00000000-0008-0000-1F00-00003F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98" y="248"/>
                <a:ext cx="0" cy="67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13" name="Line 65">
                <a:extLst>
                  <a:ext uri="{FF2B5EF4-FFF2-40B4-BE49-F238E27FC236}">
                    <a16:creationId xmlns:a16="http://schemas.microsoft.com/office/drawing/2014/main" id="{00000000-0008-0000-1F00-0000416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1" y="311"/>
                <a:ext cx="176" cy="0"/>
              </a:xfrm>
              <a:prstGeom prst="line">
                <a:avLst/>
              </a:prstGeom>
              <a:noFill/>
              <a:ln w="6350">
                <a:solidFill>
                  <a:srgbClr val="000080"/>
                </a:solidFill>
                <a:round/>
                <a:headEnd type="arrow" w="sm" len="med"/>
                <a:tailEnd type="arrow" w="sm" len="med"/>
              </a:ln>
            </xdr:spPr>
          </xdr:sp>
        </xdr:grpSp>
        <xdr:sp macro="" textlink="">
          <xdr:nvSpPr>
            <xdr:cNvPr id="27715" name="Text Box 67">
              <a:extLst>
                <a:ext uri="{FF2B5EF4-FFF2-40B4-BE49-F238E27FC236}">
                  <a16:creationId xmlns:a16="http://schemas.microsoft.com/office/drawing/2014/main" id="{00000000-0008-0000-1F00-0000436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79" y="164"/>
              <a:ext cx="21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Bookman Old Style"/>
                </a:rPr>
                <a:t>L</a:t>
              </a:r>
            </a:p>
          </xdr:txBody>
        </xdr:sp>
      </xdr:grpSp>
    </xdr:grpSp>
    <xdr:clientData fPrintsWithSheet="0"/>
  </xdr:twoCellAnchor>
  <xdr:twoCellAnchor editAs="oneCell">
    <xdr:from>
      <xdr:col>12</xdr:col>
      <xdr:colOff>28575</xdr:colOff>
      <xdr:row>2</xdr:row>
      <xdr:rowOff>76200</xdr:rowOff>
    </xdr:from>
    <xdr:to>
      <xdr:col>13</xdr:col>
      <xdr:colOff>333375</xdr:colOff>
      <xdr:row>10</xdr:row>
      <xdr:rowOff>152400</xdr:rowOff>
    </xdr:to>
    <xdr:grpSp>
      <xdr:nvGrpSpPr>
        <xdr:cNvPr id="27790" name="Group 142">
          <a:extLst>
            <a:ext uri="{FF2B5EF4-FFF2-40B4-BE49-F238E27FC236}">
              <a16:creationId xmlns:a16="http://schemas.microsoft.com/office/drawing/2014/main" id="{00000000-0008-0000-1F00-00008E6C0000}"/>
            </a:ext>
          </a:extLst>
        </xdr:cNvPr>
        <xdr:cNvGrpSpPr>
          <a:grpSpLocks/>
        </xdr:cNvGrpSpPr>
      </xdr:nvGrpSpPr>
      <xdr:grpSpPr bwMode="auto">
        <a:xfrm>
          <a:off x="3581400" y="400050"/>
          <a:ext cx="619125" cy="1371600"/>
          <a:chOff x="376" y="42"/>
          <a:chExt cx="65" cy="144"/>
        </a:xfrm>
      </xdr:grpSpPr>
      <xdr:sp macro="" textlink="">
        <xdr:nvSpPr>
          <xdr:cNvPr id="27723" name="Text Box 75">
            <a:extLst>
              <a:ext uri="{FF2B5EF4-FFF2-40B4-BE49-F238E27FC236}">
                <a16:creationId xmlns:a16="http://schemas.microsoft.com/office/drawing/2014/main" id="{00000000-0008-0000-1F00-00004B6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6" y="42"/>
            <a:ext cx="65" cy="144"/>
          </a:xfrm>
          <a:prstGeom prst="rect">
            <a:avLst/>
          </a:prstGeom>
          <a:solidFill>
            <a:srgbClr val="FFFF99"/>
          </a:solidFill>
          <a:ln w="9525">
            <a:solidFill>
              <a:srgbClr val="000080"/>
            </a:solidFill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Условный</a:t>
            </a:r>
          </a:p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проход</a:t>
            </a:r>
          </a:p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Bookman Old Style"/>
              </a:rPr>
              <a:t>D</a:t>
            </a:r>
            <a:r>
              <a:rPr lang="ru-RU" sz="1200" b="1" i="0" u="none" strike="noStrike" baseline="-25000">
                <a:solidFill>
                  <a:srgbClr val="000000"/>
                </a:solidFill>
                <a:latin typeface="Bookman Old Style"/>
              </a:rPr>
              <a:t>у</a:t>
            </a:r>
          </a:p>
          <a:p>
            <a:pPr algn="ctr" rtl="0">
              <a:defRPr sz="1000"/>
            </a:pPr>
            <a:endParaRPr lang="ru-RU" sz="1200" b="1" i="0" u="none" strike="noStrike" baseline="-25000">
              <a:solidFill>
                <a:srgbClr val="000000"/>
              </a:solidFill>
              <a:latin typeface="Bookman Old Style"/>
            </a:endParaRPr>
          </a:p>
          <a:p>
            <a:pPr algn="ctr" rtl="0">
              <a:defRPr sz="1000"/>
            </a:pPr>
            <a:endParaRPr lang="ru-RU" sz="1200" b="1" i="0" u="none" strike="noStrike" baseline="-25000">
              <a:solidFill>
                <a:srgbClr val="000000"/>
              </a:solidFill>
              <a:latin typeface="Bookman Old Style"/>
            </a:endParaRPr>
          </a:p>
          <a:p>
            <a:pPr algn="ctr" rtl="0">
              <a:defRPr sz="1000"/>
            </a:pPr>
            <a:r>
              <a:rPr lang="ru-RU" sz="1200" b="1" i="0" u="none" strike="noStrike" baseline="0">
                <a:solidFill>
                  <a:srgbClr val="008000"/>
                </a:solidFill>
                <a:latin typeface="Bookman Old Style"/>
              </a:rPr>
              <a:t>мм</a:t>
            </a:r>
          </a:p>
        </xdr:txBody>
      </xdr:sp>
    </xdr:grpSp>
    <xdr:clientData fPrintsWithSheet="0"/>
  </xdr:twoCellAnchor>
  <xdr:twoCellAnchor editAs="oneCell">
    <xdr:from>
      <xdr:col>13</xdr:col>
      <xdr:colOff>400050</xdr:colOff>
      <xdr:row>2</xdr:row>
      <xdr:rowOff>95250</xdr:rowOff>
    </xdr:from>
    <xdr:to>
      <xdr:col>15</xdr:col>
      <xdr:colOff>152400</xdr:colOff>
      <xdr:row>11</xdr:row>
      <xdr:rowOff>9525</xdr:rowOff>
    </xdr:to>
    <xdr:grpSp>
      <xdr:nvGrpSpPr>
        <xdr:cNvPr id="27789" name="Group 141">
          <a:extLst>
            <a:ext uri="{FF2B5EF4-FFF2-40B4-BE49-F238E27FC236}">
              <a16:creationId xmlns:a16="http://schemas.microsoft.com/office/drawing/2014/main" id="{00000000-0008-0000-1F00-00008D6C0000}"/>
            </a:ext>
          </a:extLst>
        </xdr:cNvPr>
        <xdr:cNvGrpSpPr>
          <a:grpSpLocks/>
        </xdr:cNvGrpSpPr>
      </xdr:nvGrpSpPr>
      <xdr:grpSpPr bwMode="auto">
        <a:xfrm>
          <a:off x="4267200" y="419100"/>
          <a:ext cx="762000" cy="1371600"/>
          <a:chOff x="448" y="44"/>
          <a:chExt cx="80" cy="144"/>
        </a:xfrm>
      </xdr:grpSpPr>
      <xdr:sp macro="" textlink="">
        <xdr:nvSpPr>
          <xdr:cNvPr id="27725" name="Text Box 77">
            <a:extLst>
              <a:ext uri="{FF2B5EF4-FFF2-40B4-BE49-F238E27FC236}">
                <a16:creationId xmlns:a16="http://schemas.microsoft.com/office/drawing/2014/main" id="{00000000-0008-0000-1F00-00004D6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44"/>
            <a:ext cx="80" cy="144"/>
          </a:xfrm>
          <a:prstGeom prst="rect">
            <a:avLst/>
          </a:prstGeom>
          <a:solidFill>
            <a:srgbClr val="FFFF99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Строительная</a:t>
            </a:r>
            <a:endPara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длина</a:t>
            </a:r>
          </a:p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Bookman Old Style"/>
              </a:rPr>
              <a:t>L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</a:t>
            </a:r>
          </a:p>
          <a:p>
            <a:pPr algn="ctr" rtl="0">
              <a:defRPr sz="1000"/>
            </a:pPr>
            <a:endParaRPr lang="en-US" sz="10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  <a:p>
            <a:pPr algn="ctr" rtl="0">
              <a:defRPr sz="1000"/>
            </a:pPr>
            <a:endParaRPr lang="en-US" sz="10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  <a:p>
            <a:pPr algn="ctr" rtl="0">
              <a:defRPr sz="1000"/>
            </a:pPr>
            <a:endParaRPr lang="en-US" sz="10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  <a:p>
            <a:pPr algn="ctr" rtl="0">
              <a:defRPr sz="1000"/>
            </a:pPr>
            <a:endParaRPr lang="en-US" sz="10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  <a:p>
            <a:pPr algn="ctr" rtl="0">
              <a:defRPr sz="1000"/>
            </a:pPr>
            <a:r>
              <a:rPr lang="ru-RU" sz="1200" b="1" i="0" u="none" strike="noStrike" baseline="0">
                <a:solidFill>
                  <a:srgbClr val="008000"/>
                </a:solidFill>
                <a:latin typeface="Bookman Old Style"/>
              </a:rPr>
              <a:t>мм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76200</xdr:rowOff>
        </xdr:from>
        <xdr:to>
          <xdr:col>19</xdr:col>
          <xdr:colOff>28575</xdr:colOff>
          <xdr:row>1</xdr:row>
          <xdr:rowOff>85725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1F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5</xdr:row>
          <xdr:rowOff>123825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7720" name="List Box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1F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6</xdr:row>
          <xdr:rowOff>19050</xdr:rowOff>
        </xdr:from>
        <xdr:to>
          <xdr:col>13</xdr:col>
          <xdr:colOff>209550</xdr:colOff>
          <xdr:row>8</xdr:row>
          <xdr:rowOff>95250</xdr:rowOff>
        </xdr:to>
        <xdr:sp macro="" textlink="">
          <xdr:nvSpPr>
            <xdr:cNvPr id="27719" name="List Box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1F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28575</xdr:rowOff>
    </xdr:from>
    <xdr:to>
      <xdr:col>3</xdr:col>
      <xdr:colOff>28575</xdr:colOff>
      <xdr:row>8</xdr:row>
      <xdr:rowOff>190500</xdr:rowOff>
    </xdr:to>
    <xdr:grpSp>
      <xdr:nvGrpSpPr>
        <xdr:cNvPr id="31562" name="Group 1866">
          <a:extLst>
            <a:ext uri="{FF2B5EF4-FFF2-40B4-BE49-F238E27FC236}">
              <a16:creationId xmlns:a16="http://schemas.microsoft.com/office/drawing/2014/main" id="{00000000-0008-0000-2000-00004A7B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1257300" cy="1562100"/>
          <a:chOff x="2" y="3"/>
          <a:chExt cx="132" cy="164"/>
        </a:xfrm>
      </xdr:grpSpPr>
      <xdr:sp macro="" textlink="">
        <xdr:nvSpPr>
          <xdr:cNvPr id="31561" name="Rectangle 1865">
            <a:extLst>
              <a:ext uri="{FF2B5EF4-FFF2-40B4-BE49-F238E27FC236}">
                <a16:creationId xmlns:a16="http://schemas.microsoft.com/office/drawing/2014/main" id="{00000000-0008-0000-2000-0000497B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132" cy="164"/>
          </a:xfrm>
          <a:prstGeom prst="rect">
            <a:avLst/>
          </a:prstGeom>
          <a:solidFill>
            <a:srgbClr val="00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062" name="Group 1366">
            <a:extLst>
              <a:ext uri="{FF2B5EF4-FFF2-40B4-BE49-F238E27FC236}">
                <a16:creationId xmlns:a16="http://schemas.microsoft.com/office/drawing/2014/main" id="{00000000-0008-0000-2000-000056790000}"/>
              </a:ext>
            </a:extLst>
          </xdr:cNvPr>
          <xdr:cNvGrpSpPr>
            <a:grpSpLocks/>
          </xdr:cNvGrpSpPr>
        </xdr:nvGrpSpPr>
        <xdr:grpSpPr bwMode="auto">
          <a:xfrm>
            <a:off x="5" y="83"/>
            <a:ext cx="128" cy="79"/>
            <a:chOff x="918" y="18"/>
            <a:chExt cx="130" cy="74"/>
          </a:xfrm>
        </xdr:grpSpPr>
        <xdr:sp macro="[0]!Макрос1б" textlink="">
          <xdr:nvSpPr>
            <xdr:cNvPr id="31048" name="Rectangle 1352">
              <a:extLst>
                <a:ext uri="{FF2B5EF4-FFF2-40B4-BE49-F238E27FC236}">
                  <a16:creationId xmlns:a16="http://schemas.microsoft.com/office/drawing/2014/main" id="{00000000-0008-0000-2000-0000487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18" y="18"/>
              <a:ext cx="129" cy="7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9346" name="Group 674">
              <a:extLst>
                <a:ext uri="{FF2B5EF4-FFF2-40B4-BE49-F238E27FC236}">
                  <a16:creationId xmlns:a16="http://schemas.microsoft.com/office/drawing/2014/main" id="{00000000-0008-0000-2000-0000A2720000}"/>
                </a:ext>
              </a:extLst>
            </xdr:cNvPr>
            <xdr:cNvGrpSpPr>
              <a:grpSpLocks/>
            </xdr:cNvGrpSpPr>
          </xdr:nvGrpSpPr>
          <xdr:grpSpPr bwMode="auto">
            <a:xfrm flipV="1">
              <a:off x="938" y="62"/>
              <a:ext cx="89" cy="24"/>
              <a:chOff x="276" y="277"/>
              <a:chExt cx="317" cy="102"/>
            </a:xfrm>
          </xdr:grpSpPr>
          <xdr:grpSp>
            <xdr:nvGrpSpPr>
              <xdr:cNvPr id="28970" name="Group 298">
                <a:extLst>
                  <a:ext uri="{FF2B5EF4-FFF2-40B4-BE49-F238E27FC236}">
                    <a16:creationId xmlns:a16="http://schemas.microsoft.com/office/drawing/2014/main" id="{00000000-0008-0000-2000-00002A71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282" y="277"/>
                <a:ext cx="307" cy="102"/>
                <a:chOff x="86" y="187"/>
                <a:chExt cx="307" cy="102"/>
              </a:xfrm>
            </xdr:grpSpPr>
            <xdr:sp macro="[0]!Макрос1б" textlink="">
              <xdr:nvSpPr>
                <xdr:cNvPr id="28762" name="Freeform 90">
                  <a:extLst>
                    <a:ext uri="{FF2B5EF4-FFF2-40B4-BE49-F238E27FC236}">
                      <a16:creationId xmlns:a16="http://schemas.microsoft.com/office/drawing/2014/main" id="{00000000-0008-0000-2000-00005A7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1" y="187"/>
                  <a:ext cx="302" cy="102"/>
                </a:xfrm>
                <a:custGeom>
                  <a:avLst/>
                  <a:gdLst/>
                  <a:ahLst/>
                  <a:cxnLst>
                    <a:cxn ang="0">
                      <a:pos x="7" y="0"/>
                    </a:cxn>
                    <a:cxn ang="0">
                      <a:pos x="298" y="1"/>
                    </a:cxn>
                    <a:cxn ang="0">
                      <a:pos x="295" y="21"/>
                    </a:cxn>
                    <a:cxn ang="0">
                      <a:pos x="286" y="41"/>
                    </a:cxn>
                    <a:cxn ang="0">
                      <a:pos x="293" y="57"/>
                    </a:cxn>
                    <a:cxn ang="0">
                      <a:pos x="297" y="72"/>
                    </a:cxn>
                    <a:cxn ang="0">
                      <a:pos x="302" y="84"/>
                    </a:cxn>
                    <a:cxn ang="0">
                      <a:pos x="298" y="93"/>
                    </a:cxn>
                    <a:cxn ang="0">
                      <a:pos x="296" y="104"/>
                    </a:cxn>
                    <a:cxn ang="0">
                      <a:pos x="13" y="104"/>
                    </a:cxn>
                    <a:cxn ang="0">
                      <a:pos x="13" y="92"/>
                    </a:cxn>
                    <a:cxn ang="0">
                      <a:pos x="10" y="81"/>
                    </a:cxn>
                    <a:cxn ang="0">
                      <a:pos x="10" y="71"/>
                    </a:cxn>
                    <a:cxn ang="0">
                      <a:pos x="1" y="59"/>
                    </a:cxn>
                    <a:cxn ang="0">
                      <a:pos x="1" y="36"/>
                    </a:cxn>
                    <a:cxn ang="0">
                      <a:pos x="4" y="23"/>
                    </a:cxn>
                    <a:cxn ang="0">
                      <a:pos x="8" y="10"/>
                    </a:cxn>
                    <a:cxn ang="0">
                      <a:pos x="7" y="0"/>
                    </a:cxn>
                  </a:cxnLst>
                  <a:rect l="0" t="0" r="r" b="b"/>
                  <a:pathLst>
                    <a:path w="302" h="104">
                      <a:moveTo>
                        <a:pt x="7" y="0"/>
                      </a:moveTo>
                      <a:cubicBezTo>
                        <a:pt x="17" y="0"/>
                        <a:pt x="297" y="1"/>
                        <a:pt x="298" y="1"/>
                      </a:cubicBezTo>
                      <a:cubicBezTo>
                        <a:pt x="298" y="20"/>
                        <a:pt x="295" y="10"/>
                        <a:pt x="295" y="21"/>
                      </a:cubicBezTo>
                      <a:cubicBezTo>
                        <a:pt x="288" y="29"/>
                        <a:pt x="289" y="28"/>
                        <a:pt x="286" y="41"/>
                      </a:cubicBezTo>
                      <a:cubicBezTo>
                        <a:pt x="288" y="46"/>
                        <a:pt x="292" y="48"/>
                        <a:pt x="293" y="57"/>
                      </a:cubicBezTo>
                      <a:cubicBezTo>
                        <a:pt x="292" y="64"/>
                        <a:pt x="294" y="64"/>
                        <a:pt x="297" y="72"/>
                      </a:cubicBezTo>
                      <a:cubicBezTo>
                        <a:pt x="300" y="80"/>
                        <a:pt x="299" y="77"/>
                        <a:pt x="302" y="84"/>
                      </a:cubicBezTo>
                      <a:cubicBezTo>
                        <a:pt x="301" y="94"/>
                        <a:pt x="302" y="89"/>
                        <a:pt x="298" y="93"/>
                      </a:cubicBezTo>
                      <a:cubicBezTo>
                        <a:pt x="297" y="101"/>
                        <a:pt x="296" y="94"/>
                        <a:pt x="296" y="104"/>
                      </a:cubicBezTo>
                      <a:cubicBezTo>
                        <a:pt x="273" y="104"/>
                        <a:pt x="64" y="104"/>
                        <a:pt x="13" y="104"/>
                      </a:cubicBezTo>
                      <a:cubicBezTo>
                        <a:pt x="13" y="94"/>
                        <a:pt x="13" y="96"/>
                        <a:pt x="13" y="92"/>
                      </a:cubicBezTo>
                      <a:cubicBezTo>
                        <a:pt x="13" y="88"/>
                        <a:pt x="10" y="84"/>
                        <a:pt x="10" y="81"/>
                      </a:cubicBezTo>
                      <a:cubicBezTo>
                        <a:pt x="14" y="75"/>
                        <a:pt x="7" y="77"/>
                        <a:pt x="10" y="71"/>
                      </a:cubicBezTo>
                      <a:cubicBezTo>
                        <a:pt x="13" y="62"/>
                        <a:pt x="1" y="59"/>
                        <a:pt x="1" y="59"/>
                      </a:cubicBezTo>
                      <a:cubicBezTo>
                        <a:pt x="1" y="49"/>
                        <a:pt x="2" y="44"/>
                        <a:pt x="1" y="36"/>
                      </a:cubicBezTo>
                      <a:cubicBezTo>
                        <a:pt x="0" y="28"/>
                        <a:pt x="8" y="25"/>
                        <a:pt x="4" y="23"/>
                      </a:cubicBezTo>
                      <a:cubicBezTo>
                        <a:pt x="8" y="15"/>
                        <a:pt x="8" y="10"/>
                        <a:pt x="8" y="10"/>
                      </a:cubicBezTo>
                      <a:cubicBezTo>
                        <a:pt x="8" y="6"/>
                        <a:pt x="7" y="0"/>
                        <a:pt x="7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w="9525" cap="flat" cmpd="sng">
                  <a:noFill/>
                  <a:prstDash val="solid"/>
                  <a:round/>
                  <a:headEnd/>
                  <a:tailEnd/>
                </a:ln>
              </xdr:spPr>
            </xdr:sp>
            <xdr:grpSp>
              <xdr:nvGrpSpPr>
                <xdr:cNvPr id="28753" name="Group 81">
                  <a:extLst>
                    <a:ext uri="{FF2B5EF4-FFF2-40B4-BE49-F238E27FC236}">
                      <a16:creationId xmlns:a16="http://schemas.microsoft.com/office/drawing/2014/main" id="{00000000-0008-0000-2000-0000517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1"/>
                  <a:ext cx="56" cy="58"/>
                  <a:chOff x="345" y="51"/>
                  <a:chExt cx="56" cy="59"/>
                </a:xfrm>
              </xdr:grpSpPr>
              <xdr:sp macro="[0]!Макрос1б" textlink="">
                <xdr:nvSpPr>
                  <xdr:cNvPr id="28754" name="Arc 82">
                    <a:extLst>
                      <a:ext uri="{FF2B5EF4-FFF2-40B4-BE49-F238E27FC236}">
                        <a16:creationId xmlns:a16="http://schemas.microsoft.com/office/drawing/2014/main" id="{00000000-0008-0000-2000-0000527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б" textlink="">
                <xdr:nvSpPr>
                  <xdr:cNvPr id="28755" name="Arc 83">
                    <a:extLst>
                      <a:ext uri="{FF2B5EF4-FFF2-40B4-BE49-F238E27FC236}">
                        <a16:creationId xmlns:a16="http://schemas.microsoft.com/office/drawing/2014/main" id="{00000000-0008-0000-2000-0000537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б" textlink="">
                <xdr:nvSpPr>
                  <xdr:cNvPr id="28756" name="Arc 84">
                    <a:extLst>
                      <a:ext uri="{FF2B5EF4-FFF2-40B4-BE49-F238E27FC236}">
                        <a16:creationId xmlns:a16="http://schemas.microsoft.com/office/drawing/2014/main" id="{00000000-0008-0000-2000-0000547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8757" name="Group 85">
                  <a:extLst>
                    <a:ext uri="{FF2B5EF4-FFF2-40B4-BE49-F238E27FC236}">
                      <a16:creationId xmlns:a16="http://schemas.microsoft.com/office/drawing/2014/main" id="{00000000-0008-0000-2000-0000557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7"/>
                  <a:chOff x="345" y="51"/>
                  <a:chExt cx="56" cy="59"/>
                </a:xfrm>
              </xdr:grpSpPr>
              <xdr:sp macro="[0]!Макрос1б" textlink="">
                <xdr:nvSpPr>
                  <xdr:cNvPr id="28758" name="Arc 86">
                    <a:extLst>
                      <a:ext uri="{FF2B5EF4-FFF2-40B4-BE49-F238E27FC236}">
                        <a16:creationId xmlns:a16="http://schemas.microsoft.com/office/drawing/2014/main" id="{00000000-0008-0000-2000-0000567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б" textlink="">
                <xdr:nvSpPr>
                  <xdr:cNvPr id="28759" name="Arc 87">
                    <a:extLst>
                      <a:ext uri="{FF2B5EF4-FFF2-40B4-BE49-F238E27FC236}">
                        <a16:creationId xmlns:a16="http://schemas.microsoft.com/office/drawing/2014/main" id="{00000000-0008-0000-2000-0000577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б" textlink="">
                <xdr:nvSpPr>
                  <xdr:cNvPr id="28760" name="Arc 88">
                    <a:extLst>
                      <a:ext uri="{FF2B5EF4-FFF2-40B4-BE49-F238E27FC236}">
                        <a16:creationId xmlns:a16="http://schemas.microsoft.com/office/drawing/2014/main" id="{00000000-0008-0000-2000-0000587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8764" name="Group 92">
                  <a:extLst>
                    <a:ext uri="{FF2B5EF4-FFF2-40B4-BE49-F238E27FC236}">
                      <a16:creationId xmlns:a16="http://schemas.microsoft.com/office/drawing/2014/main" id="{00000000-0008-0000-2000-00005C7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40" y="188"/>
                  <a:ext cx="65" cy="101"/>
                  <a:chOff x="94" y="188"/>
                  <a:chExt cx="65" cy="103"/>
                </a:xfrm>
              </xdr:grpSpPr>
              <xdr:grpSp>
                <xdr:nvGrpSpPr>
                  <xdr:cNvPr id="28765" name="Group 93">
                    <a:extLst>
                      <a:ext uri="{FF2B5EF4-FFF2-40B4-BE49-F238E27FC236}">
                        <a16:creationId xmlns:a16="http://schemas.microsoft.com/office/drawing/2014/main" id="{00000000-0008-0000-2000-00005D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V="1">
                    <a:off x="103" y="232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766" name="Arc 94">
                      <a:extLst>
                        <a:ext uri="{FF2B5EF4-FFF2-40B4-BE49-F238E27FC236}">
                          <a16:creationId xmlns:a16="http://schemas.microsoft.com/office/drawing/2014/main" id="{00000000-0008-0000-2000-00005E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67" name="Arc 95">
                      <a:extLst>
                        <a:ext uri="{FF2B5EF4-FFF2-40B4-BE49-F238E27FC236}">
                          <a16:creationId xmlns:a16="http://schemas.microsoft.com/office/drawing/2014/main" id="{00000000-0008-0000-2000-00005F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68" name="Arc 96">
                      <a:extLst>
                        <a:ext uri="{FF2B5EF4-FFF2-40B4-BE49-F238E27FC236}">
                          <a16:creationId xmlns:a16="http://schemas.microsoft.com/office/drawing/2014/main" id="{00000000-0008-0000-2000-000060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28769" name="Group 97">
                    <a:extLst>
                      <a:ext uri="{FF2B5EF4-FFF2-40B4-BE49-F238E27FC236}">
                        <a16:creationId xmlns:a16="http://schemas.microsoft.com/office/drawing/2014/main" id="{00000000-0008-0000-2000-000061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94" y="188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770" name="Arc 98">
                      <a:extLst>
                        <a:ext uri="{FF2B5EF4-FFF2-40B4-BE49-F238E27FC236}">
                          <a16:creationId xmlns:a16="http://schemas.microsoft.com/office/drawing/2014/main" id="{00000000-0008-0000-2000-000062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71" name="Arc 99">
                      <a:extLst>
                        <a:ext uri="{FF2B5EF4-FFF2-40B4-BE49-F238E27FC236}">
                          <a16:creationId xmlns:a16="http://schemas.microsoft.com/office/drawing/2014/main" id="{00000000-0008-0000-2000-000063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72" name="Arc 100">
                      <a:extLst>
                        <a:ext uri="{FF2B5EF4-FFF2-40B4-BE49-F238E27FC236}">
                          <a16:creationId xmlns:a16="http://schemas.microsoft.com/office/drawing/2014/main" id="{00000000-0008-0000-2000-000064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  <xdr:grpSp>
              <xdr:nvGrpSpPr>
                <xdr:cNvPr id="28773" name="Group 101">
                  <a:extLst>
                    <a:ext uri="{FF2B5EF4-FFF2-40B4-BE49-F238E27FC236}">
                      <a16:creationId xmlns:a16="http://schemas.microsoft.com/office/drawing/2014/main" id="{00000000-0008-0000-2000-0000657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87" y="188"/>
                  <a:ext cx="65" cy="101"/>
                  <a:chOff x="94" y="188"/>
                  <a:chExt cx="65" cy="103"/>
                </a:xfrm>
              </xdr:grpSpPr>
              <xdr:grpSp>
                <xdr:nvGrpSpPr>
                  <xdr:cNvPr id="28774" name="Group 102">
                    <a:extLst>
                      <a:ext uri="{FF2B5EF4-FFF2-40B4-BE49-F238E27FC236}">
                        <a16:creationId xmlns:a16="http://schemas.microsoft.com/office/drawing/2014/main" id="{00000000-0008-0000-2000-000066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V="1">
                    <a:off x="103" y="232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775" name="Arc 103">
                      <a:extLst>
                        <a:ext uri="{FF2B5EF4-FFF2-40B4-BE49-F238E27FC236}">
                          <a16:creationId xmlns:a16="http://schemas.microsoft.com/office/drawing/2014/main" id="{00000000-0008-0000-2000-000067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76" name="Arc 104">
                      <a:extLst>
                        <a:ext uri="{FF2B5EF4-FFF2-40B4-BE49-F238E27FC236}">
                          <a16:creationId xmlns:a16="http://schemas.microsoft.com/office/drawing/2014/main" id="{00000000-0008-0000-2000-000068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77" name="Arc 105">
                      <a:extLst>
                        <a:ext uri="{FF2B5EF4-FFF2-40B4-BE49-F238E27FC236}">
                          <a16:creationId xmlns:a16="http://schemas.microsoft.com/office/drawing/2014/main" id="{00000000-0008-0000-2000-000069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28778" name="Group 106">
                    <a:extLst>
                      <a:ext uri="{FF2B5EF4-FFF2-40B4-BE49-F238E27FC236}">
                        <a16:creationId xmlns:a16="http://schemas.microsoft.com/office/drawing/2014/main" id="{00000000-0008-0000-2000-00006A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94" y="188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779" name="Arc 107">
                      <a:extLst>
                        <a:ext uri="{FF2B5EF4-FFF2-40B4-BE49-F238E27FC236}">
                          <a16:creationId xmlns:a16="http://schemas.microsoft.com/office/drawing/2014/main" id="{00000000-0008-0000-2000-00006B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80" name="Arc 108">
                      <a:extLst>
                        <a:ext uri="{FF2B5EF4-FFF2-40B4-BE49-F238E27FC236}">
                          <a16:creationId xmlns:a16="http://schemas.microsoft.com/office/drawing/2014/main" id="{00000000-0008-0000-2000-00006C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81" name="Arc 109">
                      <a:extLst>
                        <a:ext uri="{FF2B5EF4-FFF2-40B4-BE49-F238E27FC236}">
                          <a16:creationId xmlns:a16="http://schemas.microsoft.com/office/drawing/2014/main" id="{00000000-0008-0000-2000-00006D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  <xdr:grpSp>
              <xdr:nvGrpSpPr>
                <xdr:cNvPr id="28783" name="Group 111">
                  <a:extLst>
                    <a:ext uri="{FF2B5EF4-FFF2-40B4-BE49-F238E27FC236}">
                      <a16:creationId xmlns:a16="http://schemas.microsoft.com/office/drawing/2014/main" id="{00000000-0008-0000-2000-00006F7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234" y="188"/>
                  <a:ext cx="65" cy="101"/>
                  <a:chOff x="94" y="188"/>
                  <a:chExt cx="65" cy="103"/>
                </a:xfrm>
              </xdr:grpSpPr>
              <xdr:grpSp>
                <xdr:nvGrpSpPr>
                  <xdr:cNvPr id="28784" name="Group 112">
                    <a:extLst>
                      <a:ext uri="{FF2B5EF4-FFF2-40B4-BE49-F238E27FC236}">
                        <a16:creationId xmlns:a16="http://schemas.microsoft.com/office/drawing/2014/main" id="{00000000-0008-0000-2000-000070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V="1">
                    <a:off x="103" y="232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785" name="Arc 113">
                      <a:extLst>
                        <a:ext uri="{FF2B5EF4-FFF2-40B4-BE49-F238E27FC236}">
                          <a16:creationId xmlns:a16="http://schemas.microsoft.com/office/drawing/2014/main" id="{00000000-0008-0000-2000-000071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86" name="Arc 114">
                      <a:extLst>
                        <a:ext uri="{FF2B5EF4-FFF2-40B4-BE49-F238E27FC236}">
                          <a16:creationId xmlns:a16="http://schemas.microsoft.com/office/drawing/2014/main" id="{00000000-0008-0000-2000-000072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87" name="Arc 115">
                      <a:extLst>
                        <a:ext uri="{FF2B5EF4-FFF2-40B4-BE49-F238E27FC236}">
                          <a16:creationId xmlns:a16="http://schemas.microsoft.com/office/drawing/2014/main" id="{00000000-0008-0000-2000-000073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28788" name="Group 116">
                    <a:extLst>
                      <a:ext uri="{FF2B5EF4-FFF2-40B4-BE49-F238E27FC236}">
                        <a16:creationId xmlns:a16="http://schemas.microsoft.com/office/drawing/2014/main" id="{00000000-0008-0000-2000-000074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94" y="188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789" name="Arc 117">
                      <a:extLst>
                        <a:ext uri="{FF2B5EF4-FFF2-40B4-BE49-F238E27FC236}">
                          <a16:creationId xmlns:a16="http://schemas.microsoft.com/office/drawing/2014/main" id="{00000000-0008-0000-2000-000075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90" name="Arc 118">
                      <a:extLst>
                        <a:ext uri="{FF2B5EF4-FFF2-40B4-BE49-F238E27FC236}">
                          <a16:creationId xmlns:a16="http://schemas.microsoft.com/office/drawing/2014/main" id="{00000000-0008-0000-2000-000076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91" name="Arc 119">
                      <a:extLst>
                        <a:ext uri="{FF2B5EF4-FFF2-40B4-BE49-F238E27FC236}">
                          <a16:creationId xmlns:a16="http://schemas.microsoft.com/office/drawing/2014/main" id="{00000000-0008-0000-2000-000077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  <xdr:grpSp>
              <xdr:nvGrpSpPr>
                <xdr:cNvPr id="28792" name="Group 120">
                  <a:extLst>
                    <a:ext uri="{FF2B5EF4-FFF2-40B4-BE49-F238E27FC236}">
                      <a16:creationId xmlns:a16="http://schemas.microsoft.com/office/drawing/2014/main" id="{00000000-0008-0000-2000-0000787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281" y="188"/>
                  <a:ext cx="65" cy="101"/>
                  <a:chOff x="94" y="188"/>
                  <a:chExt cx="65" cy="103"/>
                </a:xfrm>
              </xdr:grpSpPr>
              <xdr:grpSp>
                <xdr:nvGrpSpPr>
                  <xdr:cNvPr id="28793" name="Group 121">
                    <a:extLst>
                      <a:ext uri="{FF2B5EF4-FFF2-40B4-BE49-F238E27FC236}">
                        <a16:creationId xmlns:a16="http://schemas.microsoft.com/office/drawing/2014/main" id="{00000000-0008-0000-2000-000079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V="1">
                    <a:off x="103" y="232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794" name="Arc 122">
                      <a:extLst>
                        <a:ext uri="{FF2B5EF4-FFF2-40B4-BE49-F238E27FC236}">
                          <a16:creationId xmlns:a16="http://schemas.microsoft.com/office/drawing/2014/main" id="{00000000-0008-0000-2000-00007A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95" name="Arc 123">
                      <a:extLst>
                        <a:ext uri="{FF2B5EF4-FFF2-40B4-BE49-F238E27FC236}">
                          <a16:creationId xmlns:a16="http://schemas.microsoft.com/office/drawing/2014/main" id="{00000000-0008-0000-2000-00007B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96" name="Arc 124">
                      <a:extLst>
                        <a:ext uri="{FF2B5EF4-FFF2-40B4-BE49-F238E27FC236}">
                          <a16:creationId xmlns:a16="http://schemas.microsoft.com/office/drawing/2014/main" id="{00000000-0008-0000-2000-00007C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28797" name="Group 125">
                    <a:extLst>
                      <a:ext uri="{FF2B5EF4-FFF2-40B4-BE49-F238E27FC236}">
                        <a16:creationId xmlns:a16="http://schemas.microsoft.com/office/drawing/2014/main" id="{00000000-0008-0000-2000-00007D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94" y="188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798" name="Arc 126">
                      <a:extLst>
                        <a:ext uri="{FF2B5EF4-FFF2-40B4-BE49-F238E27FC236}">
                          <a16:creationId xmlns:a16="http://schemas.microsoft.com/office/drawing/2014/main" id="{00000000-0008-0000-2000-00007E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799" name="Arc 127">
                      <a:extLst>
                        <a:ext uri="{FF2B5EF4-FFF2-40B4-BE49-F238E27FC236}">
                          <a16:creationId xmlns:a16="http://schemas.microsoft.com/office/drawing/2014/main" id="{00000000-0008-0000-2000-00007F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800" name="Arc 128">
                      <a:extLst>
                        <a:ext uri="{FF2B5EF4-FFF2-40B4-BE49-F238E27FC236}">
                          <a16:creationId xmlns:a16="http://schemas.microsoft.com/office/drawing/2014/main" id="{00000000-0008-0000-2000-000080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  <xdr:grpSp>
              <xdr:nvGrpSpPr>
                <xdr:cNvPr id="28801" name="Group 129">
                  <a:extLst>
                    <a:ext uri="{FF2B5EF4-FFF2-40B4-BE49-F238E27FC236}">
                      <a16:creationId xmlns:a16="http://schemas.microsoft.com/office/drawing/2014/main" id="{00000000-0008-0000-2000-0000817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28" y="188"/>
                  <a:ext cx="65" cy="101"/>
                  <a:chOff x="94" y="188"/>
                  <a:chExt cx="65" cy="103"/>
                </a:xfrm>
              </xdr:grpSpPr>
              <xdr:grpSp>
                <xdr:nvGrpSpPr>
                  <xdr:cNvPr id="28802" name="Group 130">
                    <a:extLst>
                      <a:ext uri="{FF2B5EF4-FFF2-40B4-BE49-F238E27FC236}">
                        <a16:creationId xmlns:a16="http://schemas.microsoft.com/office/drawing/2014/main" id="{00000000-0008-0000-2000-000082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V="1">
                    <a:off x="103" y="232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803" name="Arc 131">
                      <a:extLst>
                        <a:ext uri="{FF2B5EF4-FFF2-40B4-BE49-F238E27FC236}">
                          <a16:creationId xmlns:a16="http://schemas.microsoft.com/office/drawing/2014/main" id="{00000000-0008-0000-2000-000083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804" name="Arc 132">
                      <a:extLst>
                        <a:ext uri="{FF2B5EF4-FFF2-40B4-BE49-F238E27FC236}">
                          <a16:creationId xmlns:a16="http://schemas.microsoft.com/office/drawing/2014/main" id="{00000000-0008-0000-2000-000084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805" name="Arc 133">
                      <a:extLst>
                        <a:ext uri="{FF2B5EF4-FFF2-40B4-BE49-F238E27FC236}">
                          <a16:creationId xmlns:a16="http://schemas.microsoft.com/office/drawing/2014/main" id="{00000000-0008-0000-2000-000085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28806" name="Group 134">
                    <a:extLst>
                      <a:ext uri="{FF2B5EF4-FFF2-40B4-BE49-F238E27FC236}">
                        <a16:creationId xmlns:a16="http://schemas.microsoft.com/office/drawing/2014/main" id="{00000000-0008-0000-2000-0000867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94" y="188"/>
                    <a:ext cx="56" cy="59"/>
                    <a:chOff x="345" y="51"/>
                    <a:chExt cx="56" cy="59"/>
                  </a:xfrm>
                </xdr:grpSpPr>
                <xdr:sp macro="[0]!Макрос1б" textlink="">
                  <xdr:nvSpPr>
                    <xdr:cNvPr id="28807" name="Arc 135">
                      <a:extLst>
                        <a:ext uri="{FF2B5EF4-FFF2-40B4-BE49-F238E27FC236}">
                          <a16:creationId xmlns:a16="http://schemas.microsoft.com/office/drawing/2014/main" id="{00000000-0008-0000-2000-000087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2" y="44"/>
                      <a:ext cx="42" cy="56"/>
                    </a:xfrm>
                    <a:custGeom>
                      <a:avLst/>
                      <a:gdLst>
                        <a:gd name="G0" fmla="+- 305 0 0"/>
                        <a:gd name="G1" fmla="+- 21600 0 0"/>
                        <a:gd name="G2" fmla="+- 21600 0 0"/>
                        <a:gd name="T0" fmla="*/ 0 w 21905"/>
                        <a:gd name="T1" fmla="*/ 2 h 38798"/>
                        <a:gd name="T2" fmla="*/ 13373 w 21905"/>
                        <a:gd name="T3" fmla="*/ 38798 h 38798"/>
                        <a:gd name="T4" fmla="*/ 305 w 21905"/>
                        <a:gd name="T5" fmla="*/ 21600 h 38798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905" h="38798" fill="none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</a:path>
                        <a:path w="21905" h="38798" stroke="0" extrusionOk="0">
                          <a:moveTo>
                            <a:pt x="0" y="2"/>
                          </a:moveTo>
                          <a:cubicBezTo>
                            <a:pt x="101" y="0"/>
                            <a:pt x="203" y="-1"/>
                            <a:pt x="305" y="0"/>
                          </a:cubicBezTo>
                          <a:cubicBezTo>
                            <a:pt x="12234" y="0"/>
                            <a:pt x="21905" y="9670"/>
                            <a:pt x="21905" y="21600"/>
                          </a:cubicBezTo>
                          <a:cubicBezTo>
                            <a:pt x="21905" y="28351"/>
                            <a:pt x="18748" y="34713"/>
                            <a:pt x="13373" y="38798"/>
                          </a:cubicBezTo>
                          <a:lnTo>
                            <a:pt x="305" y="21600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808" name="Arc 136">
                      <a:extLst>
                        <a:ext uri="{FF2B5EF4-FFF2-40B4-BE49-F238E27FC236}">
                          <a16:creationId xmlns:a16="http://schemas.microsoft.com/office/drawing/2014/main" id="{00000000-0008-0000-2000-000088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46" y="58"/>
                      <a:ext cx="44" cy="31"/>
                    </a:xfrm>
                    <a:custGeom>
                      <a:avLst/>
                      <a:gdLst>
                        <a:gd name="G0" fmla="+- 0 0 0"/>
                        <a:gd name="G1" fmla="+- 21541 0 0"/>
                        <a:gd name="G2" fmla="+- 21600 0 0"/>
                        <a:gd name="T0" fmla="*/ 1594 w 21296"/>
                        <a:gd name="T1" fmla="*/ 0 h 21541"/>
                        <a:gd name="T2" fmla="*/ 21296 w 21296"/>
                        <a:gd name="T3" fmla="*/ 17927 h 21541"/>
                        <a:gd name="T4" fmla="*/ 0 w 21296"/>
                        <a:gd name="T5" fmla="*/ 21541 h 21541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296" h="21541" fill="none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</a:path>
                        <a:path w="21296" h="21541" stroke="0" extrusionOk="0">
                          <a:moveTo>
                            <a:pt x="1594" y="-1"/>
                          </a:moveTo>
                          <a:cubicBezTo>
                            <a:pt x="11502" y="733"/>
                            <a:pt x="19633" y="8131"/>
                            <a:pt x="21295" y="17927"/>
                          </a:cubicBezTo>
                          <a:lnTo>
                            <a:pt x="0" y="21541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1б" textlink="">
                  <xdr:nvSpPr>
                    <xdr:cNvPr id="28809" name="Arc 137">
                      <a:extLst>
                        <a:ext uri="{FF2B5EF4-FFF2-40B4-BE49-F238E27FC236}">
                          <a16:creationId xmlns:a16="http://schemas.microsoft.com/office/drawing/2014/main" id="{00000000-0008-0000-2000-00008970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rot="5400000" flipH="1" flipV="1">
                      <a:off x="353" y="63"/>
                      <a:ext cx="47" cy="48"/>
                    </a:xfrm>
                    <a:custGeom>
                      <a:avLst/>
                      <a:gdLst>
                        <a:gd name="G0" fmla="+- 0 0 0"/>
                        <a:gd name="G1" fmla="+- 19985 0 0"/>
                        <a:gd name="G2" fmla="+- 21600 0 0"/>
                        <a:gd name="T0" fmla="*/ 8194 w 21600"/>
                        <a:gd name="T1" fmla="*/ 0 h 30084"/>
                        <a:gd name="T2" fmla="*/ 19094 w 21600"/>
                        <a:gd name="T3" fmla="*/ 30084 h 30084"/>
                        <a:gd name="T4" fmla="*/ 0 w 21600"/>
                        <a:gd name="T5" fmla="*/ 19985 h 30084"/>
                      </a:gdLst>
                      <a:ahLst/>
                      <a:cxnLst>
                        <a:cxn ang="0">
                          <a:pos x="T0" y="T1"/>
                        </a:cxn>
                        <a:cxn ang="0">
                          <a:pos x="T2" y="T3"/>
                        </a:cxn>
                        <a:cxn ang="0">
                          <a:pos x="T4" y="T5"/>
                        </a:cxn>
                      </a:cxnLst>
                      <a:rect l="0" t="0" r="r" b="b"/>
                      <a:pathLst>
                        <a:path w="21600" h="30084" fill="none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</a:path>
                        <a:path w="21600" h="30084" stroke="0" extrusionOk="0">
                          <a:moveTo>
                            <a:pt x="8194" y="-1"/>
                          </a:moveTo>
                          <a:cubicBezTo>
                            <a:pt x="16303" y="3324"/>
                            <a:pt x="21600" y="11220"/>
                            <a:pt x="21600" y="19985"/>
                          </a:cubicBezTo>
                          <a:cubicBezTo>
                            <a:pt x="21600" y="23505"/>
                            <a:pt x="20739" y="26972"/>
                            <a:pt x="19093" y="30083"/>
                          </a:cubicBezTo>
                          <a:lnTo>
                            <a:pt x="0" y="19985"/>
                          </a:ln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  <xdr:sp macro="[0]!Макрос1б" textlink="">
              <xdr:nvSpPr>
                <xdr:cNvPr id="28761" name="Freeform 89">
                  <a:extLst>
                    <a:ext uri="{FF2B5EF4-FFF2-40B4-BE49-F238E27FC236}">
                      <a16:creationId xmlns:a16="http://schemas.microsoft.com/office/drawing/2014/main" id="{00000000-0008-0000-2000-0000597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" y="229"/>
                  <a:ext cx="301" cy="21"/>
                </a:xfrm>
                <a:custGeom>
                  <a:avLst/>
                  <a:gdLst/>
                  <a:ahLst/>
                  <a:cxnLst>
                    <a:cxn ang="0">
                      <a:pos x="296" y="19"/>
                    </a:cxn>
                    <a:cxn ang="0">
                      <a:pos x="12" y="19"/>
                    </a:cxn>
                    <a:cxn ang="0">
                      <a:pos x="12" y="12"/>
                    </a:cxn>
                    <a:cxn ang="0">
                      <a:pos x="8" y="0"/>
                    </a:cxn>
                    <a:cxn ang="0">
                      <a:pos x="295" y="0"/>
                    </a:cxn>
                    <a:cxn ang="0">
                      <a:pos x="297" y="10"/>
                    </a:cxn>
                    <a:cxn ang="0">
                      <a:pos x="296" y="19"/>
                    </a:cxn>
                  </a:cxnLst>
                  <a:rect l="0" t="0" r="r" b="b"/>
                  <a:pathLst>
                    <a:path w="301" h="21">
                      <a:moveTo>
                        <a:pt x="296" y="19"/>
                      </a:moveTo>
                      <a:cubicBezTo>
                        <a:pt x="250" y="19"/>
                        <a:pt x="60" y="19"/>
                        <a:pt x="12" y="19"/>
                      </a:cubicBezTo>
                      <a:cubicBezTo>
                        <a:pt x="9" y="12"/>
                        <a:pt x="0" y="21"/>
                        <a:pt x="12" y="12"/>
                      </a:cubicBezTo>
                      <a:cubicBezTo>
                        <a:pt x="3" y="9"/>
                        <a:pt x="9" y="9"/>
                        <a:pt x="8" y="0"/>
                      </a:cubicBezTo>
                      <a:cubicBezTo>
                        <a:pt x="148" y="0"/>
                        <a:pt x="247" y="0"/>
                        <a:pt x="295" y="0"/>
                      </a:cubicBezTo>
                      <a:cubicBezTo>
                        <a:pt x="301" y="5"/>
                        <a:pt x="298" y="6"/>
                        <a:pt x="297" y="10"/>
                      </a:cubicBezTo>
                      <a:cubicBezTo>
                        <a:pt x="295" y="13"/>
                        <a:pt x="296" y="13"/>
                        <a:pt x="296" y="19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</xdr:grpSp>
          <xdr:sp macro="[0]!Макрос1б" textlink="">
            <xdr:nvSpPr>
              <xdr:cNvPr id="29345" name="Line 673">
                <a:extLst>
                  <a:ext uri="{FF2B5EF4-FFF2-40B4-BE49-F238E27FC236}">
                    <a16:creationId xmlns:a16="http://schemas.microsoft.com/office/drawing/2014/main" id="{00000000-0008-0000-2000-0000A17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76" y="328"/>
                <a:ext cx="317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"/>
                <a:round/>
                <a:headEnd/>
                <a:tailEnd/>
              </a:ln>
            </xdr:spPr>
          </xdr:sp>
        </xdr:grpSp>
        <xdr:sp macro="[0]!Макрос1б" textlink="">
          <xdr:nvSpPr>
            <xdr:cNvPr id="31044" name="Oval 1348">
              <a:extLst>
                <a:ext uri="{FF2B5EF4-FFF2-40B4-BE49-F238E27FC236}">
                  <a16:creationId xmlns:a16="http://schemas.microsoft.com/office/drawing/2014/main" id="{00000000-0008-0000-2000-0000447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23" y="24"/>
              <a:ext cx="31" cy="31"/>
            </a:xfrm>
            <a:prstGeom prst="ellipse">
              <a:avLst/>
            </a:prstGeom>
            <a:noFill/>
            <a:ln w="15875">
              <a:solidFill>
                <a:srgbClr val="000000"/>
              </a:solidFill>
              <a:round/>
              <a:headEnd/>
              <a:tailEnd/>
            </a:ln>
          </xdr:spPr>
        </xdr:sp>
        <xdr:sp macro="[0]!Макрос1б" textlink="">
          <xdr:nvSpPr>
            <xdr:cNvPr id="31043" name="Text Box 1347">
              <a:extLst>
                <a:ext uri="{FF2B5EF4-FFF2-40B4-BE49-F238E27FC236}">
                  <a16:creationId xmlns:a16="http://schemas.microsoft.com/office/drawing/2014/main" id="{00000000-0008-0000-2000-00004379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25" y="28"/>
              <a:ext cx="33" cy="2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ru-RU" sz="1200" b="1" i="1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1б</a:t>
              </a:r>
            </a:p>
          </xdr:txBody>
        </xdr:sp>
        <xdr:sp macro="[0]!Макрос1б" textlink="">
          <xdr:nvSpPr>
            <xdr:cNvPr id="31046" name="Text Box 1350">
              <a:extLst>
                <a:ext uri="{FF2B5EF4-FFF2-40B4-BE49-F238E27FC236}">
                  <a16:creationId xmlns:a16="http://schemas.microsoft.com/office/drawing/2014/main" id="{00000000-0008-0000-2000-00004679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59" y="21"/>
              <a:ext cx="89" cy="3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 Cyr"/>
                  <a:cs typeface="Times New Roman Cyr"/>
                </a:rPr>
                <a:t>A-III; A-IV;</a:t>
              </a:r>
            </a:p>
            <a:p>
              <a:pPr algn="l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 Cyr"/>
                  <a:cs typeface="Times New Roman Cyr"/>
                </a:rPr>
                <a:t>A-V;   A-VI.</a:t>
              </a:r>
            </a:p>
          </xdr:txBody>
        </xdr:sp>
      </xdr:grpSp>
    </xdr:grpSp>
    <xdr:clientData/>
  </xdr:twoCellAnchor>
  <xdr:twoCellAnchor editAs="oneCell">
    <xdr:from>
      <xdr:col>0</xdr:col>
      <xdr:colOff>66675</xdr:colOff>
      <xdr:row>0</xdr:row>
      <xdr:rowOff>57150</xdr:rowOff>
    </xdr:from>
    <xdr:to>
      <xdr:col>2</xdr:col>
      <xdr:colOff>0</xdr:colOff>
      <xdr:row>3</xdr:row>
      <xdr:rowOff>142875</xdr:rowOff>
    </xdr:to>
    <xdr:grpSp>
      <xdr:nvGrpSpPr>
        <xdr:cNvPr id="31051" name="Group 1355">
          <a:extLst>
            <a:ext uri="{FF2B5EF4-FFF2-40B4-BE49-F238E27FC236}">
              <a16:creationId xmlns:a16="http://schemas.microsoft.com/office/drawing/2014/main" id="{00000000-0008-0000-2000-00004B790000}"/>
            </a:ext>
          </a:extLst>
        </xdr:cNvPr>
        <xdr:cNvGrpSpPr>
          <a:grpSpLocks/>
        </xdr:cNvGrpSpPr>
      </xdr:nvGrpSpPr>
      <xdr:grpSpPr bwMode="auto">
        <a:xfrm>
          <a:off x="66675" y="57150"/>
          <a:ext cx="1066800" cy="638175"/>
          <a:chOff x="759" y="21"/>
          <a:chExt cx="112" cy="67"/>
        </a:xfrm>
      </xdr:grpSpPr>
      <xdr:sp macro="[0]!Макрос1а" textlink="">
        <xdr:nvSpPr>
          <xdr:cNvPr id="30783" name="Rectangle 1087">
            <a:extLst>
              <a:ext uri="{FF2B5EF4-FFF2-40B4-BE49-F238E27FC236}">
                <a16:creationId xmlns:a16="http://schemas.microsoft.com/office/drawing/2014/main" id="{00000000-0008-0000-2000-00003F780000}"/>
              </a:ext>
            </a:extLst>
          </xdr:cNvPr>
          <xdr:cNvSpPr>
            <a:spLocks noChangeArrowheads="1"/>
          </xdr:cNvSpPr>
        </xdr:nvSpPr>
        <xdr:spPr bwMode="auto">
          <a:xfrm>
            <a:off x="759" y="21"/>
            <a:ext cx="112" cy="6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9646" name="Group 974">
            <a:extLst>
              <a:ext uri="{FF2B5EF4-FFF2-40B4-BE49-F238E27FC236}">
                <a16:creationId xmlns:a16="http://schemas.microsoft.com/office/drawing/2014/main" id="{00000000-0008-0000-2000-0000CE730000}"/>
              </a:ext>
            </a:extLst>
          </xdr:cNvPr>
          <xdr:cNvGrpSpPr>
            <a:grpSpLocks/>
          </xdr:cNvGrpSpPr>
        </xdr:nvGrpSpPr>
        <xdr:grpSpPr bwMode="auto">
          <a:xfrm>
            <a:off x="782" y="56"/>
            <a:ext cx="81" cy="26"/>
            <a:chOff x="399" y="65"/>
            <a:chExt cx="334" cy="103"/>
          </a:xfrm>
        </xdr:grpSpPr>
        <xdr:grpSp>
          <xdr:nvGrpSpPr>
            <xdr:cNvPr id="29647" name="Group 975">
              <a:extLst>
                <a:ext uri="{FF2B5EF4-FFF2-40B4-BE49-F238E27FC236}">
                  <a16:creationId xmlns:a16="http://schemas.microsoft.com/office/drawing/2014/main" id="{00000000-0008-0000-2000-0000CF7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03" y="65"/>
              <a:ext cx="314" cy="103"/>
              <a:chOff x="425" y="52"/>
              <a:chExt cx="314" cy="103"/>
            </a:xfrm>
          </xdr:grpSpPr>
          <xdr:sp macro="[0]!Макрос1а" textlink="">
            <xdr:nvSpPr>
              <xdr:cNvPr id="29648" name="Freeform 976">
                <a:extLst>
                  <a:ext uri="{FF2B5EF4-FFF2-40B4-BE49-F238E27FC236}">
                    <a16:creationId xmlns:a16="http://schemas.microsoft.com/office/drawing/2014/main" id="{00000000-0008-0000-2000-0000D07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5" y="52"/>
                <a:ext cx="304" cy="103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296" y="0"/>
                  </a:cxn>
                  <a:cxn ang="0">
                    <a:pos x="296" y="22"/>
                  </a:cxn>
                  <a:cxn ang="0">
                    <a:pos x="290" y="40"/>
                  </a:cxn>
                  <a:cxn ang="0">
                    <a:pos x="297" y="54"/>
                  </a:cxn>
                  <a:cxn ang="0">
                    <a:pos x="304" y="71"/>
                  </a:cxn>
                  <a:cxn ang="0">
                    <a:pos x="301" y="83"/>
                  </a:cxn>
                  <a:cxn ang="0">
                    <a:pos x="294" y="91"/>
                  </a:cxn>
                  <a:cxn ang="0">
                    <a:pos x="294" y="103"/>
                  </a:cxn>
                  <a:cxn ang="0">
                    <a:pos x="6" y="103"/>
                  </a:cxn>
                  <a:cxn ang="0">
                    <a:pos x="6" y="89"/>
                  </a:cxn>
                  <a:cxn ang="0">
                    <a:pos x="8" y="80"/>
                  </a:cxn>
                  <a:cxn ang="0">
                    <a:pos x="12" y="69"/>
                  </a:cxn>
                  <a:cxn ang="0">
                    <a:pos x="1" y="59"/>
                  </a:cxn>
                  <a:cxn ang="0">
                    <a:pos x="1" y="39"/>
                  </a:cxn>
                  <a:cxn ang="0">
                    <a:pos x="0" y="23"/>
                  </a:cxn>
                  <a:cxn ang="0">
                    <a:pos x="0" y="10"/>
                  </a:cxn>
                  <a:cxn ang="0">
                    <a:pos x="0" y="0"/>
                  </a:cxn>
                </a:cxnLst>
                <a:rect l="0" t="0" r="r" b="b"/>
                <a:pathLst>
                  <a:path w="304" h="103">
                    <a:moveTo>
                      <a:pt x="0" y="0"/>
                    </a:moveTo>
                    <a:cubicBezTo>
                      <a:pt x="10" y="0"/>
                      <a:pt x="295" y="0"/>
                      <a:pt x="296" y="0"/>
                    </a:cubicBezTo>
                    <a:cubicBezTo>
                      <a:pt x="296" y="19"/>
                      <a:pt x="296" y="11"/>
                      <a:pt x="296" y="22"/>
                    </a:cubicBezTo>
                    <a:cubicBezTo>
                      <a:pt x="297" y="29"/>
                      <a:pt x="293" y="27"/>
                      <a:pt x="290" y="40"/>
                    </a:cubicBezTo>
                    <a:cubicBezTo>
                      <a:pt x="292" y="45"/>
                      <a:pt x="291" y="45"/>
                      <a:pt x="297" y="54"/>
                    </a:cubicBezTo>
                    <a:cubicBezTo>
                      <a:pt x="297" y="60"/>
                      <a:pt x="304" y="55"/>
                      <a:pt x="304" y="71"/>
                    </a:cubicBezTo>
                    <a:cubicBezTo>
                      <a:pt x="300" y="79"/>
                      <a:pt x="300" y="76"/>
                      <a:pt x="301" y="83"/>
                    </a:cubicBezTo>
                    <a:cubicBezTo>
                      <a:pt x="292" y="89"/>
                      <a:pt x="292" y="83"/>
                      <a:pt x="294" y="91"/>
                    </a:cubicBezTo>
                    <a:cubicBezTo>
                      <a:pt x="293" y="99"/>
                      <a:pt x="294" y="93"/>
                      <a:pt x="294" y="103"/>
                    </a:cubicBezTo>
                    <a:cubicBezTo>
                      <a:pt x="272" y="103"/>
                      <a:pt x="56" y="103"/>
                      <a:pt x="6" y="103"/>
                    </a:cubicBezTo>
                    <a:cubicBezTo>
                      <a:pt x="6" y="93"/>
                      <a:pt x="6" y="93"/>
                      <a:pt x="6" y="89"/>
                    </a:cubicBezTo>
                    <a:cubicBezTo>
                      <a:pt x="6" y="85"/>
                      <a:pt x="7" y="83"/>
                      <a:pt x="8" y="80"/>
                    </a:cubicBezTo>
                    <a:cubicBezTo>
                      <a:pt x="12" y="74"/>
                      <a:pt x="9" y="75"/>
                      <a:pt x="12" y="69"/>
                    </a:cubicBezTo>
                    <a:cubicBezTo>
                      <a:pt x="18" y="59"/>
                      <a:pt x="1" y="59"/>
                      <a:pt x="1" y="59"/>
                    </a:cubicBezTo>
                    <a:cubicBezTo>
                      <a:pt x="1" y="49"/>
                      <a:pt x="9" y="44"/>
                      <a:pt x="1" y="39"/>
                    </a:cubicBezTo>
                    <a:cubicBezTo>
                      <a:pt x="0" y="31"/>
                      <a:pt x="4" y="25"/>
                      <a:pt x="0" y="23"/>
                    </a:cubicBezTo>
                    <a:cubicBezTo>
                      <a:pt x="0" y="16"/>
                      <a:pt x="0" y="10"/>
                      <a:pt x="0" y="10"/>
                    </a:cubicBezTo>
                    <a:cubicBezTo>
                      <a:pt x="0" y="6"/>
                      <a:pt x="0" y="0"/>
                      <a:pt x="0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w="9525" cap="flat" cmpd="sng">
                <a:noFill/>
                <a:prstDash val="solid"/>
                <a:round/>
                <a:headEnd/>
                <a:tailEnd/>
              </a:ln>
            </xdr:spPr>
          </xdr:sp>
          <xdr:grpSp>
            <xdr:nvGrpSpPr>
              <xdr:cNvPr id="29649" name="Group 977">
                <a:extLst>
                  <a:ext uri="{FF2B5EF4-FFF2-40B4-BE49-F238E27FC236}">
                    <a16:creationId xmlns:a16="http://schemas.microsoft.com/office/drawing/2014/main" id="{00000000-0008-0000-2000-0000D1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25" y="52"/>
                <a:ext cx="313" cy="102"/>
                <a:chOff x="425" y="52"/>
                <a:chExt cx="313" cy="102"/>
              </a:xfrm>
            </xdr:grpSpPr>
            <xdr:grpSp>
              <xdr:nvGrpSpPr>
                <xdr:cNvPr id="29650" name="Group 978">
                  <a:extLst>
                    <a:ext uri="{FF2B5EF4-FFF2-40B4-BE49-F238E27FC236}">
                      <a16:creationId xmlns:a16="http://schemas.microsoft.com/office/drawing/2014/main" id="{00000000-0008-0000-2000-0000D2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35" y="52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51" name="Arc 979">
                    <a:extLst>
                      <a:ext uri="{FF2B5EF4-FFF2-40B4-BE49-F238E27FC236}">
                        <a16:creationId xmlns:a16="http://schemas.microsoft.com/office/drawing/2014/main" id="{00000000-0008-0000-2000-0000D3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52" name="Arc 980">
                    <a:extLst>
                      <a:ext uri="{FF2B5EF4-FFF2-40B4-BE49-F238E27FC236}">
                        <a16:creationId xmlns:a16="http://schemas.microsoft.com/office/drawing/2014/main" id="{00000000-0008-0000-2000-0000D4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53" name="Arc 981">
                    <a:extLst>
                      <a:ext uri="{FF2B5EF4-FFF2-40B4-BE49-F238E27FC236}">
                        <a16:creationId xmlns:a16="http://schemas.microsoft.com/office/drawing/2014/main" id="{00000000-0008-0000-2000-0000D5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54" name="Group 982">
                  <a:extLst>
                    <a:ext uri="{FF2B5EF4-FFF2-40B4-BE49-F238E27FC236}">
                      <a16:creationId xmlns:a16="http://schemas.microsoft.com/office/drawing/2014/main" id="{00000000-0008-0000-2000-0000D6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83" y="52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55" name="Arc 983">
                    <a:extLst>
                      <a:ext uri="{FF2B5EF4-FFF2-40B4-BE49-F238E27FC236}">
                        <a16:creationId xmlns:a16="http://schemas.microsoft.com/office/drawing/2014/main" id="{00000000-0008-0000-2000-0000D7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56" name="Arc 984">
                    <a:extLst>
                      <a:ext uri="{FF2B5EF4-FFF2-40B4-BE49-F238E27FC236}">
                        <a16:creationId xmlns:a16="http://schemas.microsoft.com/office/drawing/2014/main" id="{00000000-0008-0000-2000-0000D8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57" name="Arc 985">
                    <a:extLst>
                      <a:ext uri="{FF2B5EF4-FFF2-40B4-BE49-F238E27FC236}">
                        <a16:creationId xmlns:a16="http://schemas.microsoft.com/office/drawing/2014/main" id="{00000000-0008-0000-2000-0000D9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58" name="Group 986">
                  <a:extLst>
                    <a:ext uri="{FF2B5EF4-FFF2-40B4-BE49-F238E27FC236}">
                      <a16:creationId xmlns:a16="http://schemas.microsoft.com/office/drawing/2014/main" id="{00000000-0008-0000-2000-0000DA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31" y="52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59" name="Arc 987">
                    <a:extLst>
                      <a:ext uri="{FF2B5EF4-FFF2-40B4-BE49-F238E27FC236}">
                        <a16:creationId xmlns:a16="http://schemas.microsoft.com/office/drawing/2014/main" id="{00000000-0008-0000-2000-0000DB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60" name="Arc 988">
                    <a:extLst>
                      <a:ext uri="{FF2B5EF4-FFF2-40B4-BE49-F238E27FC236}">
                        <a16:creationId xmlns:a16="http://schemas.microsoft.com/office/drawing/2014/main" id="{00000000-0008-0000-2000-0000DC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61" name="Arc 989">
                    <a:extLst>
                      <a:ext uri="{FF2B5EF4-FFF2-40B4-BE49-F238E27FC236}">
                        <a16:creationId xmlns:a16="http://schemas.microsoft.com/office/drawing/2014/main" id="{00000000-0008-0000-2000-0000DD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62" name="Group 990">
                  <a:extLst>
                    <a:ext uri="{FF2B5EF4-FFF2-40B4-BE49-F238E27FC236}">
                      <a16:creationId xmlns:a16="http://schemas.microsoft.com/office/drawing/2014/main" id="{00000000-0008-0000-2000-0000DE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79" y="52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63" name="Arc 991">
                    <a:extLst>
                      <a:ext uri="{FF2B5EF4-FFF2-40B4-BE49-F238E27FC236}">
                        <a16:creationId xmlns:a16="http://schemas.microsoft.com/office/drawing/2014/main" id="{00000000-0008-0000-2000-0000DF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64" name="Arc 992">
                    <a:extLst>
                      <a:ext uri="{FF2B5EF4-FFF2-40B4-BE49-F238E27FC236}">
                        <a16:creationId xmlns:a16="http://schemas.microsoft.com/office/drawing/2014/main" id="{00000000-0008-0000-2000-0000E0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65" name="Arc 993">
                    <a:extLst>
                      <a:ext uri="{FF2B5EF4-FFF2-40B4-BE49-F238E27FC236}">
                        <a16:creationId xmlns:a16="http://schemas.microsoft.com/office/drawing/2014/main" id="{00000000-0008-0000-2000-0000E1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66" name="Group 994">
                  <a:extLst>
                    <a:ext uri="{FF2B5EF4-FFF2-40B4-BE49-F238E27FC236}">
                      <a16:creationId xmlns:a16="http://schemas.microsoft.com/office/drawing/2014/main" id="{00000000-0008-0000-2000-0000E2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27" y="52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67" name="Arc 995">
                    <a:extLst>
                      <a:ext uri="{FF2B5EF4-FFF2-40B4-BE49-F238E27FC236}">
                        <a16:creationId xmlns:a16="http://schemas.microsoft.com/office/drawing/2014/main" id="{00000000-0008-0000-2000-0000E3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68" name="Arc 996">
                    <a:extLst>
                      <a:ext uri="{FF2B5EF4-FFF2-40B4-BE49-F238E27FC236}">
                        <a16:creationId xmlns:a16="http://schemas.microsoft.com/office/drawing/2014/main" id="{00000000-0008-0000-2000-0000E4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69" name="Arc 997">
                    <a:extLst>
                      <a:ext uri="{FF2B5EF4-FFF2-40B4-BE49-F238E27FC236}">
                        <a16:creationId xmlns:a16="http://schemas.microsoft.com/office/drawing/2014/main" id="{00000000-0008-0000-2000-0000E5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70" name="Group 998">
                  <a:extLst>
                    <a:ext uri="{FF2B5EF4-FFF2-40B4-BE49-F238E27FC236}">
                      <a16:creationId xmlns:a16="http://schemas.microsoft.com/office/drawing/2014/main" id="{00000000-0008-0000-2000-0000E6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75" y="52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71" name="Arc 999">
                    <a:extLst>
                      <a:ext uri="{FF2B5EF4-FFF2-40B4-BE49-F238E27FC236}">
                        <a16:creationId xmlns:a16="http://schemas.microsoft.com/office/drawing/2014/main" id="{00000000-0008-0000-2000-0000E7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72" name="Arc 1000">
                    <a:extLst>
                      <a:ext uri="{FF2B5EF4-FFF2-40B4-BE49-F238E27FC236}">
                        <a16:creationId xmlns:a16="http://schemas.microsoft.com/office/drawing/2014/main" id="{00000000-0008-0000-2000-0000E8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73" name="Arc 1001">
                    <a:extLst>
                      <a:ext uri="{FF2B5EF4-FFF2-40B4-BE49-F238E27FC236}">
                        <a16:creationId xmlns:a16="http://schemas.microsoft.com/office/drawing/2014/main" id="{00000000-0008-0000-2000-0000E9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74" name="Group 1002">
                  <a:extLst>
                    <a:ext uri="{FF2B5EF4-FFF2-40B4-BE49-F238E27FC236}">
                      <a16:creationId xmlns:a16="http://schemas.microsoft.com/office/drawing/2014/main" id="{00000000-0008-0000-2000-0000EA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682" y="95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75" name="Arc 1003">
                    <a:extLst>
                      <a:ext uri="{FF2B5EF4-FFF2-40B4-BE49-F238E27FC236}">
                        <a16:creationId xmlns:a16="http://schemas.microsoft.com/office/drawing/2014/main" id="{00000000-0008-0000-2000-0000EB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76" name="Arc 1004">
                    <a:extLst>
                      <a:ext uri="{FF2B5EF4-FFF2-40B4-BE49-F238E27FC236}">
                        <a16:creationId xmlns:a16="http://schemas.microsoft.com/office/drawing/2014/main" id="{00000000-0008-0000-2000-0000EC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77" name="Arc 1005">
                    <a:extLst>
                      <a:ext uri="{FF2B5EF4-FFF2-40B4-BE49-F238E27FC236}">
                        <a16:creationId xmlns:a16="http://schemas.microsoft.com/office/drawing/2014/main" id="{00000000-0008-0000-2000-0000ED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78" name="Group 1006">
                  <a:extLst>
                    <a:ext uri="{FF2B5EF4-FFF2-40B4-BE49-F238E27FC236}">
                      <a16:creationId xmlns:a16="http://schemas.microsoft.com/office/drawing/2014/main" id="{00000000-0008-0000-2000-0000EE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634" y="95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79" name="Arc 1007">
                    <a:extLst>
                      <a:ext uri="{FF2B5EF4-FFF2-40B4-BE49-F238E27FC236}">
                        <a16:creationId xmlns:a16="http://schemas.microsoft.com/office/drawing/2014/main" id="{00000000-0008-0000-2000-0000EF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80" name="Arc 1008">
                    <a:extLst>
                      <a:ext uri="{FF2B5EF4-FFF2-40B4-BE49-F238E27FC236}">
                        <a16:creationId xmlns:a16="http://schemas.microsoft.com/office/drawing/2014/main" id="{00000000-0008-0000-2000-0000F0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81" name="Arc 1009">
                    <a:extLst>
                      <a:ext uri="{FF2B5EF4-FFF2-40B4-BE49-F238E27FC236}">
                        <a16:creationId xmlns:a16="http://schemas.microsoft.com/office/drawing/2014/main" id="{00000000-0008-0000-2000-0000F1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82" name="Group 1010">
                  <a:extLst>
                    <a:ext uri="{FF2B5EF4-FFF2-40B4-BE49-F238E27FC236}">
                      <a16:creationId xmlns:a16="http://schemas.microsoft.com/office/drawing/2014/main" id="{00000000-0008-0000-2000-0000F2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586" y="95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83" name="Arc 1011">
                    <a:extLst>
                      <a:ext uri="{FF2B5EF4-FFF2-40B4-BE49-F238E27FC236}">
                        <a16:creationId xmlns:a16="http://schemas.microsoft.com/office/drawing/2014/main" id="{00000000-0008-0000-2000-0000F3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84" name="Arc 1012">
                    <a:extLst>
                      <a:ext uri="{FF2B5EF4-FFF2-40B4-BE49-F238E27FC236}">
                        <a16:creationId xmlns:a16="http://schemas.microsoft.com/office/drawing/2014/main" id="{00000000-0008-0000-2000-0000F4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85" name="Arc 1013">
                    <a:extLst>
                      <a:ext uri="{FF2B5EF4-FFF2-40B4-BE49-F238E27FC236}">
                        <a16:creationId xmlns:a16="http://schemas.microsoft.com/office/drawing/2014/main" id="{00000000-0008-0000-2000-0000F5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86" name="Group 1014">
                  <a:extLst>
                    <a:ext uri="{FF2B5EF4-FFF2-40B4-BE49-F238E27FC236}">
                      <a16:creationId xmlns:a16="http://schemas.microsoft.com/office/drawing/2014/main" id="{00000000-0008-0000-2000-0000F6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538" y="95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87" name="Arc 1015">
                    <a:extLst>
                      <a:ext uri="{FF2B5EF4-FFF2-40B4-BE49-F238E27FC236}">
                        <a16:creationId xmlns:a16="http://schemas.microsoft.com/office/drawing/2014/main" id="{00000000-0008-0000-2000-0000F7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88" name="Arc 1016">
                    <a:extLst>
                      <a:ext uri="{FF2B5EF4-FFF2-40B4-BE49-F238E27FC236}">
                        <a16:creationId xmlns:a16="http://schemas.microsoft.com/office/drawing/2014/main" id="{00000000-0008-0000-2000-0000F8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89" name="Arc 1017">
                    <a:extLst>
                      <a:ext uri="{FF2B5EF4-FFF2-40B4-BE49-F238E27FC236}">
                        <a16:creationId xmlns:a16="http://schemas.microsoft.com/office/drawing/2014/main" id="{00000000-0008-0000-2000-0000F9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90" name="Group 1018">
                  <a:extLst>
                    <a:ext uri="{FF2B5EF4-FFF2-40B4-BE49-F238E27FC236}">
                      <a16:creationId xmlns:a16="http://schemas.microsoft.com/office/drawing/2014/main" id="{00000000-0008-0000-2000-0000FA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490" y="95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91" name="Arc 1019">
                    <a:extLst>
                      <a:ext uri="{FF2B5EF4-FFF2-40B4-BE49-F238E27FC236}">
                        <a16:creationId xmlns:a16="http://schemas.microsoft.com/office/drawing/2014/main" id="{00000000-0008-0000-2000-0000FB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92" name="Arc 1020">
                    <a:extLst>
                      <a:ext uri="{FF2B5EF4-FFF2-40B4-BE49-F238E27FC236}">
                        <a16:creationId xmlns:a16="http://schemas.microsoft.com/office/drawing/2014/main" id="{00000000-0008-0000-2000-0000FC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29693" name="Arc 1021">
                    <a:extLst>
                      <a:ext uri="{FF2B5EF4-FFF2-40B4-BE49-F238E27FC236}">
                        <a16:creationId xmlns:a16="http://schemas.microsoft.com/office/drawing/2014/main" id="{00000000-0008-0000-2000-0000FD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94" name="Group 1022">
                  <a:extLst>
                    <a:ext uri="{FF2B5EF4-FFF2-40B4-BE49-F238E27FC236}">
                      <a16:creationId xmlns:a16="http://schemas.microsoft.com/office/drawing/2014/main" id="{00000000-0008-0000-2000-0000FE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442" y="95"/>
                  <a:ext cx="56" cy="59"/>
                  <a:chOff x="345" y="51"/>
                  <a:chExt cx="56" cy="59"/>
                </a:xfrm>
              </xdr:grpSpPr>
              <xdr:sp macro="[0]!Макрос1а" textlink="">
                <xdr:nvSpPr>
                  <xdr:cNvPr id="29695" name="Arc 1023">
                    <a:extLst>
                      <a:ext uri="{FF2B5EF4-FFF2-40B4-BE49-F238E27FC236}">
                        <a16:creationId xmlns:a16="http://schemas.microsoft.com/office/drawing/2014/main" id="{00000000-0008-0000-2000-0000FF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30720" name="Arc 1024">
                    <a:extLst>
                      <a:ext uri="{FF2B5EF4-FFF2-40B4-BE49-F238E27FC236}">
                        <a16:creationId xmlns:a16="http://schemas.microsoft.com/office/drawing/2014/main" id="{00000000-0008-0000-2000-00000078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1а" textlink="">
                <xdr:nvSpPr>
                  <xdr:cNvPr id="30721" name="Arc 1025">
                    <a:extLst>
                      <a:ext uri="{FF2B5EF4-FFF2-40B4-BE49-F238E27FC236}">
                        <a16:creationId xmlns:a16="http://schemas.microsoft.com/office/drawing/2014/main" id="{00000000-0008-0000-2000-00000178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Макрос1а" textlink="">
              <xdr:nvSpPr>
                <xdr:cNvPr id="30722" name="Freeform 1026">
                  <a:extLst>
                    <a:ext uri="{FF2B5EF4-FFF2-40B4-BE49-F238E27FC236}">
                      <a16:creationId xmlns:a16="http://schemas.microsoft.com/office/drawing/2014/main" id="{00000000-0008-0000-2000-00000278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5" y="94"/>
                  <a:ext cx="312" cy="19"/>
                </a:xfrm>
                <a:custGeom>
                  <a:avLst/>
                  <a:gdLst/>
                  <a:ahLst/>
                  <a:cxnLst>
                    <a:cxn ang="0">
                      <a:pos x="310" y="18"/>
                    </a:cxn>
                    <a:cxn ang="0">
                      <a:pos x="12" y="18"/>
                    </a:cxn>
                    <a:cxn ang="0">
                      <a:pos x="12" y="8"/>
                    </a:cxn>
                    <a:cxn ang="0">
                      <a:pos x="10" y="0"/>
                    </a:cxn>
                    <a:cxn ang="0">
                      <a:pos x="306" y="0"/>
                    </a:cxn>
                    <a:cxn ang="0">
                      <a:pos x="305" y="9"/>
                    </a:cxn>
                    <a:cxn ang="0">
                      <a:pos x="310" y="18"/>
                    </a:cxn>
                  </a:cxnLst>
                  <a:rect l="0" t="0" r="r" b="b"/>
                  <a:pathLst>
                    <a:path w="312" h="18">
                      <a:moveTo>
                        <a:pt x="310" y="18"/>
                      </a:moveTo>
                      <a:cubicBezTo>
                        <a:pt x="264" y="18"/>
                        <a:pt x="60" y="18"/>
                        <a:pt x="12" y="18"/>
                      </a:cubicBezTo>
                      <a:cubicBezTo>
                        <a:pt x="9" y="11"/>
                        <a:pt x="0" y="16"/>
                        <a:pt x="12" y="8"/>
                      </a:cubicBezTo>
                      <a:cubicBezTo>
                        <a:pt x="3" y="5"/>
                        <a:pt x="5" y="7"/>
                        <a:pt x="10" y="0"/>
                      </a:cubicBezTo>
                      <a:cubicBezTo>
                        <a:pt x="150" y="0"/>
                        <a:pt x="258" y="0"/>
                        <a:pt x="306" y="0"/>
                      </a:cubicBezTo>
                      <a:cubicBezTo>
                        <a:pt x="312" y="5"/>
                        <a:pt x="306" y="6"/>
                        <a:pt x="305" y="9"/>
                      </a:cubicBezTo>
                      <a:cubicBezTo>
                        <a:pt x="303" y="12"/>
                        <a:pt x="310" y="12"/>
                        <a:pt x="310" y="18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</xdr:grpSp>
        </xdr:grpSp>
        <xdr:sp macro="[0]!Макрос1а" textlink="">
          <xdr:nvSpPr>
            <xdr:cNvPr id="30723" name="Line 1027">
              <a:extLst>
                <a:ext uri="{FF2B5EF4-FFF2-40B4-BE49-F238E27FC236}">
                  <a16:creationId xmlns:a16="http://schemas.microsoft.com/office/drawing/2014/main" id="{00000000-0008-0000-2000-0000037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99" y="117"/>
              <a:ext cx="334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"/>
              <a:round/>
              <a:headEnd/>
              <a:tailEnd/>
            </a:ln>
          </xdr:spPr>
        </xdr:sp>
      </xdr:grpSp>
      <xdr:grpSp>
        <xdr:nvGrpSpPr>
          <xdr:cNvPr id="30785" name="Group 1089">
            <a:extLst>
              <a:ext uri="{FF2B5EF4-FFF2-40B4-BE49-F238E27FC236}">
                <a16:creationId xmlns:a16="http://schemas.microsoft.com/office/drawing/2014/main" id="{00000000-0008-0000-2000-000041780000}"/>
              </a:ext>
            </a:extLst>
          </xdr:cNvPr>
          <xdr:cNvGrpSpPr>
            <a:grpSpLocks/>
          </xdr:cNvGrpSpPr>
        </xdr:nvGrpSpPr>
        <xdr:grpSpPr bwMode="auto">
          <a:xfrm>
            <a:off x="767" y="27"/>
            <a:ext cx="32" cy="29"/>
            <a:chOff x="767" y="27"/>
            <a:chExt cx="32" cy="29"/>
          </a:xfrm>
        </xdr:grpSpPr>
        <xdr:sp macro="[0]!Макрос1а" textlink="">
          <xdr:nvSpPr>
            <xdr:cNvPr id="30779" name="Oval 1083">
              <a:extLst>
                <a:ext uri="{FF2B5EF4-FFF2-40B4-BE49-F238E27FC236}">
                  <a16:creationId xmlns:a16="http://schemas.microsoft.com/office/drawing/2014/main" id="{00000000-0008-0000-2000-00003B7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67" y="27"/>
              <a:ext cx="29" cy="29"/>
            </a:xfrm>
            <a:prstGeom prst="ellipse">
              <a:avLst/>
            </a:prstGeom>
            <a:noFill/>
            <a:ln w="15875">
              <a:solidFill>
                <a:srgbClr val="000000"/>
              </a:solidFill>
              <a:round/>
              <a:headEnd/>
              <a:tailEnd/>
            </a:ln>
          </xdr:spPr>
        </xdr:sp>
        <xdr:sp macro="[0]!Макрос1а" textlink="">
          <xdr:nvSpPr>
            <xdr:cNvPr id="30778" name="Text Box 1082">
              <a:extLst>
                <a:ext uri="{FF2B5EF4-FFF2-40B4-BE49-F238E27FC236}">
                  <a16:creationId xmlns:a16="http://schemas.microsoft.com/office/drawing/2014/main" id="{00000000-0008-0000-2000-00003A78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68" y="3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1a</a:t>
              </a:r>
            </a:p>
          </xdr:txBody>
        </xdr:sp>
      </xdr:grpSp>
      <xdr:sp macro="[0]!Макрос1а" textlink="">
        <xdr:nvSpPr>
          <xdr:cNvPr id="30781" name="Text Box 1085">
            <a:extLst>
              <a:ext uri="{FF2B5EF4-FFF2-40B4-BE49-F238E27FC236}">
                <a16:creationId xmlns:a16="http://schemas.microsoft.com/office/drawing/2014/main" id="{00000000-0008-0000-2000-00003D7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4" y="21"/>
            <a:ext cx="50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32004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Courier New Cyr"/>
                <a:cs typeface="Courier New Cyr"/>
              </a:rPr>
              <a:t>A-II</a:t>
            </a:r>
          </a:p>
        </xdr:txBody>
      </xdr:sp>
    </xdr:grpSp>
    <xdr:clientData fPrintsWithSheet="0"/>
  </xdr:twoCellAnchor>
  <xdr:twoCellAnchor editAs="oneCell">
    <xdr:from>
      <xdr:col>0</xdr:col>
      <xdr:colOff>66675</xdr:colOff>
      <xdr:row>8</xdr:row>
      <xdr:rowOff>247650</xdr:rowOff>
    </xdr:from>
    <xdr:to>
      <xdr:col>1</xdr:col>
      <xdr:colOff>495300</xdr:colOff>
      <xdr:row>10</xdr:row>
      <xdr:rowOff>0</xdr:rowOff>
    </xdr:to>
    <xdr:grpSp>
      <xdr:nvGrpSpPr>
        <xdr:cNvPr id="31303" name="Group 1607">
          <a:extLst>
            <a:ext uri="{FF2B5EF4-FFF2-40B4-BE49-F238E27FC236}">
              <a16:creationId xmlns:a16="http://schemas.microsoft.com/office/drawing/2014/main" id="{00000000-0008-0000-2000-0000477A0000}"/>
            </a:ext>
          </a:extLst>
        </xdr:cNvPr>
        <xdr:cNvGrpSpPr>
          <a:grpSpLocks/>
        </xdr:cNvGrpSpPr>
      </xdr:nvGrpSpPr>
      <xdr:grpSpPr bwMode="auto">
        <a:xfrm>
          <a:off x="66675" y="1647825"/>
          <a:ext cx="1000125" cy="685800"/>
          <a:chOff x="566" y="17"/>
          <a:chExt cx="105" cy="71"/>
        </a:xfrm>
      </xdr:grpSpPr>
      <xdr:sp macro="[0]!Арматура2" textlink="">
        <xdr:nvSpPr>
          <xdr:cNvPr id="31202" name="Rectangle 1506">
            <a:extLst>
              <a:ext uri="{FF2B5EF4-FFF2-40B4-BE49-F238E27FC236}">
                <a16:creationId xmlns:a16="http://schemas.microsoft.com/office/drawing/2014/main" id="{00000000-0008-0000-2000-0000E2790000}"/>
              </a:ext>
            </a:extLst>
          </xdr:cNvPr>
          <xdr:cNvSpPr>
            <a:spLocks noChangeArrowheads="1"/>
          </xdr:cNvSpPr>
        </xdr:nvSpPr>
        <xdr:spPr bwMode="auto">
          <a:xfrm>
            <a:off x="566" y="17"/>
            <a:ext cx="105" cy="7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302" name="Group 1606">
            <a:extLst>
              <a:ext uri="{FF2B5EF4-FFF2-40B4-BE49-F238E27FC236}">
                <a16:creationId xmlns:a16="http://schemas.microsoft.com/office/drawing/2014/main" id="{00000000-0008-0000-2000-0000467A0000}"/>
              </a:ext>
            </a:extLst>
          </xdr:cNvPr>
          <xdr:cNvGrpSpPr>
            <a:grpSpLocks/>
          </xdr:cNvGrpSpPr>
        </xdr:nvGrpSpPr>
        <xdr:grpSpPr bwMode="auto">
          <a:xfrm>
            <a:off x="574" y="20"/>
            <a:ext cx="92" cy="63"/>
            <a:chOff x="574" y="20"/>
            <a:chExt cx="92" cy="63"/>
          </a:xfrm>
        </xdr:grpSpPr>
        <xdr:grpSp>
          <xdr:nvGrpSpPr>
            <xdr:cNvPr id="31122" name="Group 1426">
              <a:extLst>
                <a:ext uri="{FF2B5EF4-FFF2-40B4-BE49-F238E27FC236}">
                  <a16:creationId xmlns:a16="http://schemas.microsoft.com/office/drawing/2014/main" id="{00000000-0008-0000-2000-0000927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74" y="57"/>
              <a:ext cx="92" cy="26"/>
              <a:chOff x="1070" y="82"/>
              <a:chExt cx="379" cy="106"/>
            </a:xfrm>
          </xdr:grpSpPr>
          <xdr:grpSp>
            <xdr:nvGrpSpPr>
              <xdr:cNvPr id="31123" name="Group 1427">
                <a:extLst>
                  <a:ext uri="{FF2B5EF4-FFF2-40B4-BE49-F238E27FC236}">
                    <a16:creationId xmlns:a16="http://schemas.microsoft.com/office/drawing/2014/main" id="{00000000-0008-0000-2000-00009379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90" y="82"/>
                <a:ext cx="338" cy="106"/>
                <a:chOff x="689" y="91"/>
                <a:chExt cx="338" cy="106"/>
              </a:xfrm>
            </xdr:grpSpPr>
            <xdr:sp macro="[0]!Арматура2" textlink="">
              <xdr:nvSpPr>
                <xdr:cNvPr id="31124" name="Freeform 1428">
                  <a:extLst>
                    <a:ext uri="{FF2B5EF4-FFF2-40B4-BE49-F238E27FC236}">
                      <a16:creationId xmlns:a16="http://schemas.microsoft.com/office/drawing/2014/main" id="{00000000-0008-0000-2000-000094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93"/>
                  <a:ext cx="101" cy="27"/>
                </a:xfrm>
                <a:custGeom>
                  <a:avLst/>
                  <a:gdLst/>
                  <a:ahLst/>
                  <a:cxnLst>
                    <a:cxn ang="0">
                      <a:pos x="0" y="27"/>
                    </a:cxn>
                    <a:cxn ang="0">
                      <a:pos x="42" y="1"/>
                    </a:cxn>
                    <a:cxn ang="0">
                      <a:pos x="78" y="21"/>
                    </a:cxn>
                    <a:cxn ang="0">
                      <a:pos x="101" y="11"/>
                    </a:cxn>
                  </a:cxnLst>
                  <a:rect l="0" t="0" r="r" b="b"/>
                  <a:pathLst>
                    <a:path w="101" h="27">
                      <a:moveTo>
                        <a:pt x="0" y="27"/>
                      </a:moveTo>
                      <a:cubicBezTo>
                        <a:pt x="10" y="20"/>
                        <a:pt x="29" y="2"/>
                        <a:pt x="42" y="1"/>
                      </a:cubicBezTo>
                      <a:cubicBezTo>
                        <a:pt x="55" y="0"/>
                        <a:pt x="68" y="19"/>
                        <a:pt x="78" y="21"/>
                      </a:cubicBezTo>
                      <a:cubicBezTo>
                        <a:pt x="88" y="23"/>
                        <a:pt x="97" y="13"/>
                        <a:pt x="101" y="11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25" name="Freeform 1429">
                  <a:extLst>
                    <a:ext uri="{FF2B5EF4-FFF2-40B4-BE49-F238E27FC236}">
                      <a16:creationId xmlns:a16="http://schemas.microsoft.com/office/drawing/2014/main" id="{00000000-0008-0000-2000-000095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0" y="92"/>
                  <a:ext cx="47" cy="19"/>
                </a:xfrm>
                <a:custGeom>
                  <a:avLst/>
                  <a:gdLst/>
                  <a:ahLst/>
                  <a:cxnLst>
                    <a:cxn ang="0">
                      <a:pos x="0" y="19"/>
                    </a:cxn>
                    <a:cxn ang="0">
                      <a:pos x="25" y="2"/>
                    </a:cxn>
                    <a:cxn ang="0">
                      <a:pos x="47" y="2"/>
                    </a:cxn>
                  </a:cxnLst>
                  <a:rect l="0" t="0" r="r" b="b"/>
                  <a:pathLst>
                    <a:path w="47" h="19">
                      <a:moveTo>
                        <a:pt x="0" y="19"/>
                      </a:moveTo>
                      <a:cubicBezTo>
                        <a:pt x="4" y="16"/>
                        <a:pt x="17" y="5"/>
                        <a:pt x="25" y="2"/>
                      </a:cubicBezTo>
                      <a:cubicBezTo>
                        <a:pt x="36" y="0"/>
                        <a:pt x="37" y="2"/>
                        <a:pt x="47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26" name="Freeform 1430">
                  <a:extLst>
                    <a:ext uri="{FF2B5EF4-FFF2-40B4-BE49-F238E27FC236}">
                      <a16:creationId xmlns:a16="http://schemas.microsoft.com/office/drawing/2014/main" id="{00000000-0008-0000-2000-000096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2" y="105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grpSp>
              <xdr:nvGrpSpPr>
                <xdr:cNvPr id="31127" name="Group 1431">
                  <a:extLst>
                    <a:ext uri="{FF2B5EF4-FFF2-40B4-BE49-F238E27FC236}">
                      <a16:creationId xmlns:a16="http://schemas.microsoft.com/office/drawing/2014/main" id="{00000000-0008-0000-2000-000097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53" y="91"/>
                  <a:ext cx="131" cy="47"/>
                  <a:chOff x="752" y="89"/>
                  <a:chExt cx="131" cy="47"/>
                </a:xfrm>
              </xdr:grpSpPr>
              <xdr:sp macro="[0]!Арматура2" textlink="">
                <xdr:nvSpPr>
                  <xdr:cNvPr id="31128" name="Freeform 1432">
                    <a:extLst>
                      <a:ext uri="{FF2B5EF4-FFF2-40B4-BE49-F238E27FC236}">
                        <a16:creationId xmlns:a16="http://schemas.microsoft.com/office/drawing/2014/main" id="{00000000-0008-0000-2000-000098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129" name="Freeform 1433">
                    <a:extLst>
                      <a:ext uri="{FF2B5EF4-FFF2-40B4-BE49-F238E27FC236}">
                        <a16:creationId xmlns:a16="http://schemas.microsoft.com/office/drawing/2014/main" id="{00000000-0008-0000-2000-000099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130" name="Freeform 1434">
                    <a:extLst>
                      <a:ext uri="{FF2B5EF4-FFF2-40B4-BE49-F238E27FC236}">
                        <a16:creationId xmlns:a16="http://schemas.microsoft.com/office/drawing/2014/main" id="{00000000-0008-0000-2000-00009A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131" name="Group 1435">
                  <a:extLst>
                    <a:ext uri="{FF2B5EF4-FFF2-40B4-BE49-F238E27FC236}">
                      <a16:creationId xmlns:a16="http://schemas.microsoft.com/office/drawing/2014/main" id="{00000000-0008-0000-2000-00009B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846" y="91"/>
                  <a:ext cx="131" cy="47"/>
                  <a:chOff x="752" y="89"/>
                  <a:chExt cx="131" cy="47"/>
                </a:xfrm>
              </xdr:grpSpPr>
              <xdr:sp macro="[0]!Арматура2" textlink="">
                <xdr:nvSpPr>
                  <xdr:cNvPr id="31132" name="Freeform 1436">
                    <a:extLst>
                      <a:ext uri="{FF2B5EF4-FFF2-40B4-BE49-F238E27FC236}">
                        <a16:creationId xmlns:a16="http://schemas.microsoft.com/office/drawing/2014/main" id="{00000000-0008-0000-2000-00009C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133" name="Freeform 1437">
                    <a:extLst>
                      <a:ext uri="{FF2B5EF4-FFF2-40B4-BE49-F238E27FC236}">
                        <a16:creationId xmlns:a16="http://schemas.microsoft.com/office/drawing/2014/main" id="{00000000-0008-0000-2000-00009D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134" name="Freeform 1438">
                    <a:extLst>
                      <a:ext uri="{FF2B5EF4-FFF2-40B4-BE49-F238E27FC236}">
                        <a16:creationId xmlns:a16="http://schemas.microsoft.com/office/drawing/2014/main" id="{00000000-0008-0000-2000-00009E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Арматура2" textlink="">
              <xdr:nvSpPr>
                <xdr:cNvPr id="31135" name="Freeform 1439">
                  <a:extLst>
                    <a:ext uri="{FF2B5EF4-FFF2-40B4-BE49-F238E27FC236}">
                      <a16:creationId xmlns:a16="http://schemas.microsoft.com/office/drawing/2014/main" id="{00000000-0008-0000-2000-00009F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93"/>
                  <a:ext cx="75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60" y="1"/>
                    </a:cxn>
                    <a:cxn ang="0">
                      <a:pos x="75" y="4"/>
                    </a:cxn>
                  </a:cxnLst>
                  <a:rect l="0" t="0" r="r" b="b"/>
                  <a:pathLst>
                    <a:path w="75" h="45">
                      <a:moveTo>
                        <a:pt x="0" y="45"/>
                      </a:moveTo>
                      <a:cubicBezTo>
                        <a:pt x="29" y="20"/>
                        <a:pt x="46" y="6"/>
                        <a:pt x="60" y="1"/>
                      </a:cubicBezTo>
                      <a:cubicBezTo>
                        <a:pt x="69" y="0"/>
                        <a:pt x="70" y="2"/>
                        <a:pt x="75" y="4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36" name="Freeform 1440">
                  <a:extLst>
                    <a:ext uri="{FF2B5EF4-FFF2-40B4-BE49-F238E27FC236}">
                      <a16:creationId xmlns:a16="http://schemas.microsoft.com/office/drawing/2014/main" id="{00000000-0008-0000-2000-0000A0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8" y="92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37" name="Freeform 1441">
                  <a:extLst>
                    <a:ext uri="{FF2B5EF4-FFF2-40B4-BE49-F238E27FC236}">
                      <a16:creationId xmlns:a16="http://schemas.microsoft.com/office/drawing/2014/main" id="{00000000-0008-0000-2000-0000A1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04"/>
                  <a:ext cx="45" cy="8"/>
                </a:xfrm>
                <a:custGeom>
                  <a:avLst/>
                  <a:gdLst/>
                  <a:ahLst/>
                  <a:cxnLst>
                    <a:cxn ang="0">
                      <a:pos x="0" y="8"/>
                    </a:cxn>
                    <a:cxn ang="0">
                      <a:pos x="30" y="1"/>
                    </a:cxn>
                    <a:cxn ang="0">
                      <a:pos x="45" y="3"/>
                    </a:cxn>
                  </a:cxnLst>
                  <a:rect l="0" t="0" r="r" b="b"/>
                  <a:pathLst>
                    <a:path w="45" h="8">
                      <a:moveTo>
                        <a:pt x="0" y="8"/>
                      </a:moveTo>
                      <a:cubicBezTo>
                        <a:pt x="7" y="4"/>
                        <a:pt x="15" y="1"/>
                        <a:pt x="30" y="1"/>
                      </a:cubicBezTo>
                      <a:cubicBezTo>
                        <a:pt x="37" y="0"/>
                        <a:pt x="43" y="3"/>
                        <a:pt x="45" y="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38" name="Freeform 1442">
                  <a:extLst>
                    <a:ext uri="{FF2B5EF4-FFF2-40B4-BE49-F238E27FC236}">
                      <a16:creationId xmlns:a16="http://schemas.microsoft.com/office/drawing/2014/main" id="{00000000-0008-0000-2000-0000A2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1" y="166"/>
                  <a:ext cx="103" cy="30"/>
                </a:xfrm>
                <a:custGeom>
                  <a:avLst/>
                  <a:gdLst/>
                  <a:ahLst/>
                  <a:cxnLst>
                    <a:cxn ang="0">
                      <a:pos x="103" y="0"/>
                    </a:cxn>
                    <a:cxn ang="0">
                      <a:pos x="60" y="28"/>
                    </a:cxn>
                    <a:cxn ang="0">
                      <a:pos x="23" y="9"/>
                    </a:cxn>
                    <a:cxn ang="0">
                      <a:pos x="0" y="19"/>
                    </a:cxn>
                  </a:cxnLst>
                  <a:rect l="0" t="0" r="r" b="b"/>
                  <a:pathLst>
                    <a:path w="103" h="30">
                      <a:moveTo>
                        <a:pt x="103" y="0"/>
                      </a:moveTo>
                      <a:cubicBezTo>
                        <a:pt x="96" y="5"/>
                        <a:pt x="73" y="26"/>
                        <a:pt x="60" y="28"/>
                      </a:cubicBezTo>
                      <a:cubicBezTo>
                        <a:pt x="47" y="30"/>
                        <a:pt x="33" y="11"/>
                        <a:pt x="23" y="9"/>
                      </a:cubicBezTo>
                      <a:cubicBezTo>
                        <a:pt x="13" y="7"/>
                        <a:pt x="4" y="17"/>
                        <a:pt x="0" y="19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39" name="Freeform 1443">
                  <a:extLst>
                    <a:ext uri="{FF2B5EF4-FFF2-40B4-BE49-F238E27FC236}">
                      <a16:creationId xmlns:a16="http://schemas.microsoft.com/office/drawing/2014/main" id="{00000000-0008-0000-2000-0000A3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7" y="175"/>
                  <a:ext cx="48" cy="20"/>
                </a:xfrm>
                <a:custGeom>
                  <a:avLst/>
                  <a:gdLst/>
                  <a:ahLst/>
                  <a:cxnLst>
                    <a:cxn ang="0">
                      <a:pos x="48" y="0"/>
                    </a:cxn>
                    <a:cxn ang="0">
                      <a:pos x="22" y="18"/>
                    </a:cxn>
                    <a:cxn ang="0">
                      <a:pos x="0" y="19"/>
                    </a:cxn>
                  </a:cxnLst>
                  <a:rect l="0" t="0" r="r" b="b"/>
                  <a:pathLst>
                    <a:path w="48" h="20">
                      <a:moveTo>
                        <a:pt x="48" y="0"/>
                      </a:moveTo>
                      <a:cubicBezTo>
                        <a:pt x="44" y="3"/>
                        <a:pt x="30" y="15"/>
                        <a:pt x="22" y="18"/>
                      </a:cubicBezTo>
                      <a:cubicBezTo>
                        <a:pt x="11" y="20"/>
                        <a:pt x="10" y="19"/>
                        <a:pt x="0" y="19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40" name="Freeform 1444">
                  <a:extLst>
                    <a:ext uri="{FF2B5EF4-FFF2-40B4-BE49-F238E27FC236}">
                      <a16:creationId xmlns:a16="http://schemas.microsoft.com/office/drawing/2014/main" id="{00000000-0008-0000-2000-0000A4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flipH="1" flipV="1">
                  <a:off x="950" y="177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grpSp>
              <xdr:nvGrpSpPr>
                <xdr:cNvPr id="31141" name="Group 1445">
                  <a:extLst>
                    <a:ext uri="{FF2B5EF4-FFF2-40B4-BE49-F238E27FC236}">
                      <a16:creationId xmlns:a16="http://schemas.microsoft.com/office/drawing/2014/main" id="{00000000-0008-0000-2000-0000A5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829" y="150"/>
                  <a:ext cx="131" cy="47"/>
                  <a:chOff x="752" y="89"/>
                  <a:chExt cx="131" cy="47"/>
                </a:xfrm>
              </xdr:grpSpPr>
              <xdr:sp macro="[0]!Арматура2" textlink="">
                <xdr:nvSpPr>
                  <xdr:cNvPr id="31142" name="Freeform 1446">
                    <a:extLst>
                      <a:ext uri="{FF2B5EF4-FFF2-40B4-BE49-F238E27FC236}">
                        <a16:creationId xmlns:a16="http://schemas.microsoft.com/office/drawing/2014/main" id="{00000000-0008-0000-2000-0000A6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143" name="Freeform 1447">
                    <a:extLst>
                      <a:ext uri="{FF2B5EF4-FFF2-40B4-BE49-F238E27FC236}">
                        <a16:creationId xmlns:a16="http://schemas.microsoft.com/office/drawing/2014/main" id="{00000000-0008-0000-2000-0000A7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144" name="Freeform 1448">
                    <a:extLst>
                      <a:ext uri="{FF2B5EF4-FFF2-40B4-BE49-F238E27FC236}">
                        <a16:creationId xmlns:a16="http://schemas.microsoft.com/office/drawing/2014/main" id="{00000000-0008-0000-2000-0000A8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145" name="Group 1449">
                  <a:extLst>
                    <a:ext uri="{FF2B5EF4-FFF2-40B4-BE49-F238E27FC236}">
                      <a16:creationId xmlns:a16="http://schemas.microsoft.com/office/drawing/2014/main" id="{00000000-0008-0000-2000-0000A9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736" y="150"/>
                  <a:ext cx="131" cy="47"/>
                  <a:chOff x="752" y="89"/>
                  <a:chExt cx="131" cy="47"/>
                </a:xfrm>
              </xdr:grpSpPr>
              <xdr:sp macro="[0]!Арматура2" textlink="">
                <xdr:nvSpPr>
                  <xdr:cNvPr id="31146" name="Freeform 1450">
                    <a:extLst>
                      <a:ext uri="{FF2B5EF4-FFF2-40B4-BE49-F238E27FC236}">
                        <a16:creationId xmlns:a16="http://schemas.microsoft.com/office/drawing/2014/main" id="{00000000-0008-0000-2000-0000AA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147" name="Freeform 1451">
                    <a:extLst>
                      <a:ext uri="{FF2B5EF4-FFF2-40B4-BE49-F238E27FC236}">
                        <a16:creationId xmlns:a16="http://schemas.microsoft.com/office/drawing/2014/main" id="{00000000-0008-0000-2000-0000AB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148" name="Freeform 1452">
                    <a:extLst>
                      <a:ext uri="{FF2B5EF4-FFF2-40B4-BE49-F238E27FC236}">
                        <a16:creationId xmlns:a16="http://schemas.microsoft.com/office/drawing/2014/main" id="{00000000-0008-0000-2000-0000AC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Арматура2" textlink="">
              <xdr:nvSpPr>
                <xdr:cNvPr id="31149" name="Freeform 1453">
                  <a:extLst>
                    <a:ext uri="{FF2B5EF4-FFF2-40B4-BE49-F238E27FC236}">
                      <a16:creationId xmlns:a16="http://schemas.microsoft.com/office/drawing/2014/main" id="{00000000-0008-0000-2000-0000AD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flipH="1" flipV="1">
                  <a:off x="689" y="150"/>
                  <a:ext cx="75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60" y="1"/>
                    </a:cxn>
                    <a:cxn ang="0">
                      <a:pos x="75" y="4"/>
                    </a:cxn>
                  </a:cxnLst>
                  <a:rect l="0" t="0" r="r" b="b"/>
                  <a:pathLst>
                    <a:path w="75" h="45">
                      <a:moveTo>
                        <a:pt x="0" y="45"/>
                      </a:moveTo>
                      <a:cubicBezTo>
                        <a:pt x="29" y="20"/>
                        <a:pt x="46" y="6"/>
                        <a:pt x="60" y="1"/>
                      </a:cubicBezTo>
                      <a:cubicBezTo>
                        <a:pt x="69" y="0"/>
                        <a:pt x="70" y="2"/>
                        <a:pt x="75" y="4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50" name="Freeform 1454">
                  <a:extLst>
                    <a:ext uri="{FF2B5EF4-FFF2-40B4-BE49-F238E27FC236}">
                      <a16:creationId xmlns:a16="http://schemas.microsoft.com/office/drawing/2014/main" id="{00000000-0008-0000-2000-0000AE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9" y="151"/>
                  <a:ext cx="77" cy="46"/>
                </a:xfrm>
                <a:custGeom>
                  <a:avLst/>
                  <a:gdLst/>
                  <a:ahLst/>
                  <a:cxnLst>
                    <a:cxn ang="0">
                      <a:pos x="77" y="0"/>
                    </a:cxn>
                    <a:cxn ang="0">
                      <a:pos x="22" y="44"/>
                    </a:cxn>
                    <a:cxn ang="0">
                      <a:pos x="0" y="44"/>
                    </a:cxn>
                  </a:cxnLst>
                  <a:rect l="0" t="0" r="r" b="b"/>
                  <a:pathLst>
                    <a:path w="77" h="46">
                      <a:moveTo>
                        <a:pt x="77" y="0"/>
                      </a:moveTo>
                      <a:cubicBezTo>
                        <a:pt x="60" y="18"/>
                        <a:pt x="36" y="35"/>
                        <a:pt x="22" y="44"/>
                      </a:cubicBezTo>
                      <a:cubicBezTo>
                        <a:pt x="11" y="46"/>
                        <a:pt x="10" y="44"/>
                        <a:pt x="0" y="44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51" name="Freeform 1455">
                  <a:extLst>
                    <a:ext uri="{FF2B5EF4-FFF2-40B4-BE49-F238E27FC236}">
                      <a16:creationId xmlns:a16="http://schemas.microsoft.com/office/drawing/2014/main" id="{00000000-0008-0000-2000-0000AF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76"/>
                  <a:ext cx="42" cy="8"/>
                </a:xfrm>
                <a:custGeom>
                  <a:avLst/>
                  <a:gdLst/>
                  <a:ahLst/>
                  <a:cxnLst>
                    <a:cxn ang="0">
                      <a:pos x="42" y="0"/>
                    </a:cxn>
                    <a:cxn ang="0">
                      <a:pos x="13" y="7"/>
                    </a:cxn>
                    <a:cxn ang="0">
                      <a:pos x="0" y="5"/>
                    </a:cxn>
                  </a:cxnLst>
                  <a:rect l="0" t="0" r="r" b="b"/>
                  <a:pathLst>
                    <a:path w="42" h="8">
                      <a:moveTo>
                        <a:pt x="42" y="0"/>
                      </a:moveTo>
                      <a:cubicBezTo>
                        <a:pt x="35" y="4"/>
                        <a:pt x="28" y="7"/>
                        <a:pt x="13" y="7"/>
                      </a:cubicBezTo>
                      <a:cubicBezTo>
                        <a:pt x="6" y="8"/>
                        <a:pt x="3" y="5"/>
                        <a:pt x="0" y="5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52" name="Freeform 1456">
                  <a:extLst>
                    <a:ext uri="{FF2B5EF4-FFF2-40B4-BE49-F238E27FC236}">
                      <a16:creationId xmlns:a16="http://schemas.microsoft.com/office/drawing/2014/main" id="{00000000-0008-0000-2000-0000B0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36"/>
                  <a:ext cx="336" cy="14"/>
                </a:xfrm>
                <a:custGeom>
                  <a:avLst/>
                  <a:gdLst/>
                  <a:ahLst/>
                  <a:cxnLst>
                    <a:cxn ang="0">
                      <a:pos x="336" y="14"/>
                    </a:cxn>
                    <a:cxn ang="0">
                      <a:pos x="0" y="14"/>
                    </a:cxn>
                    <a:cxn ang="0">
                      <a:pos x="0" y="2"/>
                    </a:cxn>
                    <a:cxn ang="0">
                      <a:pos x="333" y="2"/>
                    </a:cxn>
                    <a:cxn ang="0">
                      <a:pos x="336" y="14"/>
                    </a:cxn>
                  </a:cxnLst>
                  <a:rect l="0" t="0" r="r" b="b"/>
                  <a:pathLst>
                    <a:path w="336" h="14">
                      <a:moveTo>
                        <a:pt x="336" y="14"/>
                      </a:moveTo>
                      <a:cubicBezTo>
                        <a:pt x="283" y="14"/>
                        <a:pt x="57" y="14"/>
                        <a:pt x="0" y="14"/>
                      </a:cubicBezTo>
                      <a:cubicBezTo>
                        <a:pt x="0" y="0"/>
                        <a:pt x="0" y="9"/>
                        <a:pt x="0" y="2"/>
                      </a:cubicBezTo>
                      <a:cubicBezTo>
                        <a:pt x="164" y="2"/>
                        <a:pt x="277" y="2"/>
                        <a:pt x="333" y="2"/>
                      </a:cubicBezTo>
                      <a:cubicBezTo>
                        <a:pt x="334" y="10"/>
                        <a:pt x="336" y="8"/>
                        <a:pt x="336" y="14"/>
                      </a:cubicBezTo>
                      <a:close/>
                    </a:path>
                  </a:pathLst>
                </a:custGeom>
                <a:noFill/>
                <a:ln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53" name="Line 1457">
                  <a:extLst>
                    <a:ext uri="{FF2B5EF4-FFF2-40B4-BE49-F238E27FC236}">
                      <a16:creationId xmlns:a16="http://schemas.microsoft.com/office/drawing/2014/main" id="{00000000-0008-0000-2000-0000B179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691" y="111"/>
                  <a:ext cx="0" cy="80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54" name="Freeform 1458">
                  <a:extLst>
                    <a:ext uri="{FF2B5EF4-FFF2-40B4-BE49-F238E27FC236}">
                      <a16:creationId xmlns:a16="http://schemas.microsoft.com/office/drawing/2014/main" id="{00000000-0008-0000-2000-0000B2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1" y="98"/>
                  <a:ext cx="6" cy="87"/>
                </a:xfrm>
                <a:custGeom>
                  <a:avLst/>
                  <a:gdLst/>
                  <a:ahLst/>
                  <a:cxnLst>
                    <a:cxn ang="0">
                      <a:pos x="3" y="0"/>
                    </a:cxn>
                    <a:cxn ang="0">
                      <a:pos x="4" y="10"/>
                    </a:cxn>
                    <a:cxn ang="0">
                      <a:pos x="2" y="22"/>
                    </a:cxn>
                    <a:cxn ang="0">
                      <a:pos x="4" y="30"/>
                    </a:cxn>
                    <a:cxn ang="0">
                      <a:pos x="3" y="43"/>
                    </a:cxn>
                    <a:cxn ang="0">
                      <a:pos x="6" y="51"/>
                    </a:cxn>
                    <a:cxn ang="0">
                      <a:pos x="3" y="60"/>
                    </a:cxn>
                    <a:cxn ang="0">
                      <a:pos x="2" y="70"/>
                    </a:cxn>
                    <a:cxn ang="0">
                      <a:pos x="3" y="80"/>
                    </a:cxn>
                    <a:cxn ang="0">
                      <a:pos x="0" y="85"/>
                    </a:cxn>
                    <a:cxn ang="0">
                      <a:pos x="1" y="87"/>
                    </a:cxn>
                  </a:cxnLst>
                  <a:rect l="0" t="0" r="r" b="b"/>
                  <a:pathLst>
                    <a:path w="6" h="87">
                      <a:moveTo>
                        <a:pt x="3" y="0"/>
                      </a:moveTo>
                      <a:cubicBezTo>
                        <a:pt x="3" y="3"/>
                        <a:pt x="4" y="6"/>
                        <a:pt x="4" y="10"/>
                      </a:cubicBezTo>
                      <a:cubicBezTo>
                        <a:pt x="4" y="14"/>
                        <a:pt x="2" y="19"/>
                        <a:pt x="2" y="22"/>
                      </a:cubicBezTo>
                      <a:cubicBezTo>
                        <a:pt x="2" y="25"/>
                        <a:pt x="4" y="27"/>
                        <a:pt x="4" y="30"/>
                      </a:cubicBezTo>
                      <a:cubicBezTo>
                        <a:pt x="4" y="33"/>
                        <a:pt x="3" y="40"/>
                        <a:pt x="3" y="43"/>
                      </a:cubicBezTo>
                      <a:cubicBezTo>
                        <a:pt x="3" y="46"/>
                        <a:pt x="6" y="48"/>
                        <a:pt x="6" y="51"/>
                      </a:cubicBezTo>
                      <a:cubicBezTo>
                        <a:pt x="6" y="54"/>
                        <a:pt x="4" y="57"/>
                        <a:pt x="3" y="60"/>
                      </a:cubicBezTo>
                      <a:cubicBezTo>
                        <a:pt x="2" y="63"/>
                        <a:pt x="2" y="67"/>
                        <a:pt x="2" y="70"/>
                      </a:cubicBezTo>
                      <a:cubicBezTo>
                        <a:pt x="2" y="73"/>
                        <a:pt x="3" y="78"/>
                        <a:pt x="3" y="80"/>
                      </a:cubicBezTo>
                      <a:cubicBezTo>
                        <a:pt x="3" y="82"/>
                        <a:pt x="0" y="84"/>
                        <a:pt x="0" y="85"/>
                      </a:cubicBezTo>
                      <a:cubicBezTo>
                        <a:pt x="0" y="86"/>
                        <a:pt x="1" y="87"/>
                        <a:pt x="1" y="8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155" name="Freeform 1459">
                  <a:extLst>
                    <a:ext uri="{FF2B5EF4-FFF2-40B4-BE49-F238E27FC236}">
                      <a16:creationId xmlns:a16="http://schemas.microsoft.com/office/drawing/2014/main" id="{00000000-0008-0000-2000-0000B3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1" y="183"/>
                  <a:ext cx="11" cy="4"/>
                </a:xfrm>
                <a:custGeom>
                  <a:avLst/>
                  <a:gdLst/>
                  <a:ahLst/>
                  <a:cxnLst>
                    <a:cxn ang="0">
                      <a:pos x="0" y="4"/>
                    </a:cxn>
                    <a:cxn ang="0">
                      <a:pos x="11" y="0"/>
                    </a:cxn>
                  </a:cxnLst>
                  <a:rect l="0" t="0" r="r" b="b"/>
                  <a:pathLst>
                    <a:path w="11" h="4">
                      <a:moveTo>
                        <a:pt x="0" y="4"/>
                      </a:moveTo>
                      <a:cubicBezTo>
                        <a:pt x="4" y="2"/>
                        <a:pt x="9" y="1"/>
                        <a:pt x="11" y="0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sp macro="[0]!Арматура2" textlink="">
            <xdr:nvSpPr>
              <xdr:cNvPr id="31156" name="Line 1460">
                <a:extLst>
                  <a:ext uri="{FF2B5EF4-FFF2-40B4-BE49-F238E27FC236}">
                    <a16:creationId xmlns:a16="http://schemas.microsoft.com/office/drawing/2014/main" id="{00000000-0008-0000-2000-0000B479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70" y="135"/>
                <a:ext cx="379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"/>
                <a:round/>
                <a:headEnd/>
                <a:tailEnd/>
              </a:ln>
            </xdr:spPr>
          </xdr:sp>
        </xdr:grpSp>
        <xdr:grpSp>
          <xdr:nvGrpSpPr>
            <xdr:cNvPr id="31199" name="Group 1503">
              <a:extLst>
                <a:ext uri="{FF2B5EF4-FFF2-40B4-BE49-F238E27FC236}">
                  <a16:creationId xmlns:a16="http://schemas.microsoft.com/office/drawing/2014/main" id="{00000000-0008-0000-2000-0000DF7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74" y="20"/>
              <a:ext cx="35" cy="34"/>
              <a:chOff x="570" y="13"/>
              <a:chExt cx="35" cy="34"/>
            </a:xfrm>
          </xdr:grpSpPr>
          <xdr:sp macro="[0]!Арматура2" textlink="">
            <xdr:nvSpPr>
              <xdr:cNvPr id="31198" name="Oval 1502">
                <a:extLst>
                  <a:ext uri="{FF2B5EF4-FFF2-40B4-BE49-F238E27FC236}">
                    <a16:creationId xmlns:a16="http://schemas.microsoft.com/office/drawing/2014/main" id="{00000000-0008-0000-2000-0000DE79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570" y="13"/>
                <a:ext cx="34" cy="34"/>
              </a:xfrm>
              <a:prstGeom prst="ellipse">
                <a:avLst/>
              </a:prstGeom>
              <a:noFill/>
              <a:ln w="158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1197" name="Text Box 1501">
                <a:extLst>
                  <a:ext uri="{FF2B5EF4-FFF2-40B4-BE49-F238E27FC236}">
                    <a16:creationId xmlns:a16="http://schemas.microsoft.com/office/drawing/2014/main" id="{00000000-0008-0000-2000-0000DD79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74" y="18"/>
                <a:ext cx="31" cy="23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1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2a</a:t>
                </a:r>
              </a:p>
            </xdr:txBody>
          </xdr:sp>
        </xdr:grpSp>
        <xdr:sp macro="[0]!Арматура2" textlink="">
          <xdr:nvSpPr>
            <xdr:cNvPr id="31200" name="Text Box 1504">
              <a:extLst>
                <a:ext uri="{FF2B5EF4-FFF2-40B4-BE49-F238E27FC236}">
                  <a16:creationId xmlns:a16="http://schemas.microsoft.com/office/drawing/2014/main" id="{00000000-0008-0000-2000-0000E079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19" y="20"/>
              <a:ext cx="43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 Cyr"/>
                  <a:cs typeface="Times New Roman Cyr"/>
                </a:rPr>
                <a:t>Ac-II</a:t>
              </a:r>
            </a:p>
          </xdr:txBody>
        </xdr:sp>
      </xdr:grpSp>
    </xdr:grpSp>
    <xdr:clientData fPrintsWithSheet="0"/>
  </xdr:twoCellAnchor>
  <xdr:twoCellAnchor editAs="oneCell">
    <xdr:from>
      <xdr:col>0</xdr:col>
      <xdr:colOff>28575</xdr:colOff>
      <xdr:row>10</xdr:row>
      <xdr:rowOff>104775</xdr:rowOff>
    </xdr:from>
    <xdr:to>
      <xdr:col>2</xdr:col>
      <xdr:colOff>57150</xdr:colOff>
      <xdr:row>15</xdr:row>
      <xdr:rowOff>66675</xdr:rowOff>
    </xdr:to>
    <xdr:grpSp>
      <xdr:nvGrpSpPr>
        <xdr:cNvPr id="31298" name="Group 1602">
          <a:extLst>
            <a:ext uri="{FF2B5EF4-FFF2-40B4-BE49-F238E27FC236}">
              <a16:creationId xmlns:a16="http://schemas.microsoft.com/office/drawing/2014/main" id="{00000000-0008-0000-2000-0000427A0000}"/>
            </a:ext>
          </a:extLst>
        </xdr:cNvPr>
        <xdr:cNvGrpSpPr>
          <a:grpSpLocks/>
        </xdr:cNvGrpSpPr>
      </xdr:nvGrpSpPr>
      <xdr:grpSpPr bwMode="auto">
        <a:xfrm>
          <a:off x="28575" y="2438400"/>
          <a:ext cx="1162050" cy="752475"/>
          <a:chOff x="387" y="15"/>
          <a:chExt cx="125" cy="76"/>
        </a:xfrm>
      </xdr:grpSpPr>
      <xdr:sp macro="[0]!Арматура2" textlink="">
        <xdr:nvSpPr>
          <xdr:cNvPr id="31292" name="Rectangle 1596">
            <a:extLst>
              <a:ext uri="{FF2B5EF4-FFF2-40B4-BE49-F238E27FC236}">
                <a16:creationId xmlns:a16="http://schemas.microsoft.com/office/drawing/2014/main" id="{00000000-0008-0000-2000-00003C7A0000}"/>
              </a:ext>
            </a:extLst>
          </xdr:cNvPr>
          <xdr:cNvSpPr>
            <a:spLocks noChangeArrowheads="1"/>
          </xdr:cNvSpPr>
        </xdr:nvSpPr>
        <xdr:spPr bwMode="auto">
          <a:xfrm>
            <a:off x="387" y="15"/>
            <a:ext cx="123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297" name="Group 1601">
            <a:extLst>
              <a:ext uri="{FF2B5EF4-FFF2-40B4-BE49-F238E27FC236}">
                <a16:creationId xmlns:a16="http://schemas.microsoft.com/office/drawing/2014/main" id="{00000000-0008-0000-2000-0000417A0000}"/>
              </a:ext>
            </a:extLst>
          </xdr:cNvPr>
          <xdr:cNvGrpSpPr>
            <a:grpSpLocks/>
          </xdr:cNvGrpSpPr>
        </xdr:nvGrpSpPr>
        <xdr:grpSpPr bwMode="auto">
          <a:xfrm>
            <a:off x="392" y="19"/>
            <a:ext cx="120" cy="67"/>
            <a:chOff x="392" y="19"/>
            <a:chExt cx="120" cy="67"/>
          </a:xfrm>
        </xdr:grpSpPr>
        <xdr:grpSp>
          <xdr:nvGrpSpPr>
            <xdr:cNvPr id="31285" name="Group 1589">
              <a:extLst>
                <a:ext uri="{FF2B5EF4-FFF2-40B4-BE49-F238E27FC236}">
                  <a16:creationId xmlns:a16="http://schemas.microsoft.com/office/drawing/2014/main" id="{00000000-0008-0000-2000-0000357A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03" y="62"/>
              <a:ext cx="83" cy="24"/>
              <a:chOff x="1531" y="433"/>
              <a:chExt cx="353" cy="102"/>
            </a:xfrm>
          </xdr:grpSpPr>
          <xdr:sp macro="[0]!Арматура2" textlink="">
            <xdr:nvSpPr>
              <xdr:cNvPr id="31207" name="Line 1511">
                <a:extLst>
                  <a:ext uri="{FF2B5EF4-FFF2-40B4-BE49-F238E27FC236}">
                    <a16:creationId xmlns:a16="http://schemas.microsoft.com/office/drawing/2014/main" id="{00000000-0008-0000-2000-0000E779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531" y="484"/>
                <a:ext cx="353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"/>
                <a:round/>
                <a:headEnd/>
                <a:tailEnd/>
              </a:ln>
            </xdr:spPr>
          </xdr:sp>
          <xdr:grpSp>
            <xdr:nvGrpSpPr>
              <xdr:cNvPr id="31217" name="Group 1521">
                <a:extLst>
                  <a:ext uri="{FF2B5EF4-FFF2-40B4-BE49-F238E27FC236}">
                    <a16:creationId xmlns:a16="http://schemas.microsoft.com/office/drawing/2014/main" id="{00000000-0008-0000-2000-0000F179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535" y="433"/>
                <a:ext cx="340" cy="102"/>
                <a:chOff x="697" y="220"/>
                <a:chExt cx="340" cy="104"/>
              </a:xfrm>
            </xdr:grpSpPr>
            <xdr:sp macro="[0]!Арматура2" textlink="">
              <xdr:nvSpPr>
                <xdr:cNvPr id="31218" name="Freeform 1522">
                  <a:extLst>
                    <a:ext uri="{FF2B5EF4-FFF2-40B4-BE49-F238E27FC236}">
                      <a16:creationId xmlns:a16="http://schemas.microsoft.com/office/drawing/2014/main" id="{00000000-0008-0000-2000-0000F2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7" y="221"/>
                  <a:ext cx="106" cy="33"/>
                </a:xfrm>
                <a:custGeom>
                  <a:avLst/>
                  <a:gdLst/>
                  <a:ahLst/>
                  <a:cxnLst>
                    <a:cxn ang="0">
                      <a:pos x="0" y="33"/>
                    </a:cxn>
                    <a:cxn ang="0">
                      <a:pos x="46" y="2"/>
                    </a:cxn>
                    <a:cxn ang="0">
                      <a:pos x="83" y="22"/>
                    </a:cxn>
                    <a:cxn ang="0">
                      <a:pos x="106" y="12"/>
                    </a:cxn>
                  </a:cxnLst>
                  <a:rect l="0" t="0" r="r" b="b"/>
                  <a:pathLst>
                    <a:path w="106" h="33">
                      <a:moveTo>
                        <a:pt x="0" y="33"/>
                      </a:moveTo>
                      <a:cubicBezTo>
                        <a:pt x="9" y="25"/>
                        <a:pt x="32" y="4"/>
                        <a:pt x="46" y="2"/>
                      </a:cubicBezTo>
                      <a:cubicBezTo>
                        <a:pt x="60" y="0"/>
                        <a:pt x="73" y="20"/>
                        <a:pt x="83" y="22"/>
                      </a:cubicBezTo>
                      <a:cubicBezTo>
                        <a:pt x="93" y="24"/>
                        <a:pt x="102" y="14"/>
                        <a:pt x="106" y="1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19" name="Freeform 1523">
                  <a:extLst>
                    <a:ext uri="{FF2B5EF4-FFF2-40B4-BE49-F238E27FC236}">
                      <a16:creationId xmlns:a16="http://schemas.microsoft.com/office/drawing/2014/main" id="{00000000-0008-0000-2000-0000F3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3" y="221"/>
                  <a:ext cx="45" cy="18"/>
                </a:xfrm>
                <a:custGeom>
                  <a:avLst/>
                  <a:gdLst/>
                  <a:ahLst/>
                  <a:cxnLst>
                    <a:cxn ang="0">
                      <a:pos x="0" y="18"/>
                    </a:cxn>
                    <a:cxn ang="0">
                      <a:pos x="23" y="2"/>
                    </a:cxn>
                    <a:cxn ang="0">
                      <a:pos x="45" y="2"/>
                    </a:cxn>
                  </a:cxnLst>
                  <a:rect l="0" t="0" r="r" b="b"/>
                  <a:pathLst>
                    <a:path w="45" h="18">
                      <a:moveTo>
                        <a:pt x="0" y="18"/>
                      </a:moveTo>
                      <a:cubicBezTo>
                        <a:pt x="6" y="12"/>
                        <a:pt x="16" y="5"/>
                        <a:pt x="23" y="2"/>
                      </a:cubicBezTo>
                      <a:cubicBezTo>
                        <a:pt x="34" y="0"/>
                        <a:pt x="35" y="2"/>
                        <a:pt x="45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20" name="Freeform 1524">
                  <a:extLst>
                    <a:ext uri="{FF2B5EF4-FFF2-40B4-BE49-F238E27FC236}">
                      <a16:creationId xmlns:a16="http://schemas.microsoft.com/office/drawing/2014/main" id="{00000000-0008-0000-2000-0000F4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3" y="234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grpSp>
              <xdr:nvGrpSpPr>
                <xdr:cNvPr id="31221" name="Group 1525">
                  <a:extLst>
                    <a:ext uri="{FF2B5EF4-FFF2-40B4-BE49-F238E27FC236}">
                      <a16:creationId xmlns:a16="http://schemas.microsoft.com/office/drawing/2014/main" id="{00000000-0008-0000-2000-0000F5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64" y="220"/>
                  <a:ext cx="131" cy="47"/>
                  <a:chOff x="752" y="89"/>
                  <a:chExt cx="131" cy="47"/>
                </a:xfrm>
              </xdr:grpSpPr>
              <xdr:sp macro="[0]!Арматура2" textlink="">
                <xdr:nvSpPr>
                  <xdr:cNvPr id="31222" name="Freeform 1526">
                    <a:extLst>
                      <a:ext uri="{FF2B5EF4-FFF2-40B4-BE49-F238E27FC236}">
                        <a16:creationId xmlns:a16="http://schemas.microsoft.com/office/drawing/2014/main" id="{00000000-0008-0000-2000-0000F6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23" name="Freeform 1527">
                    <a:extLst>
                      <a:ext uri="{FF2B5EF4-FFF2-40B4-BE49-F238E27FC236}">
                        <a16:creationId xmlns:a16="http://schemas.microsoft.com/office/drawing/2014/main" id="{00000000-0008-0000-2000-0000F7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24" name="Freeform 1528">
                    <a:extLst>
                      <a:ext uri="{FF2B5EF4-FFF2-40B4-BE49-F238E27FC236}">
                        <a16:creationId xmlns:a16="http://schemas.microsoft.com/office/drawing/2014/main" id="{00000000-0008-0000-2000-0000F8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225" name="Group 1529">
                  <a:extLst>
                    <a:ext uri="{FF2B5EF4-FFF2-40B4-BE49-F238E27FC236}">
                      <a16:creationId xmlns:a16="http://schemas.microsoft.com/office/drawing/2014/main" id="{00000000-0008-0000-2000-0000F9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857" y="220"/>
                  <a:ext cx="131" cy="47"/>
                  <a:chOff x="752" y="89"/>
                  <a:chExt cx="131" cy="47"/>
                </a:xfrm>
              </xdr:grpSpPr>
              <xdr:sp macro="[0]!Арматура2" textlink="">
                <xdr:nvSpPr>
                  <xdr:cNvPr id="31226" name="Freeform 1530">
                    <a:extLst>
                      <a:ext uri="{FF2B5EF4-FFF2-40B4-BE49-F238E27FC236}">
                        <a16:creationId xmlns:a16="http://schemas.microsoft.com/office/drawing/2014/main" id="{00000000-0008-0000-2000-0000FA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27" name="Freeform 1531">
                    <a:extLst>
                      <a:ext uri="{FF2B5EF4-FFF2-40B4-BE49-F238E27FC236}">
                        <a16:creationId xmlns:a16="http://schemas.microsoft.com/office/drawing/2014/main" id="{00000000-0008-0000-2000-0000FB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28" name="Freeform 1532">
                    <a:extLst>
                      <a:ext uri="{FF2B5EF4-FFF2-40B4-BE49-F238E27FC236}">
                        <a16:creationId xmlns:a16="http://schemas.microsoft.com/office/drawing/2014/main" id="{00000000-0008-0000-2000-0000FC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Арматура2" textlink="">
              <xdr:nvSpPr>
                <xdr:cNvPr id="31229" name="Freeform 1533">
                  <a:extLst>
                    <a:ext uri="{FF2B5EF4-FFF2-40B4-BE49-F238E27FC236}">
                      <a16:creationId xmlns:a16="http://schemas.microsoft.com/office/drawing/2014/main" id="{00000000-0008-0000-2000-0000FD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0" y="222"/>
                  <a:ext cx="71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60" y="1"/>
                    </a:cxn>
                    <a:cxn ang="0">
                      <a:pos x="71" y="3"/>
                    </a:cxn>
                  </a:cxnLst>
                  <a:rect l="0" t="0" r="r" b="b"/>
                  <a:pathLst>
                    <a:path w="71" h="45">
                      <a:moveTo>
                        <a:pt x="0" y="45"/>
                      </a:moveTo>
                      <a:cubicBezTo>
                        <a:pt x="29" y="20"/>
                        <a:pt x="46" y="6"/>
                        <a:pt x="60" y="1"/>
                      </a:cubicBezTo>
                      <a:cubicBezTo>
                        <a:pt x="69" y="0"/>
                        <a:pt x="66" y="1"/>
                        <a:pt x="71" y="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30" name="Freeform 1534">
                  <a:extLst>
                    <a:ext uri="{FF2B5EF4-FFF2-40B4-BE49-F238E27FC236}">
                      <a16:creationId xmlns:a16="http://schemas.microsoft.com/office/drawing/2014/main" id="{00000000-0008-0000-2000-0000FE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221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31" name="Freeform 1535">
                  <a:extLst>
                    <a:ext uri="{FF2B5EF4-FFF2-40B4-BE49-F238E27FC236}">
                      <a16:creationId xmlns:a16="http://schemas.microsoft.com/office/drawing/2014/main" id="{00000000-0008-0000-2000-0000FF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1" y="233"/>
                  <a:ext cx="45" cy="8"/>
                </a:xfrm>
                <a:custGeom>
                  <a:avLst/>
                  <a:gdLst/>
                  <a:ahLst/>
                  <a:cxnLst>
                    <a:cxn ang="0">
                      <a:pos x="0" y="8"/>
                    </a:cxn>
                    <a:cxn ang="0">
                      <a:pos x="30" y="1"/>
                    </a:cxn>
                    <a:cxn ang="0">
                      <a:pos x="45" y="3"/>
                    </a:cxn>
                  </a:cxnLst>
                  <a:rect l="0" t="0" r="r" b="b"/>
                  <a:pathLst>
                    <a:path w="45" h="8">
                      <a:moveTo>
                        <a:pt x="0" y="8"/>
                      </a:moveTo>
                      <a:cubicBezTo>
                        <a:pt x="7" y="4"/>
                        <a:pt x="15" y="1"/>
                        <a:pt x="30" y="1"/>
                      </a:cubicBezTo>
                      <a:cubicBezTo>
                        <a:pt x="37" y="0"/>
                        <a:pt x="43" y="3"/>
                        <a:pt x="45" y="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grpSp>
              <xdr:nvGrpSpPr>
                <xdr:cNvPr id="31232" name="Group 1536">
                  <a:extLst>
                    <a:ext uri="{FF2B5EF4-FFF2-40B4-BE49-F238E27FC236}">
                      <a16:creationId xmlns:a16="http://schemas.microsoft.com/office/drawing/2014/main" id="{00000000-0008-0000-2000-0000007A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702" y="277"/>
                  <a:ext cx="120" cy="47"/>
                  <a:chOff x="671" y="89"/>
                  <a:chExt cx="120" cy="47"/>
                </a:xfrm>
              </xdr:grpSpPr>
              <xdr:sp macro="[0]!Арматура2" textlink="">
                <xdr:nvSpPr>
                  <xdr:cNvPr id="31233" name="Freeform 1537">
                    <a:extLst>
                      <a:ext uri="{FF2B5EF4-FFF2-40B4-BE49-F238E27FC236}">
                        <a16:creationId xmlns:a16="http://schemas.microsoft.com/office/drawing/2014/main" id="{00000000-0008-0000-2000-000001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71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34" name="Freeform 1538">
                    <a:extLst>
                      <a:ext uri="{FF2B5EF4-FFF2-40B4-BE49-F238E27FC236}">
                        <a16:creationId xmlns:a16="http://schemas.microsoft.com/office/drawing/2014/main" id="{00000000-0008-0000-2000-000002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72" y="90"/>
                    <a:ext cx="64" cy="33"/>
                  </a:xfrm>
                  <a:custGeom>
                    <a:avLst/>
                    <a:gdLst/>
                    <a:ahLst/>
                    <a:cxnLst>
                      <a:cxn ang="0">
                        <a:pos x="0" y="33"/>
                      </a:cxn>
                      <a:cxn ang="0">
                        <a:pos x="42" y="2"/>
                      </a:cxn>
                      <a:cxn ang="0">
                        <a:pos x="64" y="2"/>
                      </a:cxn>
                    </a:cxnLst>
                    <a:rect l="0" t="0" r="r" b="b"/>
                    <a:pathLst>
                      <a:path w="64" h="33">
                        <a:moveTo>
                          <a:pt x="0" y="33"/>
                        </a:moveTo>
                        <a:cubicBezTo>
                          <a:pt x="7" y="28"/>
                          <a:pt x="31" y="7"/>
                          <a:pt x="42" y="2"/>
                        </a:cubicBezTo>
                        <a:cubicBezTo>
                          <a:pt x="53" y="0"/>
                          <a:pt x="54" y="2"/>
                          <a:pt x="64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35" name="Freeform 1539">
                    <a:extLst>
                      <a:ext uri="{FF2B5EF4-FFF2-40B4-BE49-F238E27FC236}">
                        <a16:creationId xmlns:a16="http://schemas.microsoft.com/office/drawing/2014/main" id="{00000000-0008-0000-2000-000003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01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236" name="Group 1540">
                  <a:extLst>
                    <a:ext uri="{FF2B5EF4-FFF2-40B4-BE49-F238E27FC236}">
                      <a16:creationId xmlns:a16="http://schemas.microsoft.com/office/drawing/2014/main" id="{00000000-0008-0000-2000-0000047A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783" y="277"/>
                  <a:ext cx="131" cy="47"/>
                  <a:chOff x="752" y="89"/>
                  <a:chExt cx="131" cy="47"/>
                </a:xfrm>
              </xdr:grpSpPr>
              <xdr:sp macro="[0]!Арматура2" textlink="">
                <xdr:nvSpPr>
                  <xdr:cNvPr id="31237" name="Freeform 1541">
                    <a:extLst>
                      <a:ext uri="{FF2B5EF4-FFF2-40B4-BE49-F238E27FC236}">
                        <a16:creationId xmlns:a16="http://schemas.microsoft.com/office/drawing/2014/main" id="{00000000-0008-0000-2000-000005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38" name="Freeform 1542">
                    <a:extLst>
                      <a:ext uri="{FF2B5EF4-FFF2-40B4-BE49-F238E27FC236}">
                        <a16:creationId xmlns:a16="http://schemas.microsoft.com/office/drawing/2014/main" id="{00000000-0008-0000-2000-000006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39" name="Freeform 1543">
                    <a:extLst>
                      <a:ext uri="{FF2B5EF4-FFF2-40B4-BE49-F238E27FC236}">
                        <a16:creationId xmlns:a16="http://schemas.microsoft.com/office/drawing/2014/main" id="{00000000-0008-0000-2000-000007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240" name="Group 1544">
                  <a:extLst>
                    <a:ext uri="{FF2B5EF4-FFF2-40B4-BE49-F238E27FC236}">
                      <a16:creationId xmlns:a16="http://schemas.microsoft.com/office/drawing/2014/main" id="{00000000-0008-0000-2000-0000087A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876" y="277"/>
                  <a:ext cx="131" cy="47"/>
                  <a:chOff x="752" y="89"/>
                  <a:chExt cx="131" cy="47"/>
                </a:xfrm>
              </xdr:grpSpPr>
              <xdr:sp macro="[0]!Арматура2" textlink="">
                <xdr:nvSpPr>
                  <xdr:cNvPr id="31241" name="Freeform 1545">
                    <a:extLst>
                      <a:ext uri="{FF2B5EF4-FFF2-40B4-BE49-F238E27FC236}">
                        <a16:creationId xmlns:a16="http://schemas.microsoft.com/office/drawing/2014/main" id="{00000000-0008-0000-2000-000009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42" name="Freeform 1546">
                    <a:extLst>
                      <a:ext uri="{FF2B5EF4-FFF2-40B4-BE49-F238E27FC236}">
                        <a16:creationId xmlns:a16="http://schemas.microsoft.com/office/drawing/2014/main" id="{00000000-0008-0000-2000-00000A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2" textlink="">
                <xdr:nvSpPr>
                  <xdr:cNvPr id="31243" name="Freeform 1547">
                    <a:extLst>
                      <a:ext uri="{FF2B5EF4-FFF2-40B4-BE49-F238E27FC236}">
                        <a16:creationId xmlns:a16="http://schemas.microsoft.com/office/drawing/2014/main" id="{00000000-0008-0000-2000-00000B7A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Арматура2" textlink="">
              <xdr:nvSpPr>
                <xdr:cNvPr id="31244" name="Freeform 1548">
                  <a:extLst>
                    <a:ext uri="{FF2B5EF4-FFF2-40B4-BE49-F238E27FC236}">
                      <a16:creationId xmlns:a16="http://schemas.microsoft.com/office/drawing/2014/main" id="{00000000-0008-0000-2000-00000C7A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9" y="278"/>
                  <a:ext cx="52" cy="37"/>
                </a:xfrm>
                <a:custGeom>
                  <a:avLst/>
                  <a:gdLst/>
                  <a:ahLst/>
                  <a:cxnLst>
                    <a:cxn ang="0">
                      <a:pos x="0" y="0"/>
                    </a:cxn>
                    <a:cxn ang="0">
                      <a:pos x="52" y="37"/>
                    </a:cxn>
                  </a:cxnLst>
                  <a:rect l="0" t="0" r="r" b="b"/>
                  <a:pathLst>
                    <a:path w="52" h="37">
                      <a:moveTo>
                        <a:pt x="0" y="0"/>
                      </a:moveTo>
                      <a:cubicBezTo>
                        <a:pt x="29" y="25"/>
                        <a:pt x="38" y="32"/>
                        <a:pt x="52" y="3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45" name="Freeform 1549">
                  <a:extLst>
                    <a:ext uri="{FF2B5EF4-FFF2-40B4-BE49-F238E27FC236}">
                      <a16:creationId xmlns:a16="http://schemas.microsoft.com/office/drawing/2014/main" id="{00000000-0008-0000-2000-00000D7A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8" y="279"/>
                  <a:ext cx="66" cy="44"/>
                </a:xfrm>
                <a:custGeom>
                  <a:avLst/>
                  <a:gdLst/>
                  <a:ahLst/>
                  <a:cxnLst>
                    <a:cxn ang="0">
                      <a:pos x="0" y="0"/>
                    </a:cxn>
                    <a:cxn ang="0">
                      <a:pos x="55" y="42"/>
                    </a:cxn>
                    <a:cxn ang="0">
                      <a:pos x="65" y="43"/>
                    </a:cxn>
                  </a:cxnLst>
                  <a:rect l="0" t="0" r="r" b="b"/>
                  <a:pathLst>
                    <a:path w="66" h="44">
                      <a:moveTo>
                        <a:pt x="0" y="0"/>
                      </a:moveTo>
                      <a:cubicBezTo>
                        <a:pt x="17" y="18"/>
                        <a:pt x="42" y="35"/>
                        <a:pt x="55" y="42"/>
                      </a:cubicBezTo>
                      <a:cubicBezTo>
                        <a:pt x="66" y="44"/>
                        <a:pt x="55" y="42"/>
                        <a:pt x="65" y="4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46" name="Freeform 1550">
                  <a:extLst>
                    <a:ext uri="{FF2B5EF4-FFF2-40B4-BE49-F238E27FC236}">
                      <a16:creationId xmlns:a16="http://schemas.microsoft.com/office/drawing/2014/main" id="{00000000-0008-0000-2000-00000E7A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0" y="303"/>
                  <a:ext cx="22" cy="7"/>
                </a:xfrm>
                <a:custGeom>
                  <a:avLst/>
                  <a:gdLst/>
                  <a:ahLst/>
                  <a:cxnLst>
                    <a:cxn ang="0">
                      <a:pos x="0" y="0"/>
                    </a:cxn>
                    <a:cxn ang="0">
                      <a:pos x="22" y="7"/>
                    </a:cxn>
                  </a:cxnLst>
                  <a:rect l="0" t="0" r="r" b="b"/>
                  <a:pathLst>
                    <a:path w="22" h="7">
                      <a:moveTo>
                        <a:pt x="0" y="0"/>
                      </a:moveTo>
                      <a:cubicBezTo>
                        <a:pt x="7" y="4"/>
                        <a:pt x="7" y="7"/>
                        <a:pt x="22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47" name="Freeform 1551">
                  <a:extLst>
                    <a:ext uri="{FF2B5EF4-FFF2-40B4-BE49-F238E27FC236}">
                      <a16:creationId xmlns:a16="http://schemas.microsoft.com/office/drawing/2014/main" id="{00000000-0008-0000-2000-00000F7A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2" y="266"/>
                  <a:ext cx="331" cy="12"/>
                </a:xfrm>
                <a:custGeom>
                  <a:avLst/>
                  <a:gdLst/>
                  <a:ahLst/>
                  <a:cxnLst>
                    <a:cxn ang="0">
                      <a:pos x="331" y="12"/>
                    </a:cxn>
                    <a:cxn ang="0">
                      <a:pos x="0" y="12"/>
                    </a:cxn>
                    <a:cxn ang="0">
                      <a:pos x="1" y="0"/>
                    </a:cxn>
                    <a:cxn ang="0">
                      <a:pos x="327" y="0"/>
                    </a:cxn>
                    <a:cxn ang="0">
                      <a:pos x="331" y="12"/>
                    </a:cxn>
                  </a:cxnLst>
                  <a:rect l="0" t="0" r="r" b="b"/>
                  <a:pathLst>
                    <a:path w="331" h="12">
                      <a:moveTo>
                        <a:pt x="331" y="12"/>
                      </a:moveTo>
                      <a:cubicBezTo>
                        <a:pt x="274" y="12"/>
                        <a:pt x="61" y="12"/>
                        <a:pt x="0" y="12"/>
                      </a:cubicBezTo>
                      <a:cubicBezTo>
                        <a:pt x="0" y="7"/>
                        <a:pt x="1" y="6"/>
                        <a:pt x="1" y="0"/>
                      </a:cubicBezTo>
                      <a:cubicBezTo>
                        <a:pt x="177" y="0"/>
                        <a:pt x="267" y="0"/>
                        <a:pt x="327" y="0"/>
                      </a:cubicBezTo>
                      <a:cubicBezTo>
                        <a:pt x="328" y="5"/>
                        <a:pt x="328" y="4"/>
                        <a:pt x="331" y="12"/>
                      </a:cubicBezTo>
                      <a:close/>
                    </a:path>
                  </a:pathLst>
                </a:custGeom>
                <a:noFill/>
                <a:ln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48" name="Freeform 1552">
                  <a:extLst>
                    <a:ext uri="{FF2B5EF4-FFF2-40B4-BE49-F238E27FC236}">
                      <a16:creationId xmlns:a16="http://schemas.microsoft.com/office/drawing/2014/main" id="{00000000-0008-0000-2000-0000107A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3" y="303"/>
                  <a:ext cx="30" cy="11"/>
                </a:xfrm>
                <a:custGeom>
                  <a:avLst/>
                  <a:gdLst/>
                  <a:ahLst/>
                  <a:cxnLst>
                    <a:cxn ang="0">
                      <a:pos x="1" y="4"/>
                    </a:cxn>
                    <a:cxn ang="0">
                      <a:pos x="7" y="1"/>
                    </a:cxn>
                    <a:cxn ang="0">
                      <a:pos x="30" y="11"/>
                    </a:cxn>
                  </a:cxnLst>
                  <a:rect l="0" t="0" r="r" b="b"/>
                  <a:pathLst>
                    <a:path w="30" h="11">
                      <a:moveTo>
                        <a:pt x="1" y="4"/>
                      </a:moveTo>
                      <a:cubicBezTo>
                        <a:pt x="4" y="0"/>
                        <a:pt x="0" y="2"/>
                        <a:pt x="7" y="1"/>
                      </a:cubicBezTo>
                      <a:cubicBezTo>
                        <a:pt x="12" y="2"/>
                        <a:pt x="26" y="9"/>
                        <a:pt x="30" y="11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49" name="Freeform 1553">
                  <a:extLst>
                    <a:ext uri="{FF2B5EF4-FFF2-40B4-BE49-F238E27FC236}">
                      <a16:creationId xmlns:a16="http://schemas.microsoft.com/office/drawing/2014/main" id="{00000000-0008-0000-2000-0000117A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7" y="239"/>
                  <a:ext cx="9" cy="69"/>
                </a:xfrm>
                <a:custGeom>
                  <a:avLst/>
                  <a:gdLst/>
                  <a:ahLst/>
                  <a:cxnLst>
                    <a:cxn ang="0">
                      <a:pos x="6" y="0"/>
                    </a:cxn>
                    <a:cxn ang="0">
                      <a:pos x="0" y="18"/>
                    </a:cxn>
                    <a:cxn ang="0">
                      <a:pos x="6" y="28"/>
                    </a:cxn>
                    <a:cxn ang="0">
                      <a:pos x="4" y="37"/>
                    </a:cxn>
                    <a:cxn ang="0">
                      <a:pos x="9" y="57"/>
                    </a:cxn>
                    <a:cxn ang="0">
                      <a:pos x="6" y="69"/>
                    </a:cxn>
                  </a:cxnLst>
                  <a:rect l="0" t="0" r="r" b="b"/>
                  <a:pathLst>
                    <a:path w="9" h="69">
                      <a:moveTo>
                        <a:pt x="6" y="0"/>
                      </a:moveTo>
                      <a:cubicBezTo>
                        <a:pt x="3" y="6"/>
                        <a:pt x="0" y="13"/>
                        <a:pt x="0" y="18"/>
                      </a:cubicBezTo>
                      <a:cubicBezTo>
                        <a:pt x="0" y="23"/>
                        <a:pt x="5" y="25"/>
                        <a:pt x="6" y="28"/>
                      </a:cubicBezTo>
                      <a:cubicBezTo>
                        <a:pt x="7" y="31"/>
                        <a:pt x="4" y="32"/>
                        <a:pt x="4" y="37"/>
                      </a:cubicBezTo>
                      <a:cubicBezTo>
                        <a:pt x="4" y="42"/>
                        <a:pt x="9" y="52"/>
                        <a:pt x="9" y="57"/>
                      </a:cubicBezTo>
                      <a:cubicBezTo>
                        <a:pt x="9" y="62"/>
                        <a:pt x="7" y="67"/>
                        <a:pt x="6" y="69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2" textlink="">
              <xdr:nvSpPr>
                <xdr:cNvPr id="31250" name="Freeform 1554">
                  <a:extLst>
                    <a:ext uri="{FF2B5EF4-FFF2-40B4-BE49-F238E27FC236}">
                      <a16:creationId xmlns:a16="http://schemas.microsoft.com/office/drawing/2014/main" id="{00000000-0008-0000-2000-0000127A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8" y="225"/>
                  <a:ext cx="9" cy="97"/>
                </a:xfrm>
                <a:custGeom>
                  <a:avLst/>
                  <a:gdLst/>
                  <a:ahLst/>
                  <a:cxnLst>
                    <a:cxn ang="0">
                      <a:pos x="2" y="0"/>
                    </a:cxn>
                    <a:cxn ang="0">
                      <a:pos x="9" y="13"/>
                    </a:cxn>
                    <a:cxn ang="0">
                      <a:pos x="4" y="29"/>
                    </a:cxn>
                    <a:cxn ang="0">
                      <a:pos x="0" y="41"/>
                    </a:cxn>
                    <a:cxn ang="0">
                      <a:pos x="5" y="53"/>
                    </a:cxn>
                    <a:cxn ang="0">
                      <a:pos x="3" y="65"/>
                    </a:cxn>
                    <a:cxn ang="0">
                      <a:pos x="6" y="72"/>
                    </a:cxn>
                    <a:cxn ang="0">
                      <a:pos x="3" y="83"/>
                    </a:cxn>
                    <a:cxn ang="0">
                      <a:pos x="4" y="97"/>
                    </a:cxn>
                  </a:cxnLst>
                  <a:rect l="0" t="0" r="r" b="b"/>
                  <a:pathLst>
                    <a:path w="9" h="97">
                      <a:moveTo>
                        <a:pt x="2" y="0"/>
                      </a:moveTo>
                      <a:cubicBezTo>
                        <a:pt x="5" y="4"/>
                        <a:pt x="9" y="8"/>
                        <a:pt x="9" y="13"/>
                      </a:cubicBezTo>
                      <a:cubicBezTo>
                        <a:pt x="9" y="18"/>
                        <a:pt x="5" y="24"/>
                        <a:pt x="4" y="29"/>
                      </a:cubicBezTo>
                      <a:cubicBezTo>
                        <a:pt x="3" y="34"/>
                        <a:pt x="0" y="37"/>
                        <a:pt x="0" y="41"/>
                      </a:cubicBezTo>
                      <a:cubicBezTo>
                        <a:pt x="0" y="45"/>
                        <a:pt x="4" y="49"/>
                        <a:pt x="5" y="53"/>
                      </a:cubicBezTo>
                      <a:cubicBezTo>
                        <a:pt x="6" y="57"/>
                        <a:pt x="3" y="62"/>
                        <a:pt x="3" y="65"/>
                      </a:cubicBezTo>
                      <a:cubicBezTo>
                        <a:pt x="3" y="68"/>
                        <a:pt x="6" y="69"/>
                        <a:pt x="6" y="72"/>
                      </a:cubicBezTo>
                      <a:cubicBezTo>
                        <a:pt x="6" y="75"/>
                        <a:pt x="3" y="79"/>
                        <a:pt x="3" y="83"/>
                      </a:cubicBezTo>
                      <a:cubicBezTo>
                        <a:pt x="3" y="87"/>
                        <a:pt x="3" y="92"/>
                        <a:pt x="4" y="9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31289" name="Group 1593">
              <a:extLst>
                <a:ext uri="{FF2B5EF4-FFF2-40B4-BE49-F238E27FC236}">
                  <a16:creationId xmlns:a16="http://schemas.microsoft.com/office/drawing/2014/main" id="{00000000-0008-0000-2000-0000397A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92" y="21"/>
              <a:ext cx="34" cy="31"/>
              <a:chOff x="392" y="19"/>
              <a:chExt cx="34" cy="31"/>
            </a:xfrm>
          </xdr:grpSpPr>
          <xdr:sp macro="[0]!Арматура2" textlink="">
            <xdr:nvSpPr>
              <xdr:cNvPr id="31287" name="Oval 1591">
                <a:extLst>
                  <a:ext uri="{FF2B5EF4-FFF2-40B4-BE49-F238E27FC236}">
                    <a16:creationId xmlns:a16="http://schemas.microsoft.com/office/drawing/2014/main" id="{00000000-0008-0000-2000-0000377A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92" y="19"/>
                <a:ext cx="32" cy="31"/>
              </a:xfrm>
              <a:prstGeom prst="ellipse">
                <a:avLst/>
              </a:prstGeom>
              <a:noFill/>
              <a:ln w="158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Арматура2" textlink="">
            <xdr:nvSpPr>
              <xdr:cNvPr id="31286" name="Text Box 1590">
                <a:extLst>
                  <a:ext uri="{FF2B5EF4-FFF2-40B4-BE49-F238E27FC236}">
                    <a16:creationId xmlns:a16="http://schemas.microsoft.com/office/drawing/2014/main" id="{00000000-0008-0000-2000-0000367A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93" y="24"/>
                <a:ext cx="33" cy="23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1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2б</a:t>
                </a:r>
              </a:p>
            </xdr:txBody>
          </xdr:sp>
        </xdr:grpSp>
        <xdr:sp macro="[0]!Арматура2" textlink="">
          <xdr:nvSpPr>
            <xdr:cNvPr id="31290" name="Text Box 1594">
              <a:extLst>
                <a:ext uri="{FF2B5EF4-FFF2-40B4-BE49-F238E27FC236}">
                  <a16:creationId xmlns:a16="http://schemas.microsoft.com/office/drawing/2014/main" id="{00000000-0008-0000-2000-00003A7A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28" y="19"/>
              <a:ext cx="84" cy="4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 Cyr"/>
                  <a:cs typeface="Times New Roman Cyr"/>
                </a:rPr>
                <a:t>A-IV; A-V;</a:t>
              </a:r>
            </a:p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 Cyr"/>
                  <a:cs typeface="Times New Roman Cyr"/>
                </a:rPr>
                <a:t>     A-VI</a:t>
              </a:r>
            </a:p>
          </xdr:txBody>
        </xdr:sp>
      </xdr:grpSp>
    </xdr:grpSp>
    <xdr:clientData fPrintsWithSheet="0"/>
  </xdr:twoCellAnchor>
  <xdr:twoCellAnchor editAs="oneCell">
    <xdr:from>
      <xdr:col>4</xdr:col>
      <xdr:colOff>161925</xdr:colOff>
      <xdr:row>0</xdr:row>
      <xdr:rowOff>0</xdr:rowOff>
    </xdr:from>
    <xdr:to>
      <xdr:col>4</xdr:col>
      <xdr:colOff>714375</xdr:colOff>
      <xdr:row>8</xdr:row>
      <xdr:rowOff>76200</xdr:rowOff>
    </xdr:to>
    <xdr:grpSp>
      <xdr:nvGrpSpPr>
        <xdr:cNvPr id="31434" name="Group 1738">
          <a:extLst>
            <a:ext uri="{FF2B5EF4-FFF2-40B4-BE49-F238E27FC236}">
              <a16:creationId xmlns:a16="http://schemas.microsoft.com/office/drawing/2014/main" id="{00000000-0008-0000-2000-0000CA7A0000}"/>
            </a:ext>
          </a:extLst>
        </xdr:cNvPr>
        <xdr:cNvGrpSpPr>
          <a:grpSpLocks/>
        </xdr:cNvGrpSpPr>
      </xdr:nvGrpSpPr>
      <xdr:grpSpPr bwMode="auto">
        <a:xfrm>
          <a:off x="2219325" y="0"/>
          <a:ext cx="552450" cy="1476375"/>
          <a:chOff x="231" y="10"/>
          <a:chExt cx="58" cy="155"/>
        </a:xfrm>
      </xdr:grpSpPr>
      <xdr:sp macro="" textlink="">
        <xdr:nvSpPr>
          <xdr:cNvPr id="31433" name="Text Box 1737">
            <a:extLst>
              <a:ext uri="{FF2B5EF4-FFF2-40B4-BE49-F238E27FC236}">
                <a16:creationId xmlns:a16="http://schemas.microsoft.com/office/drawing/2014/main" id="{00000000-0008-0000-2000-0000C97A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1" y="10"/>
            <a:ext cx="58" cy="155"/>
          </a:xfrm>
          <a:prstGeom prst="rect">
            <a:avLst/>
          </a:prstGeom>
          <a:solidFill>
            <a:srgbClr val="FFFF99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№</a:t>
            </a: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профиля</a:t>
            </a:r>
          </a:p>
        </xdr:txBody>
      </xdr:sp>
    </xdr:grpSp>
    <xdr:clientData fPrintsWithSheet="0"/>
  </xdr:twoCellAnchor>
  <xdr:twoCellAnchor editAs="oneCell">
    <xdr:from>
      <xdr:col>3</xdr:col>
      <xdr:colOff>47625</xdr:colOff>
      <xdr:row>0</xdr:row>
      <xdr:rowOff>257175</xdr:rowOff>
    </xdr:from>
    <xdr:to>
      <xdr:col>4</xdr:col>
      <xdr:colOff>76200</xdr:colOff>
      <xdr:row>8</xdr:row>
      <xdr:rowOff>66675</xdr:rowOff>
    </xdr:to>
    <xdr:grpSp>
      <xdr:nvGrpSpPr>
        <xdr:cNvPr id="31436" name="Group 1740">
          <a:extLst>
            <a:ext uri="{FF2B5EF4-FFF2-40B4-BE49-F238E27FC236}">
              <a16:creationId xmlns:a16="http://schemas.microsoft.com/office/drawing/2014/main" id="{00000000-0008-0000-2000-0000CC7A0000}"/>
            </a:ext>
          </a:extLst>
        </xdr:cNvPr>
        <xdr:cNvGrpSpPr>
          <a:grpSpLocks/>
        </xdr:cNvGrpSpPr>
      </xdr:nvGrpSpPr>
      <xdr:grpSpPr bwMode="auto">
        <a:xfrm>
          <a:off x="1295400" y="209550"/>
          <a:ext cx="838200" cy="1257300"/>
          <a:chOff x="132" y="15"/>
          <a:chExt cx="95" cy="132"/>
        </a:xfrm>
      </xdr:grpSpPr>
      <xdr:sp macro="" textlink="">
        <xdr:nvSpPr>
          <xdr:cNvPr id="31435" name="Text Box 1739">
            <a:extLst>
              <a:ext uri="{FF2B5EF4-FFF2-40B4-BE49-F238E27FC236}">
                <a16:creationId xmlns:a16="http://schemas.microsoft.com/office/drawing/2014/main" id="{00000000-0008-0000-2000-0000CB7A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2" y="15"/>
            <a:ext cx="95" cy="132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Класс</a:t>
            </a:r>
          </a:p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стали</a:t>
            </a:r>
          </a:p>
          <a:p>
            <a:pPr algn="ctr" rtl="0">
              <a:defRPr sz="1000"/>
            </a:pPr>
            <a:endPara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</xdr:txBody>
      </xdr:sp>
    </xdr:grpSp>
    <xdr:clientData fPrintsWithSheet="0"/>
  </xdr:twoCellAnchor>
  <xdr:twoCellAnchor editAs="oneCell">
    <xdr:from>
      <xdr:col>0</xdr:col>
      <xdr:colOff>0</xdr:colOff>
      <xdr:row>34</xdr:row>
      <xdr:rowOff>47625</xdr:rowOff>
    </xdr:from>
    <xdr:to>
      <xdr:col>9</xdr:col>
      <xdr:colOff>266700</xdr:colOff>
      <xdr:row>55</xdr:row>
      <xdr:rowOff>85725</xdr:rowOff>
    </xdr:to>
    <xdr:grpSp>
      <xdr:nvGrpSpPr>
        <xdr:cNvPr id="31055" name="Group 1359">
          <a:extLst>
            <a:ext uri="{FF2B5EF4-FFF2-40B4-BE49-F238E27FC236}">
              <a16:creationId xmlns:a16="http://schemas.microsoft.com/office/drawing/2014/main" id="{00000000-0008-0000-2000-00004F790000}"/>
            </a:ext>
          </a:extLst>
        </xdr:cNvPr>
        <xdr:cNvGrpSpPr>
          <a:grpSpLocks/>
        </xdr:cNvGrpSpPr>
      </xdr:nvGrpSpPr>
      <xdr:grpSpPr bwMode="auto">
        <a:xfrm>
          <a:off x="0" y="6353175"/>
          <a:ext cx="5800725" cy="3438525"/>
          <a:chOff x="680" y="694"/>
          <a:chExt cx="587" cy="334"/>
        </a:xfrm>
      </xdr:grpSpPr>
      <xdr:sp macro="[0]!Макрос1а1" textlink="">
        <xdr:nvSpPr>
          <xdr:cNvPr id="29630" name="Rectangle 958">
            <a:extLst>
              <a:ext uri="{FF2B5EF4-FFF2-40B4-BE49-F238E27FC236}">
                <a16:creationId xmlns:a16="http://schemas.microsoft.com/office/drawing/2014/main" id="{00000000-0008-0000-2000-0000BE730000}"/>
              </a:ext>
            </a:extLst>
          </xdr:cNvPr>
          <xdr:cNvSpPr>
            <a:spLocks noChangeArrowheads="1"/>
          </xdr:cNvSpPr>
        </xdr:nvSpPr>
        <xdr:spPr bwMode="auto">
          <a:xfrm>
            <a:off x="680" y="694"/>
            <a:ext cx="587" cy="33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054" name="Group 1358">
            <a:extLst>
              <a:ext uri="{FF2B5EF4-FFF2-40B4-BE49-F238E27FC236}">
                <a16:creationId xmlns:a16="http://schemas.microsoft.com/office/drawing/2014/main" id="{00000000-0008-0000-2000-00004E790000}"/>
              </a:ext>
            </a:extLst>
          </xdr:cNvPr>
          <xdr:cNvGrpSpPr>
            <a:grpSpLocks/>
          </xdr:cNvGrpSpPr>
        </xdr:nvGrpSpPr>
        <xdr:grpSpPr bwMode="auto">
          <a:xfrm>
            <a:off x="688" y="703"/>
            <a:ext cx="565" cy="313"/>
            <a:chOff x="688" y="703"/>
            <a:chExt cx="565" cy="313"/>
          </a:xfrm>
        </xdr:grpSpPr>
        <xdr:grpSp>
          <xdr:nvGrpSpPr>
            <xdr:cNvPr id="29432" name="Group 760">
              <a:extLst>
                <a:ext uri="{FF2B5EF4-FFF2-40B4-BE49-F238E27FC236}">
                  <a16:creationId xmlns:a16="http://schemas.microsoft.com/office/drawing/2014/main" id="{00000000-0008-0000-2000-0000F87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88" y="719"/>
              <a:ext cx="353" cy="187"/>
              <a:chOff x="366" y="29"/>
              <a:chExt cx="353" cy="187"/>
            </a:xfrm>
          </xdr:grpSpPr>
          <xdr:grpSp>
            <xdr:nvGrpSpPr>
              <xdr:cNvPr id="29433" name="Group 761">
                <a:extLst>
                  <a:ext uri="{FF2B5EF4-FFF2-40B4-BE49-F238E27FC236}">
                    <a16:creationId xmlns:a16="http://schemas.microsoft.com/office/drawing/2014/main" id="{00000000-0008-0000-2000-0000F972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72" y="76"/>
                <a:ext cx="334" cy="103"/>
                <a:chOff x="399" y="65"/>
                <a:chExt cx="334" cy="103"/>
              </a:xfrm>
            </xdr:grpSpPr>
            <xdr:grpSp>
              <xdr:nvGrpSpPr>
                <xdr:cNvPr id="29434" name="Group 762">
                  <a:extLst>
                    <a:ext uri="{FF2B5EF4-FFF2-40B4-BE49-F238E27FC236}">
                      <a16:creationId xmlns:a16="http://schemas.microsoft.com/office/drawing/2014/main" id="{00000000-0008-0000-2000-0000FA72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03" y="65"/>
                  <a:ext cx="314" cy="103"/>
                  <a:chOff x="425" y="52"/>
                  <a:chExt cx="314" cy="103"/>
                </a:xfrm>
              </xdr:grpSpPr>
              <xdr:sp macro="[0]!Макрос1а1" textlink="">
                <xdr:nvSpPr>
                  <xdr:cNvPr id="29435" name="Freeform 763">
                    <a:extLst>
                      <a:ext uri="{FF2B5EF4-FFF2-40B4-BE49-F238E27FC236}">
                        <a16:creationId xmlns:a16="http://schemas.microsoft.com/office/drawing/2014/main" id="{00000000-0008-0000-2000-0000FB72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435" y="52"/>
                    <a:ext cx="304" cy="103"/>
                  </a:xfrm>
                  <a:custGeom>
                    <a:avLst/>
                    <a:gdLst/>
                    <a:ahLst/>
                    <a:cxnLst>
                      <a:cxn ang="0">
                        <a:pos x="0" y="0"/>
                      </a:cxn>
                      <a:cxn ang="0">
                        <a:pos x="296" y="0"/>
                      </a:cxn>
                      <a:cxn ang="0">
                        <a:pos x="296" y="22"/>
                      </a:cxn>
                      <a:cxn ang="0">
                        <a:pos x="290" y="40"/>
                      </a:cxn>
                      <a:cxn ang="0">
                        <a:pos x="297" y="54"/>
                      </a:cxn>
                      <a:cxn ang="0">
                        <a:pos x="304" y="71"/>
                      </a:cxn>
                      <a:cxn ang="0">
                        <a:pos x="301" y="83"/>
                      </a:cxn>
                      <a:cxn ang="0">
                        <a:pos x="294" y="91"/>
                      </a:cxn>
                      <a:cxn ang="0">
                        <a:pos x="294" y="103"/>
                      </a:cxn>
                      <a:cxn ang="0">
                        <a:pos x="6" y="103"/>
                      </a:cxn>
                      <a:cxn ang="0">
                        <a:pos x="6" y="89"/>
                      </a:cxn>
                      <a:cxn ang="0">
                        <a:pos x="8" y="80"/>
                      </a:cxn>
                      <a:cxn ang="0">
                        <a:pos x="12" y="69"/>
                      </a:cxn>
                      <a:cxn ang="0">
                        <a:pos x="1" y="59"/>
                      </a:cxn>
                      <a:cxn ang="0">
                        <a:pos x="1" y="39"/>
                      </a:cxn>
                      <a:cxn ang="0">
                        <a:pos x="0" y="23"/>
                      </a:cxn>
                      <a:cxn ang="0">
                        <a:pos x="0" y="10"/>
                      </a:cxn>
                      <a:cxn ang="0">
                        <a:pos x="0" y="0"/>
                      </a:cxn>
                    </a:cxnLst>
                    <a:rect l="0" t="0" r="r" b="b"/>
                    <a:pathLst>
                      <a:path w="304" h="103">
                        <a:moveTo>
                          <a:pt x="0" y="0"/>
                        </a:moveTo>
                        <a:cubicBezTo>
                          <a:pt x="10" y="0"/>
                          <a:pt x="295" y="0"/>
                          <a:pt x="296" y="0"/>
                        </a:cubicBezTo>
                        <a:cubicBezTo>
                          <a:pt x="296" y="19"/>
                          <a:pt x="296" y="11"/>
                          <a:pt x="296" y="22"/>
                        </a:cubicBezTo>
                        <a:cubicBezTo>
                          <a:pt x="297" y="29"/>
                          <a:pt x="293" y="27"/>
                          <a:pt x="290" y="40"/>
                        </a:cubicBezTo>
                        <a:cubicBezTo>
                          <a:pt x="292" y="45"/>
                          <a:pt x="291" y="45"/>
                          <a:pt x="297" y="54"/>
                        </a:cubicBezTo>
                        <a:cubicBezTo>
                          <a:pt x="297" y="60"/>
                          <a:pt x="304" y="55"/>
                          <a:pt x="304" y="71"/>
                        </a:cubicBezTo>
                        <a:cubicBezTo>
                          <a:pt x="300" y="79"/>
                          <a:pt x="300" y="76"/>
                          <a:pt x="301" y="83"/>
                        </a:cubicBezTo>
                        <a:cubicBezTo>
                          <a:pt x="292" y="89"/>
                          <a:pt x="292" y="83"/>
                          <a:pt x="294" y="91"/>
                        </a:cubicBezTo>
                        <a:cubicBezTo>
                          <a:pt x="293" y="99"/>
                          <a:pt x="294" y="93"/>
                          <a:pt x="294" y="103"/>
                        </a:cubicBezTo>
                        <a:cubicBezTo>
                          <a:pt x="272" y="103"/>
                          <a:pt x="56" y="103"/>
                          <a:pt x="6" y="103"/>
                        </a:cubicBezTo>
                        <a:cubicBezTo>
                          <a:pt x="6" y="93"/>
                          <a:pt x="6" y="93"/>
                          <a:pt x="6" y="89"/>
                        </a:cubicBezTo>
                        <a:cubicBezTo>
                          <a:pt x="6" y="85"/>
                          <a:pt x="7" y="83"/>
                          <a:pt x="8" y="80"/>
                        </a:cubicBezTo>
                        <a:cubicBezTo>
                          <a:pt x="12" y="74"/>
                          <a:pt x="9" y="75"/>
                          <a:pt x="12" y="69"/>
                        </a:cubicBezTo>
                        <a:cubicBezTo>
                          <a:pt x="18" y="59"/>
                          <a:pt x="1" y="59"/>
                          <a:pt x="1" y="59"/>
                        </a:cubicBezTo>
                        <a:cubicBezTo>
                          <a:pt x="1" y="49"/>
                          <a:pt x="9" y="44"/>
                          <a:pt x="1" y="39"/>
                        </a:cubicBezTo>
                        <a:cubicBezTo>
                          <a:pt x="0" y="31"/>
                          <a:pt x="4" y="25"/>
                          <a:pt x="0" y="23"/>
                        </a:cubicBezTo>
                        <a:cubicBezTo>
                          <a:pt x="0" y="16"/>
                          <a:pt x="0" y="10"/>
                          <a:pt x="0" y="10"/>
                        </a:cubicBezTo>
                        <a:cubicBezTo>
                          <a:pt x="0" y="6"/>
                          <a:pt x="0" y="0"/>
                          <a:pt x="0" y="0"/>
                        </a:cubicBezTo>
                        <a:close/>
                      </a:path>
                    </a:pathLst>
                  </a:custGeom>
                  <a:solidFill>
                    <a:srgbClr val="FFFFFF"/>
                  </a:solidFill>
                  <a:ln w="9525" cap="flat" cmpd="sng">
                    <a:noFill/>
                    <a:prstDash val="solid"/>
                    <a:round/>
                    <a:headEnd/>
                    <a:tailEnd/>
                  </a:ln>
                </xdr:spPr>
              </xdr:sp>
              <xdr:grpSp>
                <xdr:nvGrpSpPr>
                  <xdr:cNvPr id="29436" name="Group 764">
                    <a:extLst>
                      <a:ext uri="{FF2B5EF4-FFF2-40B4-BE49-F238E27FC236}">
                        <a16:creationId xmlns:a16="http://schemas.microsoft.com/office/drawing/2014/main" id="{00000000-0008-0000-2000-0000FC72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25" y="52"/>
                    <a:ext cx="313" cy="102"/>
                    <a:chOff x="425" y="52"/>
                    <a:chExt cx="313" cy="102"/>
                  </a:xfrm>
                </xdr:grpSpPr>
                <xdr:grpSp>
                  <xdr:nvGrpSpPr>
                    <xdr:cNvPr id="29437" name="Group 765">
                      <a:extLst>
                        <a:ext uri="{FF2B5EF4-FFF2-40B4-BE49-F238E27FC236}">
                          <a16:creationId xmlns:a16="http://schemas.microsoft.com/office/drawing/2014/main" id="{00000000-0008-0000-2000-0000FD72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35" y="52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38" name="Arc 766">
                        <a:extLst>
                          <a:ext uri="{FF2B5EF4-FFF2-40B4-BE49-F238E27FC236}">
                            <a16:creationId xmlns:a16="http://schemas.microsoft.com/office/drawing/2014/main" id="{00000000-0008-0000-2000-0000FE72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39" name="Arc 767">
                        <a:extLst>
                          <a:ext uri="{FF2B5EF4-FFF2-40B4-BE49-F238E27FC236}">
                            <a16:creationId xmlns:a16="http://schemas.microsoft.com/office/drawing/2014/main" id="{00000000-0008-0000-2000-0000FF72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40" name="Arc 768">
                        <a:extLst>
                          <a:ext uri="{FF2B5EF4-FFF2-40B4-BE49-F238E27FC236}">
                            <a16:creationId xmlns:a16="http://schemas.microsoft.com/office/drawing/2014/main" id="{00000000-0008-0000-2000-000000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41" name="Group 769">
                      <a:extLst>
                        <a:ext uri="{FF2B5EF4-FFF2-40B4-BE49-F238E27FC236}">
                          <a16:creationId xmlns:a16="http://schemas.microsoft.com/office/drawing/2014/main" id="{00000000-0008-0000-2000-000001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83" y="52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42" name="Arc 770">
                        <a:extLst>
                          <a:ext uri="{FF2B5EF4-FFF2-40B4-BE49-F238E27FC236}">
                            <a16:creationId xmlns:a16="http://schemas.microsoft.com/office/drawing/2014/main" id="{00000000-0008-0000-2000-000002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43" name="Arc 771">
                        <a:extLst>
                          <a:ext uri="{FF2B5EF4-FFF2-40B4-BE49-F238E27FC236}">
                            <a16:creationId xmlns:a16="http://schemas.microsoft.com/office/drawing/2014/main" id="{00000000-0008-0000-2000-000003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44" name="Arc 772">
                        <a:extLst>
                          <a:ext uri="{FF2B5EF4-FFF2-40B4-BE49-F238E27FC236}">
                            <a16:creationId xmlns:a16="http://schemas.microsoft.com/office/drawing/2014/main" id="{00000000-0008-0000-2000-000004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45" name="Group 773">
                      <a:extLst>
                        <a:ext uri="{FF2B5EF4-FFF2-40B4-BE49-F238E27FC236}">
                          <a16:creationId xmlns:a16="http://schemas.microsoft.com/office/drawing/2014/main" id="{00000000-0008-0000-2000-000005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31" y="52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46" name="Arc 774">
                        <a:extLst>
                          <a:ext uri="{FF2B5EF4-FFF2-40B4-BE49-F238E27FC236}">
                            <a16:creationId xmlns:a16="http://schemas.microsoft.com/office/drawing/2014/main" id="{00000000-0008-0000-2000-000006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47" name="Arc 775">
                        <a:extLst>
                          <a:ext uri="{FF2B5EF4-FFF2-40B4-BE49-F238E27FC236}">
                            <a16:creationId xmlns:a16="http://schemas.microsoft.com/office/drawing/2014/main" id="{00000000-0008-0000-2000-000007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48" name="Arc 776">
                        <a:extLst>
                          <a:ext uri="{FF2B5EF4-FFF2-40B4-BE49-F238E27FC236}">
                            <a16:creationId xmlns:a16="http://schemas.microsoft.com/office/drawing/2014/main" id="{00000000-0008-0000-2000-000008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49" name="Group 777">
                      <a:extLst>
                        <a:ext uri="{FF2B5EF4-FFF2-40B4-BE49-F238E27FC236}">
                          <a16:creationId xmlns:a16="http://schemas.microsoft.com/office/drawing/2014/main" id="{00000000-0008-0000-2000-000009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79" y="52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50" name="Arc 778">
                        <a:extLst>
                          <a:ext uri="{FF2B5EF4-FFF2-40B4-BE49-F238E27FC236}">
                            <a16:creationId xmlns:a16="http://schemas.microsoft.com/office/drawing/2014/main" id="{00000000-0008-0000-2000-00000A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51" name="Arc 779">
                        <a:extLst>
                          <a:ext uri="{FF2B5EF4-FFF2-40B4-BE49-F238E27FC236}">
                            <a16:creationId xmlns:a16="http://schemas.microsoft.com/office/drawing/2014/main" id="{00000000-0008-0000-2000-00000B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52" name="Arc 780">
                        <a:extLst>
                          <a:ext uri="{FF2B5EF4-FFF2-40B4-BE49-F238E27FC236}">
                            <a16:creationId xmlns:a16="http://schemas.microsoft.com/office/drawing/2014/main" id="{00000000-0008-0000-2000-00000C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53" name="Group 781">
                      <a:extLst>
                        <a:ext uri="{FF2B5EF4-FFF2-40B4-BE49-F238E27FC236}">
                          <a16:creationId xmlns:a16="http://schemas.microsoft.com/office/drawing/2014/main" id="{00000000-0008-0000-2000-00000D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27" y="52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54" name="Arc 782">
                        <a:extLst>
                          <a:ext uri="{FF2B5EF4-FFF2-40B4-BE49-F238E27FC236}">
                            <a16:creationId xmlns:a16="http://schemas.microsoft.com/office/drawing/2014/main" id="{00000000-0008-0000-2000-00000E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55" name="Arc 783">
                        <a:extLst>
                          <a:ext uri="{FF2B5EF4-FFF2-40B4-BE49-F238E27FC236}">
                            <a16:creationId xmlns:a16="http://schemas.microsoft.com/office/drawing/2014/main" id="{00000000-0008-0000-2000-00000F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56" name="Arc 784">
                        <a:extLst>
                          <a:ext uri="{FF2B5EF4-FFF2-40B4-BE49-F238E27FC236}">
                            <a16:creationId xmlns:a16="http://schemas.microsoft.com/office/drawing/2014/main" id="{00000000-0008-0000-2000-000010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57" name="Group 785">
                      <a:extLst>
                        <a:ext uri="{FF2B5EF4-FFF2-40B4-BE49-F238E27FC236}">
                          <a16:creationId xmlns:a16="http://schemas.microsoft.com/office/drawing/2014/main" id="{00000000-0008-0000-2000-000011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75" y="52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58" name="Arc 786">
                        <a:extLst>
                          <a:ext uri="{FF2B5EF4-FFF2-40B4-BE49-F238E27FC236}">
                            <a16:creationId xmlns:a16="http://schemas.microsoft.com/office/drawing/2014/main" id="{00000000-0008-0000-2000-000012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59" name="Arc 787">
                        <a:extLst>
                          <a:ext uri="{FF2B5EF4-FFF2-40B4-BE49-F238E27FC236}">
                            <a16:creationId xmlns:a16="http://schemas.microsoft.com/office/drawing/2014/main" id="{00000000-0008-0000-2000-000013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60" name="Arc 788">
                        <a:extLst>
                          <a:ext uri="{FF2B5EF4-FFF2-40B4-BE49-F238E27FC236}">
                            <a16:creationId xmlns:a16="http://schemas.microsoft.com/office/drawing/2014/main" id="{00000000-0008-0000-2000-000014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61" name="Group 789">
                      <a:extLst>
                        <a:ext uri="{FF2B5EF4-FFF2-40B4-BE49-F238E27FC236}">
                          <a16:creationId xmlns:a16="http://schemas.microsoft.com/office/drawing/2014/main" id="{00000000-0008-0000-2000-000015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H="1" flipV="1">
                      <a:off x="682" y="95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62" name="Arc 790">
                        <a:extLst>
                          <a:ext uri="{FF2B5EF4-FFF2-40B4-BE49-F238E27FC236}">
                            <a16:creationId xmlns:a16="http://schemas.microsoft.com/office/drawing/2014/main" id="{00000000-0008-0000-2000-000016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63" name="Arc 791">
                        <a:extLst>
                          <a:ext uri="{FF2B5EF4-FFF2-40B4-BE49-F238E27FC236}">
                            <a16:creationId xmlns:a16="http://schemas.microsoft.com/office/drawing/2014/main" id="{00000000-0008-0000-2000-000017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64" name="Arc 792">
                        <a:extLst>
                          <a:ext uri="{FF2B5EF4-FFF2-40B4-BE49-F238E27FC236}">
                            <a16:creationId xmlns:a16="http://schemas.microsoft.com/office/drawing/2014/main" id="{00000000-0008-0000-2000-000018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65" name="Group 793">
                      <a:extLst>
                        <a:ext uri="{FF2B5EF4-FFF2-40B4-BE49-F238E27FC236}">
                          <a16:creationId xmlns:a16="http://schemas.microsoft.com/office/drawing/2014/main" id="{00000000-0008-0000-2000-000019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H="1" flipV="1">
                      <a:off x="634" y="95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66" name="Arc 794">
                        <a:extLst>
                          <a:ext uri="{FF2B5EF4-FFF2-40B4-BE49-F238E27FC236}">
                            <a16:creationId xmlns:a16="http://schemas.microsoft.com/office/drawing/2014/main" id="{00000000-0008-0000-2000-00001A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67" name="Arc 795">
                        <a:extLst>
                          <a:ext uri="{FF2B5EF4-FFF2-40B4-BE49-F238E27FC236}">
                            <a16:creationId xmlns:a16="http://schemas.microsoft.com/office/drawing/2014/main" id="{00000000-0008-0000-2000-00001B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68" name="Arc 796">
                        <a:extLst>
                          <a:ext uri="{FF2B5EF4-FFF2-40B4-BE49-F238E27FC236}">
                            <a16:creationId xmlns:a16="http://schemas.microsoft.com/office/drawing/2014/main" id="{00000000-0008-0000-2000-00001C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69" name="Group 797">
                      <a:extLst>
                        <a:ext uri="{FF2B5EF4-FFF2-40B4-BE49-F238E27FC236}">
                          <a16:creationId xmlns:a16="http://schemas.microsoft.com/office/drawing/2014/main" id="{00000000-0008-0000-2000-00001D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H="1" flipV="1">
                      <a:off x="586" y="95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70" name="Arc 798">
                        <a:extLst>
                          <a:ext uri="{FF2B5EF4-FFF2-40B4-BE49-F238E27FC236}">
                            <a16:creationId xmlns:a16="http://schemas.microsoft.com/office/drawing/2014/main" id="{00000000-0008-0000-2000-00001E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71" name="Arc 799">
                        <a:extLst>
                          <a:ext uri="{FF2B5EF4-FFF2-40B4-BE49-F238E27FC236}">
                            <a16:creationId xmlns:a16="http://schemas.microsoft.com/office/drawing/2014/main" id="{00000000-0008-0000-2000-00001F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72" name="Arc 800">
                        <a:extLst>
                          <a:ext uri="{FF2B5EF4-FFF2-40B4-BE49-F238E27FC236}">
                            <a16:creationId xmlns:a16="http://schemas.microsoft.com/office/drawing/2014/main" id="{00000000-0008-0000-2000-000020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73" name="Group 801">
                      <a:extLst>
                        <a:ext uri="{FF2B5EF4-FFF2-40B4-BE49-F238E27FC236}">
                          <a16:creationId xmlns:a16="http://schemas.microsoft.com/office/drawing/2014/main" id="{00000000-0008-0000-2000-000021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H="1" flipV="1">
                      <a:off x="538" y="95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74" name="Arc 802">
                        <a:extLst>
                          <a:ext uri="{FF2B5EF4-FFF2-40B4-BE49-F238E27FC236}">
                            <a16:creationId xmlns:a16="http://schemas.microsoft.com/office/drawing/2014/main" id="{00000000-0008-0000-2000-000022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75" name="Arc 803">
                        <a:extLst>
                          <a:ext uri="{FF2B5EF4-FFF2-40B4-BE49-F238E27FC236}">
                            <a16:creationId xmlns:a16="http://schemas.microsoft.com/office/drawing/2014/main" id="{00000000-0008-0000-2000-000023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76" name="Arc 804">
                        <a:extLst>
                          <a:ext uri="{FF2B5EF4-FFF2-40B4-BE49-F238E27FC236}">
                            <a16:creationId xmlns:a16="http://schemas.microsoft.com/office/drawing/2014/main" id="{00000000-0008-0000-2000-000024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77" name="Group 805">
                      <a:extLst>
                        <a:ext uri="{FF2B5EF4-FFF2-40B4-BE49-F238E27FC236}">
                          <a16:creationId xmlns:a16="http://schemas.microsoft.com/office/drawing/2014/main" id="{00000000-0008-0000-2000-000025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H="1" flipV="1">
                      <a:off x="490" y="95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78" name="Arc 806">
                        <a:extLst>
                          <a:ext uri="{FF2B5EF4-FFF2-40B4-BE49-F238E27FC236}">
                            <a16:creationId xmlns:a16="http://schemas.microsoft.com/office/drawing/2014/main" id="{00000000-0008-0000-2000-000026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79" name="Arc 807">
                        <a:extLst>
                          <a:ext uri="{FF2B5EF4-FFF2-40B4-BE49-F238E27FC236}">
                            <a16:creationId xmlns:a16="http://schemas.microsoft.com/office/drawing/2014/main" id="{00000000-0008-0000-2000-000027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80" name="Arc 808">
                        <a:extLst>
                          <a:ext uri="{FF2B5EF4-FFF2-40B4-BE49-F238E27FC236}">
                            <a16:creationId xmlns:a16="http://schemas.microsoft.com/office/drawing/2014/main" id="{00000000-0008-0000-2000-000028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29481" name="Group 809">
                      <a:extLst>
                        <a:ext uri="{FF2B5EF4-FFF2-40B4-BE49-F238E27FC236}">
                          <a16:creationId xmlns:a16="http://schemas.microsoft.com/office/drawing/2014/main" id="{00000000-0008-0000-2000-000029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H="1" flipV="1">
                      <a:off x="442" y="95"/>
                      <a:ext cx="56" cy="59"/>
                      <a:chOff x="345" y="51"/>
                      <a:chExt cx="56" cy="59"/>
                    </a:xfrm>
                  </xdr:grpSpPr>
                  <xdr:sp macro="[0]!Макрос1а1" textlink="">
                    <xdr:nvSpPr>
                      <xdr:cNvPr id="29482" name="Arc 810">
                        <a:extLst>
                          <a:ext uri="{FF2B5EF4-FFF2-40B4-BE49-F238E27FC236}">
                            <a16:creationId xmlns:a16="http://schemas.microsoft.com/office/drawing/2014/main" id="{00000000-0008-0000-2000-00002A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83" name="Arc 811">
                        <a:extLst>
                          <a:ext uri="{FF2B5EF4-FFF2-40B4-BE49-F238E27FC236}">
                            <a16:creationId xmlns:a16="http://schemas.microsoft.com/office/drawing/2014/main" id="{00000000-0008-0000-2000-00002B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484" name="Arc 812">
                        <a:extLst>
                          <a:ext uri="{FF2B5EF4-FFF2-40B4-BE49-F238E27FC236}">
                            <a16:creationId xmlns:a16="http://schemas.microsoft.com/office/drawing/2014/main" id="{00000000-0008-0000-2000-00002C73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а1" textlink="">
                  <xdr:nvSpPr>
                    <xdr:cNvPr id="29485" name="Freeform 813">
                      <a:extLst>
                        <a:ext uri="{FF2B5EF4-FFF2-40B4-BE49-F238E27FC236}">
                          <a16:creationId xmlns:a16="http://schemas.microsoft.com/office/drawing/2014/main" id="{00000000-0008-0000-2000-00002D73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425" y="94"/>
                      <a:ext cx="312" cy="19"/>
                    </a:xfrm>
                    <a:custGeom>
                      <a:avLst/>
                      <a:gdLst/>
                      <a:ahLst/>
                      <a:cxnLst>
                        <a:cxn ang="0">
                          <a:pos x="310" y="18"/>
                        </a:cxn>
                        <a:cxn ang="0">
                          <a:pos x="12" y="18"/>
                        </a:cxn>
                        <a:cxn ang="0">
                          <a:pos x="12" y="8"/>
                        </a:cxn>
                        <a:cxn ang="0">
                          <a:pos x="10" y="0"/>
                        </a:cxn>
                        <a:cxn ang="0">
                          <a:pos x="306" y="0"/>
                        </a:cxn>
                        <a:cxn ang="0">
                          <a:pos x="305" y="9"/>
                        </a:cxn>
                        <a:cxn ang="0">
                          <a:pos x="310" y="18"/>
                        </a:cxn>
                      </a:cxnLst>
                      <a:rect l="0" t="0" r="r" b="b"/>
                      <a:pathLst>
                        <a:path w="312" h="18">
                          <a:moveTo>
                            <a:pt x="310" y="18"/>
                          </a:moveTo>
                          <a:cubicBezTo>
                            <a:pt x="264" y="18"/>
                            <a:pt x="60" y="18"/>
                            <a:pt x="12" y="18"/>
                          </a:cubicBezTo>
                          <a:cubicBezTo>
                            <a:pt x="9" y="11"/>
                            <a:pt x="0" y="16"/>
                            <a:pt x="12" y="8"/>
                          </a:cubicBezTo>
                          <a:cubicBezTo>
                            <a:pt x="3" y="5"/>
                            <a:pt x="5" y="7"/>
                            <a:pt x="10" y="0"/>
                          </a:cubicBezTo>
                          <a:cubicBezTo>
                            <a:pt x="150" y="0"/>
                            <a:pt x="258" y="0"/>
                            <a:pt x="306" y="0"/>
                          </a:cubicBezTo>
                          <a:cubicBezTo>
                            <a:pt x="312" y="5"/>
                            <a:pt x="306" y="6"/>
                            <a:pt x="305" y="9"/>
                          </a:cubicBezTo>
                          <a:cubicBezTo>
                            <a:pt x="303" y="12"/>
                            <a:pt x="310" y="12"/>
                            <a:pt x="310" y="18"/>
                          </a:cubicBez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 cap="flat" cmpd="sng">
                      <a:solidFill>
                        <a:srgbClr val="000000"/>
                      </a:solidFill>
                      <a:prstDash val="solid"/>
                      <a:round/>
                      <a:headEnd/>
                      <a:tailEnd/>
                    </a:ln>
                  </xdr:spPr>
                </xdr:sp>
              </xdr:grpSp>
            </xdr:grpSp>
            <xdr:sp macro="[0]!Макрос1а1" textlink="">
              <xdr:nvSpPr>
                <xdr:cNvPr id="29486" name="Line 814">
                  <a:extLst>
                    <a:ext uri="{FF2B5EF4-FFF2-40B4-BE49-F238E27FC236}">
                      <a16:creationId xmlns:a16="http://schemas.microsoft.com/office/drawing/2014/main" id="{00000000-0008-0000-2000-00002E73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399" y="117"/>
                  <a:ext cx="334" cy="0"/>
                </a:xfrm>
                <a:prstGeom prst="line">
                  <a:avLst/>
                </a:prstGeom>
                <a:noFill/>
                <a:ln w="9525">
                  <a:solidFill>
                    <a:srgbClr val="FF0000"/>
                  </a:solidFill>
                  <a:prstDash val="lgDashDot"/>
                  <a:round/>
                  <a:headEnd/>
                  <a:tailEnd/>
                </a:ln>
              </xdr:spPr>
            </xdr:sp>
          </xdr:grpSp>
          <xdr:grpSp>
            <xdr:nvGrpSpPr>
              <xdr:cNvPr id="29487" name="Group 815">
                <a:extLst>
                  <a:ext uri="{FF2B5EF4-FFF2-40B4-BE49-F238E27FC236}">
                    <a16:creationId xmlns:a16="http://schemas.microsoft.com/office/drawing/2014/main" id="{00000000-0008-0000-2000-00002F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66" y="29"/>
                <a:ext cx="353" cy="187"/>
                <a:chOff x="366" y="29"/>
                <a:chExt cx="353" cy="187"/>
              </a:xfrm>
            </xdr:grpSpPr>
            <xdr:grpSp>
              <xdr:nvGrpSpPr>
                <xdr:cNvPr id="29488" name="Group 816">
                  <a:extLst>
                    <a:ext uri="{FF2B5EF4-FFF2-40B4-BE49-F238E27FC236}">
                      <a16:creationId xmlns:a16="http://schemas.microsoft.com/office/drawing/2014/main" id="{00000000-0008-0000-2000-000030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60" y="36"/>
                  <a:ext cx="147" cy="42"/>
                  <a:chOff x="371" y="11"/>
                  <a:chExt cx="147" cy="42"/>
                </a:xfrm>
              </xdr:grpSpPr>
              <xdr:sp macro="[0]!Макрос1а1" textlink="">
                <xdr:nvSpPr>
                  <xdr:cNvPr id="29489" name="Line 817">
                    <a:extLst>
                      <a:ext uri="{FF2B5EF4-FFF2-40B4-BE49-F238E27FC236}">
                        <a16:creationId xmlns:a16="http://schemas.microsoft.com/office/drawing/2014/main" id="{00000000-0008-0000-2000-000031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371" y="11"/>
                    <a:ext cx="0" cy="42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490" name="Line 818">
                    <a:extLst>
                      <a:ext uri="{FF2B5EF4-FFF2-40B4-BE49-F238E27FC236}">
                        <a16:creationId xmlns:a16="http://schemas.microsoft.com/office/drawing/2014/main" id="{00000000-0008-0000-2000-000032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420" y="11"/>
                    <a:ext cx="0" cy="42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491" name="Line 819">
                    <a:extLst>
                      <a:ext uri="{FF2B5EF4-FFF2-40B4-BE49-F238E27FC236}">
                        <a16:creationId xmlns:a16="http://schemas.microsoft.com/office/drawing/2014/main" id="{00000000-0008-0000-2000-000033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468" y="11"/>
                    <a:ext cx="0" cy="42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492" name="Line 820">
                    <a:extLst>
                      <a:ext uri="{FF2B5EF4-FFF2-40B4-BE49-F238E27FC236}">
                        <a16:creationId xmlns:a16="http://schemas.microsoft.com/office/drawing/2014/main" id="{00000000-0008-0000-2000-000034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371" y="28"/>
                    <a:ext cx="49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 type="stealth" w="sm" len="lg"/>
                  </a:ln>
                </xdr:spPr>
              </xdr:sp>
              <xdr:sp macro="[0]!Макрос1а1" textlink="">
                <xdr:nvSpPr>
                  <xdr:cNvPr id="29493" name="Line 821">
                    <a:extLst>
                      <a:ext uri="{FF2B5EF4-FFF2-40B4-BE49-F238E27FC236}">
                        <a16:creationId xmlns:a16="http://schemas.microsoft.com/office/drawing/2014/main" id="{00000000-0008-0000-2000-000035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421" y="28"/>
                    <a:ext cx="45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 type="stealth" w="sm" len="lg"/>
                  </a:ln>
                </xdr:spPr>
              </xdr:sp>
              <xdr:sp macro="[0]!Макрос1а1" textlink="">
                <xdr:nvSpPr>
                  <xdr:cNvPr id="29494" name="Line 822">
                    <a:extLst>
                      <a:ext uri="{FF2B5EF4-FFF2-40B4-BE49-F238E27FC236}">
                        <a16:creationId xmlns:a16="http://schemas.microsoft.com/office/drawing/2014/main" id="{00000000-0008-0000-2000-000036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518" y="11"/>
                    <a:ext cx="0" cy="42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495" name="Line 823">
                    <a:extLst>
                      <a:ext uri="{FF2B5EF4-FFF2-40B4-BE49-F238E27FC236}">
                        <a16:creationId xmlns:a16="http://schemas.microsoft.com/office/drawing/2014/main" id="{00000000-0008-0000-2000-000037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469" y="28"/>
                    <a:ext cx="49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 type="stealth" w="sm" len="lg"/>
                  </a:ln>
                </xdr:spPr>
              </xdr:sp>
            </xdr:grpSp>
            <xdr:grpSp>
              <xdr:nvGrpSpPr>
                <xdr:cNvPr id="29496" name="Group 824">
                  <a:extLst>
                    <a:ext uri="{FF2B5EF4-FFF2-40B4-BE49-F238E27FC236}">
                      <a16:creationId xmlns:a16="http://schemas.microsoft.com/office/drawing/2014/main" id="{00000000-0008-0000-2000-000038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85" y="90"/>
                  <a:ext cx="34" cy="75"/>
                  <a:chOff x="612" y="63"/>
                  <a:chExt cx="34" cy="75"/>
                </a:xfrm>
              </xdr:grpSpPr>
              <xdr:sp macro="[0]!Макрос1а1" textlink="">
                <xdr:nvSpPr>
                  <xdr:cNvPr id="29497" name="Line 825">
                    <a:extLst>
                      <a:ext uri="{FF2B5EF4-FFF2-40B4-BE49-F238E27FC236}">
                        <a16:creationId xmlns:a16="http://schemas.microsoft.com/office/drawing/2014/main" id="{00000000-0008-0000-2000-000039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612" y="91"/>
                    <a:ext cx="34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498" name="Line 826">
                    <a:extLst>
                      <a:ext uri="{FF2B5EF4-FFF2-40B4-BE49-F238E27FC236}">
                        <a16:creationId xmlns:a16="http://schemas.microsoft.com/office/drawing/2014/main" id="{00000000-0008-0000-2000-00003A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614" y="110"/>
                    <a:ext cx="32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499" name="Line 827">
                    <a:extLst>
                      <a:ext uri="{FF2B5EF4-FFF2-40B4-BE49-F238E27FC236}">
                        <a16:creationId xmlns:a16="http://schemas.microsoft.com/office/drawing/2014/main" id="{00000000-0008-0000-2000-00003B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640" y="91"/>
                    <a:ext cx="0" cy="1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00" name="Line 828">
                    <a:extLst>
                      <a:ext uri="{FF2B5EF4-FFF2-40B4-BE49-F238E27FC236}">
                        <a16:creationId xmlns:a16="http://schemas.microsoft.com/office/drawing/2014/main" id="{00000000-0008-0000-2000-00003C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640" y="63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а1" textlink="">
                <xdr:nvSpPr>
                  <xdr:cNvPr id="29501" name="Line 829">
                    <a:extLst>
                      <a:ext uri="{FF2B5EF4-FFF2-40B4-BE49-F238E27FC236}">
                        <a16:creationId xmlns:a16="http://schemas.microsoft.com/office/drawing/2014/main" id="{00000000-0008-0000-2000-00003D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640" y="110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grpSp>
              <xdr:nvGrpSpPr>
                <xdr:cNvPr id="29502" name="Group 830">
                  <a:extLst>
                    <a:ext uri="{FF2B5EF4-FFF2-40B4-BE49-F238E27FC236}">
                      <a16:creationId xmlns:a16="http://schemas.microsoft.com/office/drawing/2014/main" id="{00000000-0008-0000-2000-00003E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53" y="107"/>
                  <a:ext cx="67" cy="0"/>
                  <a:chOff x="364" y="82"/>
                  <a:chExt cx="67" cy="0"/>
                </a:xfrm>
              </xdr:grpSpPr>
              <xdr:sp macro="[0]!Макрос1а1" textlink="">
                <xdr:nvSpPr>
                  <xdr:cNvPr id="29503" name="Line 831">
                    <a:extLst>
                      <a:ext uri="{FF2B5EF4-FFF2-40B4-BE49-F238E27FC236}">
                        <a16:creationId xmlns:a16="http://schemas.microsoft.com/office/drawing/2014/main" id="{00000000-0008-0000-2000-00003F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>
                    <a:off x="398" y="77"/>
                    <a:ext cx="0" cy="1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04" name="Line 832">
                    <a:extLst>
                      <a:ext uri="{FF2B5EF4-FFF2-40B4-BE49-F238E27FC236}">
                        <a16:creationId xmlns:a16="http://schemas.microsoft.com/office/drawing/2014/main" id="{00000000-0008-0000-2000-000040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V="1">
                    <a:off x="378" y="68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а1" textlink="">
                <xdr:nvSpPr>
                  <xdr:cNvPr id="29505" name="Line 833">
                    <a:extLst>
                      <a:ext uri="{FF2B5EF4-FFF2-40B4-BE49-F238E27FC236}">
                        <a16:creationId xmlns:a16="http://schemas.microsoft.com/office/drawing/2014/main" id="{00000000-0008-0000-2000-000041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>
                    <a:off x="417" y="68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grpSp>
              <xdr:nvGrpSpPr>
                <xdr:cNvPr id="29506" name="Group 834">
                  <a:extLst>
                    <a:ext uri="{FF2B5EF4-FFF2-40B4-BE49-F238E27FC236}">
                      <a16:creationId xmlns:a16="http://schemas.microsoft.com/office/drawing/2014/main" id="{00000000-0008-0000-2000-000042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57" y="85"/>
                  <a:ext cx="52" cy="28"/>
                  <a:chOff x="468" y="60"/>
                  <a:chExt cx="52" cy="28"/>
                </a:xfrm>
              </xdr:grpSpPr>
              <xdr:sp macro="[0]!Макрос1а1" textlink="">
                <xdr:nvSpPr>
                  <xdr:cNvPr id="29507" name="Line 835">
                    <a:extLst>
                      <a:ext uri="{FF2B5EF4-FFF2-40B4-BE49-F238E27FC236}">
                        <a16:creationId xmlns:a16="http://schemas.microsoft.com/office/drawing/2014/main" id="{00000000-0008-0000-2000-000043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468" y="88"/>
                    <a:ext cx="19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08" name="Line 836">
                    <a:extLst>
                      <a:ext uri="{FF2B5EF4-FFF2-40B4-BE49-F238E27FC236}">
                        <a16:creationId xmlns:a16="http://schemas.microsoft.com/office/drawing/2014/main" id="{00000000-0008-0000-2000-000044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481" y="60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а1" textlink="">
                <xdr:nvSpPr>
                  <xdr:cNvPr id="29509" name="Line 837">
                    <a:extLst>
                      <a:ext uri="{FF2B5EF4-FFF2-40B4-BE49-F238E27FC236}">
                        <a16:creationId xmlns:a16="http://schemas.microsoft.com/office/drawing/2014/main" id="{00000000-0008-0000-2000-000045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H="1">
                    <a:off x="500" y="88"/>
                    <a:ext cx="20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10" name="Line 838">
                    <a:extLst>
                      <a:ext uri="{FF2B5EF4-FFF2-40B4-BE49-F238E27FC236}">
                        <a16:creationId xmlns:a16="http://schemas.microsoft.com/office/drawing/2014/main" id="{00000000-0008-0000-2000-000046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H="1" flipV="1">
                    <a:off x="506" y="60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grpSp>
              <xdr:nvGrpSpPr>
                <xdr:cNvPr id="29511" name="Group 839">
                  <a:extLst>
                    <a:ext uri="{FF2B5EF4-FFF2-40B4-BE49-F238E27FC236}">
                      <a16:creationId xmlns:a16="http://schemas.microsoft.com/office/drawing/2014/main" id="{00000000-0008-0000-2000-000047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66" y="96"/>
                  <a:ext cx="44" cy="65"/>
                  <a:chOff x="277" y="71"/>
                  <a:chExt cx="44" cy="65"/>
                </a:xfrm>
              </xdr:grpSpPr>
              <xdr:sp macro="[0]!Макрос1а1" textlink="">
                <xdr:nvSpPr>
                  <xdr:cNvPr id="29512" name="Line 840">
                    <a:extLst>
                      <a:ext uri="{FF2B5EF4-FFF2-40B4-BE49-F238E27FC236}">
                        <a16:creationId xmlns:a16="http://schemas.microsoft.com/office/drawing/2014/main" id="{00000000-0008-0000-2000-000048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H="1">
                    <a:off x="311" y="81"/>
                    <a:ext cx="19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13" name="Line 841">
                    <a:extLst>
                      <a:ext uri="{FF2B5EF4-FFF2-40B4-BE49-F238E27FC236}">
                        <a16:creationId xmlns:a16="http://schemas.microsoft.com/office/drawing/2014/main" id="{00000000-0008-0000-2000-000049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 flipH="1" flipV="1">
                    <a:off x="299" y="63"/>
                    <a:ext cx="0" cy="44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а1" textlink="">
                <xdr:nvSpPr>
                  <xdr:cNvPr id="29514" name="Line 842">
                    <a:extLst>
                      <a:ext uri="{FF2B5EF4-FFF2-40B4-BE49-F238E27FC236}">
                        <a16:creationId xmlns:a16="http://schemas.microsoft.com/office/drawing/2014/main" id="{00000000-0008-0000-2000-00004A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>
                    <a:off x="311" y="126"/>
                    <a:ext cx="20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15" name="Line 843">
                    <a:extLst>
                      <a:ext uri="{FF2B5EF4-FFF2-40B4-BE49-F238E27FC236}">
                        <a16:creationId xmlns:a16="http://schemas.microsoft.com/office/drawing/2014/main" id="{00000000-0008-0000-2000-00004B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V="1">
                    <a:off x="300" y="101"/>
                    <a:ext cx="0" cy="42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grpSp>
              <xdr:nvGrpSpPr>
                <xdr:cNvPr id="29516" name="Group 844">
                  <a:extLst>
                    <a:ext uri="{FF2B5EF4-FFF2-40B4-BE49-F238E27FC236}">
                      <a16:creationId xmlns:a16="http://schemas.microsoft.com/office/drawing/2014/main" id="{00000000-0008-0000-2000-00004C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30" y="29"/>
                  <a:ext cx="29" cy="187"/>
                  <a:chOff x="630" y="29"/>
                  <a:chExt cx="29" cy="187"/>
                </a:xfrm>
              </xdr:grpSpPr>
              <xdr:sp macro="[0]!Макрос1а1" textlink="">
                <xdr:nvSpPr>
                  <xdr:cNvPr id="29517" name="Line 845">
                    <a:extLst>
                      <a:ext uri="{FF2B5EF4-FFF2-40B4-BE49-F238E27FC236}">
                        <a16:creationId xmlns:a16="http://schemas.microsoft.com/office/drawing/2014/main" id="{00000000-0008-0000-2000-00004D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H="1">
                    <a:off x="639" y="48"/>
                    <a:ext cx="37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18" name="Line 846">
                    <a:extLst>
                      <a:ext uri="{FF2B5EF4-FFF2-40B4-BE49-F238E27FC236}">
                        <a16:creationId xmlns:a16="http://schemas.microsoft.com/office/drawing/2014/main" id="{00000000-0008-0000-2000-00004E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 flipH="1" flipV="1">
                    <a:off x="644" y="40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а1" textlink="">
                <xdr:nvSpPr>
                  <xdr:cNvPr id="29519" name="Line 847">
                    <a:extLst>
                      <a:ext uri="{FF2B5EF4-FFF2-40B4-BE49-F238E27FC236}">
                        <a16:creationId xmlns:a16="http://schemas.microsoft.com/office/drawing/2014/main" id="{00000000-0008-0000-2000-00004F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>
                    <a:off x="644" y="201"/>
                    <a:ext cx="30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20" name="Line 848">
                    <a:extLst>
                      <a:ext uri="{FF2B5EF4-FFF2-40B4-BE49-F238E27FC236}">
                        <a16:creationId xmlns:a16="http://schemas.microsoft.com/office/drawing/2014/main" id="{00000000-0008-0000-2000-000050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V="1">
                    <a:off x="645" y="181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</xdr:grpSp>
        </xdr:grpSp>
        <xdr:grpSp>
          <xdr:nvGrpSpPr>
            <xdr:cNvPr id="31053" name="Group 1357">
              <a:extLst>
                <a:ext uri="{FF2B5EF4-FFF2-40B4-BE49-F238E27FC236}">
                  <a16:creationId xmlns:a16="http://schemas.microsoft.com/office/drawing/2014/main" id="{00000000-0008-0000-2000-00004D7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93" y="724"/>
              <a:ext cx="351" cy="183"/>
              <a:chOff x="693" y="724"/>
              <a:chExt cx="351" cy="183"/>
            </a:xfrm>
          </xdr:grpSpPr>
          <xdr:grpSp>
            <xdr:nvGrpSpPr>
              <xdr:cNvPr id="29522" name="Group 850">
                <a:extLst>
                  <a:ext uri="{FF2B5EF4-FFF2-40B4-BE49-F238E27FC236}">
                    <a16:creationId xmlns:a16="http://schemas.microsoft.com/office/drawing/2014/main" id="{00000000-0008-0000-2000-000052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01" y="724"/>
                <a:ext cx="114" cy="23"/>
                <a:chOff x="479" y="34"/>
                <a:chExt cx="114" cy="23"/>
              </a:xfrm>
            </xdr:grpSpPr>
            <xdr:sp macro="[0]!Макрос1а1" textlink="">
              <xdr:nvSpPr>
                <xdr:cNvPr id="29523" name="Text Box 851">
                  <a:extLst>
                    <a:ext uri="{FF2B5EF4-FFF2-40B4-BE49-F238E27FC236}">
                      <a16:creationId xmlns:a16="http://schemas.microsoft.com/office/drawing/2014/main" id="{00000000-0008-0000-2000-000053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479" y="34"/>
                  <a:ext cx="14" cy="22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t</a:t>
                  </a:r>
                </a:p>
              </xdr:txBody>
            </xdr:sp>
            <xdr:sp macro="[0]!Макрос1а1" textlink="">
              <xdr:nvSpPr>
                <xdr:cNvPr id="29524" name="Text Box 852">
                  <a:extLst>
                    <a:ext uri="{FF2B5EF4-FFF2-40B4-BE49-F238E27FC236}">
                      <a16:creationId xmlns:a16="http://schemas.microsoft.com/office/drawing/2014/main" id="{00000000-0008-0000-2000-000054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529" y="35"/>
                  <a:ext cx="14" cy="22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t</a:t>
                  </a:r>
                </a:p>
              </xdr:txBody>
            </xdr:sp>
            <xdr:sp macro="[0]!Макрос1а1" textlink="">
              <xdr:nvSpPr>
                <xdr:cNvPr id="29525" name="Text Box 853">
                  <a:extLst>
                    <a:ext uri="{FF2B5EF4-FFF2-40B4-BE49-F238E27FC236}">
                      <a16:creationId xmlns:a16="http://schemas.microsoft.com/office/drawing/2014/main" id="{00000000-0008-0000-2000-000055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579" y="35"/>
                  <a:ext cx="14" cy="22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t</a:t>
                  </a:r>
                </a:p>
              </xdr:txBody>
            </xdr:sp>
          </xdr:grpSp>
          <xdr:grpSp>
            <xdr:nvGrpSpPr>
              <xdr:cNvPr id="29526" name="Group 854">
                <a:extLst>
                  <a:ext uri="{FF2B5EF4-FFF2-40B4-BE49-F238E27FC236}">
                    <a16:creationId xmlns:a16="http://schemas.microsoft.com/office/drawing/2014/main" id="{00000000-0008-0000-2000-000056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51" y="725"/>
                <a:ext cx="24" cy="182"/>
                <a:chOff x="629" y="35"/>
                <a:chExt cx="24" cy="182"/>
              </a:xfrm>
            </xdr:grpSpPr>
            <xdr:sp macro="[0]!Макрос1а1" textlink="">
              <xdr:nvSpPr>
                <xdr:cNvPr id="29527" name="Text Box 855">
                  <a:extLst>
                    <a:ext uri="{FF2B5EF4-FFF2-40B4-BE49-F238E27FC236}">
                      <a16:creationId xmlns:a16="http://schemas.microsoft.com/office/drawing/2014/main" id="{00000000-0008-0000-2000-000057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629" y="35"/>
                  <a:ext cx="21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1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A</a:t>
                  </a:r>
                </a:p>
              </xdr:txBody>
            </xdr:sp>
            <xdr:sp macro="[0]!Макрос1а1" textlink="">
              <xdr:nvSpPr>
                <xdr:cNvPr id="29528" name="Text Box 856">
                  <a:extLst>
                    <a:ext uri="{FF2B5EF4-FFF2-40B4-BE49-F238E27FC236}">
                      <a16:creationId xmlns:a16="http://schemas.microsoft.com/office/drawing/2014/main" id="{00000000-0008-0000-2000-000058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632" y="194"/>
                  <a:ext cx="21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1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A</a:t>
                  </a:r>
                </a:p>
              </xdr:txBody>
            </xdr:sp>
          </xdr:grpSp>
          <xdr:grpSp>
            <xdr:nvGrpSpPr>
              <xdr:cNvPr id="29529" name="Group 857">
                <a:extLst>
                  <a:ext uri="{FF2B5EF4-FFF2-40B4-BE49-F238E27FC236}">
                    <a16:creationId xmlns:a16="http://schemas.microsoft.com/office/drawing/2014/main" id="{00000000-0008-0000-2000-000059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93" y="781"/>
                <a:ext cx="21" cy="77"/>
                <a:chOff x="371" y="91"/>
                <a:chExt cx="21" cy="77"/>
              </a:xfrm>
            </xdr:grpSpPr>
            <xdr:sp macro="[0]!Макрос1а1" textlink="">
              <xdr:nvSpPr>
                <xdr:cNvPr id="29530" name="Text Box 858">
                  <a:extLst>
                    <a:ext uri="{FF2B5EF4-FFF2-40B4-BE49-F238E27FC236}">
                      <a16:creationId xmlns:a16="http://schemas.microsoft.com/office/drawing/2014/main" id="{00000000-0008-0000-2000-00005A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371" y="145"/>
                  <a:ext cx="21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1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B</a:t>
                  </a:r>
                </a:p>
              </xdr:txBody>
            </xdr:sp>
            <xdr:sp macro="[0]!Макрос1а1" textlink="">
              <xdr:nvSpPr>
                <xdr:cNvPr id="29531" name="Text Box 859">
                  <a:extLst>
                    <a:ext uri="{FF2B5EF4-FFF2-40B4-BE49-F238E27FC236}">
                      <a16:creationId xmlns:a16="http://schemas.microsoft.com/office/drawing/2014/main" id="{00000000-0008-0000-2000-00005B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371" y="91"/>
                  <a:ext cx="21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1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B</a:t>
                  </a:r>
                </a:p>
              </xdr:txBody>
            </xdr:sp>
          </xdr:grpSp>
          <xdr:grpSp>
            <xdr:nvGrpSpPr>
              <xdr:cNvPr id="29532" name="Group 860">
                <a:extLst>
                  <a:ext uri="{FF2B5EF4-FFF2-40B4-BE49-F238E27FC236}">
                    <a16:creationId xmlns:a16="http://schemas.microsoft.com/office/drawing/2014/main" id="{00000000-0008-0000-2000-00005C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74" y="781"/>
                <a:ext cx="67" cy="23"/>
                <a:chOff x="552" y="91"/>
                <a:chExt cx="67" cy="23"/>
              </a:xfrm>
            </xdr:grpSpPr>
            <xdr:sp macro="[0]!Макрос1а1" textlink="">
              <xdr:nvSpPr>
                <xdr:cNvPr id="29533" name="Text Box 861">
                  <a:extLst>
                    <a:ext uri="{FF2B5EF4-FFF2-40B4-BE49-F238E27FC236}">
                      <a16:creationId xmlns:a16="http://schemas.microsoft.com/office/drawing/2014/main" id="{00000000-0008-0000-2000-00005D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552" y="91"/>
                  <a:ext cx="21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200" b="1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Б</a:t>
                  </a:r>
                </a:p>
              </xdr:txBody>
            </xdr:sp>
            <xdr:sp macro="[0]!Макрос1а1" textlink="">
              <xdr:nvSpPr>
                <xdr:cNvPr id="29534" name="Text Box 862">
                  <a:extLst>
                    <a:ext uri="{FF2B5EF4-FFF2-40B4-BE49-F238E27FC236}">
                      <a16:creationId xmlns:a16="http://schemas.microsoft.com/office/drawing/2014/main" id="{00000000-0008-0000-2000-00005E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598" y="91"/>
                  <a:ext cx="21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200" b="1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Б</a:t>
                  </a:r>
                </a:p>
              </xdr:txBody>
            </xdr:sp>
          </xdr:grpSp>
          <xdr:sp macro="[0]!Макрос1а1" textlink="">
            <xdr:nvSpPr>
              <xdr:cNvPr id="29535" name="Text Box 863">
                <a:extLst>
                  <a:ext uri="{FF2B5EF4-FFF2-40B4-BE49-F238E27FC236}">
                    <a16:creationId xmlns:a16="http://schemas.microsoft.com/office/drawing/2014/main" id="{00000000-0008-0000-2000-00005F73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27" y="779"/>
                <a:ext cx="18" cy="22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1а1" textlink="">
            <xdr:nvSpPr>
              <xdr:cNvPr id="29536" name="Text Box 864">
                <a:extLst>
                  <a:ext uri="{FF2B5EF4-FFF2-40B4-BE49-F238E27FC236}">
                    <a16:creationId xmlns:a16="http://schemas.microsoft.com/office/drawing/2014/main" id="{00000000-0008-0000-2000-00006073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13" y="833"/>
                <a:ext cx="31" cy="21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</xdr:grpSp>
        <xdr:grpSp>
          <xdr:nvGrpSpPr>
            <xdr:cNvPr id="31052" name="Group 1356">
              <a:extLst>
                <a:ext uri="{FF2B5EF4-FFF2-40B4-BE49-F238E27FC236}">
                  <a16:creationId xmlns:a16="http://schemas.microsoft.com/office/drawing/2014/main" id="{00000000-0008-0000-2000-00004C7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93" y="705"/>
              <a:ext cx="34" cy="30"/>
              <a:chOff x="690" y="710"/>
              <a:chExt cx="34" cy="30"/>
            </a:xfrm>
          </xdr:grpSpPr>
          <xdr:sp macro="[0]!Макрос1а1" textlink="">
            <xdr:nvSpPr>
              <xdr:cNvPr id="29538" name="Oval 866">
                <a:extLst>
                  <a:ext uri="{FF2B5EF4-FFF2-40B4-BE49-F238E27FC236}">
                    <a16:creationId xmlns:a16="http://schemas.microsoft.com/office/drawing/2014/main" id="{00000000-0008-0000-2000-0000627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691" y="710"/>
                <a:ext cx="33" cy="30"/>
              </a:xfrm>
              <a:prstGeom prst="ellipse">
                <a:avLst/>
              </a:prstGeom>
              <a:noFill/>
              <a:ln w="158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Макрос1а1" textlink="">
            <xdr:nvSpPr>
              <xdr:cNvPr id="29539" name="Text Box 867">
                <a:extLst>
                  <a:ext uri="{FF2B5EF4-FFF2-40B4-BE49-F238E27FC236}">
                    <a16:creationId xmlns:a16="http://schemas.microsoft.com/office/drawing/2014/main" id="{00000000-0008-0000-2000-00006373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690" y="713"/>
                <a:ext cx="30" cy="22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1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1a</a:t>
                </a:r>
              </a:p>
            </xdr:txBody>
          </xdr:sp>
        </xdr:grpSp>
        <xdr:grpSp>
          <xdr:nvGrpSpPr>
            <xdr:cNvPr id="29540" name="Group 868">
              <a:extLst>
                <a:ext uri="{FF2B5EF4-FFF2-40B4-BE49-F238E27FC236}">
                  <a16:creationId xmlns:a16="http://schemas.microsoft.com/office/drawing/2014/main" id="{00000000-0008-0000-2000-0000647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1" y="703"/>
              <a:ext cx="202" cy="226"/>
              <a:chOff x="89" y="22"/>
              <a:chExt cx="202" cy="226"/>
            </a:xfrm>
          </xdr:grpSpPr>
          <xdr:grpSp>
            <xdr:nvGrpSpPr>
              <xdr:cNvPr id="29541" name="Group 869">
                <a:extLst>
                  <a:ext uri="{FF2B5EF4-FFF2-40B4-BE49-F238E27FC236}">
                    <a16:creationId xmlns:a16="http://schemas.microsoft.com/office/drawing/2014/main" id="{00000000-0008-0000-2000-000065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9" y="58"/>
                <a:ext cx="202" cy="190"/>
                <a:chOff x="115" y="23"/>
                <a:chExt cx="202" cy="190"/>
              </a:xfrm>
            </xdr:grpSpPr>
            <xdr:grpSp>
              <xdr:nvGrpSpPr>
                <xdr:cNvPr id="29542" name="Group 870">
                  <a:extLst>
                    <a:ext uri="{FF2B5EF4-FFF2-40B4-BE49-F238E27FC236}">
                      <a16:creationId xmlns:a16="http://schemas.microsoft.com/office/drawing/2014/main" id="{00000000-0008-0000-2000-000066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15" y="28"/>
                  <a:ext cx="157" cy="148"/>
                  <a:chOff x="115" y="28"/>
                  <a:chExt cx="157" cy="148"/>
                </a:xfrm>
              </xdr:grpSpPr>
              <xdr:grpSp>
                <xdr:nvGrpSpPr>
                  <xdr:cNvPr id="29543" name="Group 871">
                    <a:extLst>
                      <a:ext uri="{FF2B5EF4-FFF2-40B4-BE49-F238E27FC236}">
                        <a16:creationId xmlns:a16="http://schemas.microsoft.com/office/drawing/2014/main" id="{00000000-0008-0000-2000-00006773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41" y="51"/>
                    <a:ext cx="102" cy="102"/>
                    <a:chOff x="141" y="51"/>
                    <a:chExt cx="102" cy="102"/>
                  </a:xfrm>
                </xdr:grpSpPr>
                <xdr:sp macro="[0]!Макрос1а1" textlink="">
                  <xdr:nvSpPr>
                    <xdr:cNvPr id="29544" name="Oval 872">
                      <a:extLst>
                        <a:ext uri="{FF2B5EF4-FFF2-40B4-BE49-F238E27FC236}">
                          <a16:creationId xmlns:a16="http://schemas.microsoft.com/office/drawing/2014/main" id="{00000000-0008-0000-2000-00006873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141" y="51"/>
                      <a:ext cx="102" cy="102"/>
                    </a:xfrm>
                    <a:prstGeom prst="ellipse">
                      <a:avLst/>
                    </a:pr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  <a:effectLst/>
                  </xdr:spPr>
                </xdr:sp>
                <xdr:sp macro="[0]!Макрос1а1" textlink="">
                  <xdr:nvSpPr>
                    <xdr:cNvPr id="29545" name="Freeform 873" descr="Светлый диагональный 1">
                      <a:extLst>
                        <a:ext uri="{FF2B5EF4-FFF2-40B4-BE49-F238E27FC236}">
                          <a16:creationId xmlns:a16="http://schemas.microsoft.com/office/drawing/2014/main" id="{00000000-0008-0000-2000-00006973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141" y="51"/>
                      <a:ext cx="102" cy="101"/>
                    </a:xfrm>
                    <a:custGeom>
                      <a:avLst/>
                      <a:gdLst/>
                      <a:ahLst/>
                      <a:cxnLst>
                        <a:cxn ang="0">
                          <a:pos x="37" y="18"/>
                        </a:cxn>
                        <a:cxn ang="0">
                          <a:pos x="27" y="24"/>
                        </a:cxn>
                        <a:cxn ang="0">
                          <a:pos x="20" y="32"/>
                        </a:cxn>
                        <a:cxn ang="0">
                          <a:pos x="16" y="42"/>
                        </a:cxn>
                        <a:cxn ang="0">
                          <a:pos x="1" y="42"/>
                        </a:cxn>
                        <a:cxn ang="0">
                          <a:pos x="0" y="54"/>
                        </a:cxn>
                        <a:cxn ang="0">
                          <a:pos x="2" y="66"/>
                        </a:cxn>
                        <a:cxn ang="0">
                          <a:pos x="17" y="66"/>
                        </a:cxn>
                        <a:cxn ang="0">
                          <a:pos x="23" y="76"/>
                        </a:cxn>
                        <a:cxn ang="0">
                          <a:pos x="28" y="81"/>
                        </a:cxn>
                        <a:cxn ang="0">
                          <a:pos x="37" y="86"/>
                        </a:cxn>
                        <a:cxn ang="0">
                          <a:pos x="47" y="89"/>
                        </a:cxn>
                        <a:cxn ang="0">
                          <a:pos x="57" y="89"/>
                        </a:cxn>
                        <a:cxn ang="0">
                          <a:pos x="62" y="101"/>
                        </a:cxn>
                        <a:cxn ang="0">
                          <a:pos x="74" y="97"/>
                        </a:cxn>
                        <a:cxn ang="0">
                          <a:pos x="85" y="89"/>
                        </a:cxn>
                        <a:cxn ang="0">
                          <a:pos x="78" y="77"/>
                        </a:cxn>
                        <a:cxn ang="0">
                          <a:pos x="84" y="69"/>
                        </a:cxn>
                        <a:cxn ang="0">
                          <a:pos x="87" y="60"/>
                        </a:cxn>
                        <a:cxn ang="0">
                          <a:pos x="101" y="60"/>
                        </a:cxn>
                        <a:cxn ang="0">
                          <a:pos x="102" y="51"/>
                        </a:cxn>
                        <a:cxn ang="0">
                          <a:pos x="101" y="42"/>
                        </a:cxn>
                        <a:cxn ang="0">
                          <a:pos x="87" y="42"/>
                        </a:cxn>
                        <a:cxn ang="0">
                          <a:pos x="84" y="36"/>
                        </a:cxn>
                        <a:cxn ang="0">
                          <a:pos x="76" y="25"/>
                        </a:cxn>
                        <a:cxn ang="0">
                          <a:pos x="65" y="18"/>
                        </a:cxn>
                        <a:cxn ang="0">
                          <a:pos x="65" y="2"/>
                        </a:cxn>
                        <a:cxn ang="0">
                          <a:pos x="51" y="0"/>
                        </a:cxn>
                        <a:cxn ang="0">
                          <a:pos x="37" y="2"/>
                        </a:cxn>
                        <a:cxn ang="0">
                          <a:pos x="37" y="18"/>
                        </a:cxn>
                      </a:cxnLst>
                      <a:rect l="0" t="0" r="r" b="b"/>
                      <a:pathLst>
                        <a:path w="102" h="101">
                          <a:moveTo>
                            <a:pt x="37" y="18"/>
                          </a:moveTo>
                          <a:cubicBezTo>
                            <a:pt x="34" y="20"/>
                            <a:pt x="31" y="21"/>
                            <a:pt x="27" y="24"/>
                          </a:cubicBezTo>
                          <a:cubicBezTo>
                            <a:pt x="23" y="28"/>
                            <a:pt x="23" y="28"/>
                            <a:pt x="20" y="32"/>
                          </a:cubicBezTo>
                          <a:cubicBezTo>
                            <a:pt x="18" y="36"/>
                            <a:pt x="17" y="38"/>
                            <a:pt x="16" y="42"/>
                          </a:cubicBezTo>
                          <a:cubicBezTo>
                            <a:pt x="11" y="42"/>
                            <a:pt x="8" y="42"/>
                            <a:pt x="1" y="42"/>
                          </a:cubicBezTo>
                          <a:cubicBezTo>
                            <a:pt x="0" y="44"/>
                            <a:pt x="0" y="52"/>
                            <a:pt x="0" y="54"/>
                          </a:cubicBezTo>
                          <a:cubicBezTo>
                            <a:pt x="0" y="56"/>
                            <a:pt x="1" y="62"/>
                            <a:pt x="2" y="66"/>
                          </a:cubicBezTo>
                          <a:cubicBezTo>
                            <a:pt x="8" y="66"/>
                            <a:pt x="12" y="66"/>
                            <a:pt x="17" y="66"/>
                          </a:cubicBezTo>
                          <a:cubicBezTo>
                            <a:pt x="19" y="69"/>
                            <a:pt x="20" y="72"/>
                            <a:pt x="23" y="76"/>
                          </a:cubicBezTo>
                          <a:cubicBezTo>
                            <a:pt x="26" y="80"/>
                            <a:pt x="25" y="78"/>
                            <a:pt x="28" y="81"/>
                          </a:cubicBezTo>
                          <a:cubicBezTo>
                            <a:pt x="31" y="83"/>
                            <a:pt x="34" y="85"/>
                            <a:pt x="37" y="86"/>
                          </a:cubicBezTo>
                          <a:cubicBezTo>
                            <a:pt x="40" y="87"/>
                            <a:pt x="43" y="88"/>
                            <a:pt x="47" y="89"/>
                          </a:cubicBezTo>
                          <a:cubicBezTo>
                            <a:pt x="52" y="89"/>
                            <a:pt x="52" y="89"/>
                            <a:pt x="57" y="89"/>
                          </a:cubicBezTo>
                          <a:cubicBezTo>
                            <a:pt x="59" y="94"/>
                            <a:pt x="60" y="96"/>
                            <a:pt x="62" y="101"/>
                          </a:cubicBezTo>
                          <a:cubicBezTo>
                            <a:pt x="67" y="100"/>
                            <a:pt x="70" y="99"/>
                            <a:pt x="74" y="97"/>
                          </a:cubicBezTo>
                          <a:cubicBezTo>
                            <a:pt x="79" y="94"/>
                            <a:pt x="82" y="92"/>
                            <a:pt x="85" y="89"/>
                          </a:cubicBezTo>
                          <a:cubicBezTo>
                            <a:pt x="82" y="84"/>
                            <a:pt x="81" y="82"/>
                            <a:pt x="78" y="77"/>
                          </a:cubicBezTo>
                          <a:cubicBezTo>
                            <a:pt x="81" y="74"/>
                            <a:pt x="82" y="73"/>
                            <a:pt x="84" y="69"/>
                          </a:cubicBezTo>
                          <a:cubicBezTo>
                            <a:pt x="86" y="65"/>
                            <a:pt x="86" y="64"/>
                            <a:pt x="87" y="60"/>
                          </a:cubicBezTo>
                          <a:cubicBezTo>
                            <a:pt x="93" y="60"/>
                            <a:pt x="95" y="60"/>
                            <a:pt x="101" y="60"/>
                          </a:cubicBezTo>
                          <a:cubicBezTo>
                            <a:pt x="102" y="55"/>
                            <a:pt x="102" y="54"/>
                            <a:pt x="102" y="51"/>
                          </a:cubicBezTo>
                          <a:cubicBezTo>
                            <a:pt x="102" y="47"/>
                            <a:pt x="102" y="47"/>
                            <a:pt x="101" y="42"/>
                          </a:cubicBezTo>
                          <a:cubicBezTo>
                            <a:pt x="94" y="42"/>
                            <a:pt x="92" y="42"/>
                            <a:pt x="87" y="42"/>
                          </a:cubicBezTo>
                          <a:cubicBezTo>
                            <a:pt x="86" y="40"/>
                            <a:pt x="86" y="39"/>
                            <a:pt x="84" y="36"/>
                          </a:cubicBezTo>
                          <a:cubicBezTo>
                            <a:pt x="82" y="31"/>
                            <a:pt x="79" y="28"/>
                            <a:pt x="76" y="25"/>
                          </a:cubicBezTo>
                          <a:cubicBezTo>
                            <a:pt x="73" y="22"/>
                            <a:pt x="68" y="19"/>
                            <a:pt x="65" y="18"/>
                          </a:cubicBezTo>
                          <a:cubicBezTo>
                            <a:pt x="65" y="13"/>
                            <a:pt x="65" y="7"/>
                            <a:pt x="65" y="2"/>
                          </a:cubicBezTo>
                          <a:cubicBezTo>
                            <a:pt x="62" y="1"/>
                            <a:pt x="56" y="0"/>
                            <a:pt x="51" y="0"/>
                          </a:cubicBezTo>
                          <a:cubicBezTo>
                            <a:pt x="46" y="0"/>
                            <a:pt x="40" y="1"/>
                            <a:pt x="37" y="2"/>
                          </a:cubicBezTo>
                          <a:cubicBezTo>
                            <a:pt x="37" y="8"/>
                            <a:pt x="37" y="15"/>
                            <a:pt x="37" y="18"/>
                          </a:cubicBezTo>
                          <a:close/>
                        </a:path>
                      </a:pathLst>
                    </a:custGeom>
                    <a:pattFill prst="ltDnDiag">
                      <a:fgClr>
                        <a:srgbClr val="000000"/>
                      </a:fgClr>
                      <a:bgClr>
                        <a:srgbClr val="FFFFFF"/>
                      </a:bgClr>
                    </a:pattFill>
                    <a:ln w="6350" cap="flat" cmpd="sng">
                      <a:solidFill>
                        <a:srgbClr val="000000"/>
                      </a:solidFill>
                      <a:prstDash val="solid"/>
                      <a:round/>
                      <a:headEnd/>
                      <a:tailEnd/>
                    </a:ln>
                    <a:effectLst/>
                  </xdr:spPr>
                </xdr:sp>
              </xdr:grpSp>
              <xdr:grpSp>
                <xdr:nvGrpSpPr>
                  <xdr:cNvPr id="29546" name="Group 874">
                    <a:extLst>
                      <a:ext uri="{FF2B5EF4-FFF2-40B4-BE49-F238E27FC236}">
                        <a16:creationId xmlns:a16="http://schemas.microsoft.com/office/drawing/2014/main" id="{00000000-0008-0000-2000-00006A73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15" y="28"/>
                    <a:ext cx="157" cy="148"/>
                    <a:chOff x="115" y="28"/>
                    <a:chExt cx="157" cy="148"/>
                  </a:xfrm>
                </xdr:grpSpPr>
                <xdr:sp macro="[0]!Макрос1а1" textlink="">
                  <xdr:nvSpPr>
                    <xdr:cNvPr id="29547" name="Line 875">
                      <a:extLst>
                        <a:ext uri="{FF2B5EF4-FFF2-40B4-BE49-F238E27FC236}">
                          <a16:creationId xmlns:a16="http://schemas.microsoft.com/office/drawing/2014/main" id="{00000000-0008-0000-2000-00006B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92" y="28"/>
                      <a:ext cx="0" cy="148"/>
                    </a:xfrm>
                    <a:prstGeom prst="line">
                      <a:avLst/>
                    </a:prstGeom>
                    <a:noFill/>
                    <a:ln w="6350">
                      <a:solidFill>
                        <a:srgbClr val="FF0000"/>
                      </a:solidFill>
                      <a:prstDash val="lgDashDot"/>
                      <a:round/>
                      <a:headEnd/>
                      <a:tailEnd/>
                    </a:ln>
                  </xdr:spPr>
                </xdr:sp>
                <xdr:sp macro="[0]!Макрос1а1" textlink="">
                  <xdr:nvSpPr>
                    <xdr:cNvPr id="29548" name="Line 876">
                      <a:extLst>
                        <a:ext uri="{FF2B5EF4-FFF2-40B4-BE49-F238E27FC236}">
                          <a16:creationId xmlns:a16="http://schemas.microsoft.com/office/drawing/2014/main" id="{00000000-0008-0000-2000-00006C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15" y="102"/>
                      <a:ext cx="157" cy="0"/>
                    </a:xfrm>
                    <a:prstGeom prst="line">
                      <a:avLst/>
                    </a:prstGeom>
                    <a:noFill/>
                    <a:ln w="6350">
                      <a:solidFill>
                        <a:srgbClr val="FF0000"/>
                      </a:solidFill>
                      <a:prstDash val="lgDashDot"/>
                      <a:round/>
                      <a:headEnd/>
                      <a:tailEnd/>
                    </a:ln>
                  </xdr:spPr>
                </xdr:sp>
              </xdr:grpSp>
            </xdr:grpSp>
            <xdr:grpSp>
              <xdr:nvGrpSpPr>
                <xdr:cNvPr id="29549" name="Group 877">
                  <a:extLst>
                    <a:ext uri="{FF2B5EF4-FFF2-40B4-BE49-F238E27FC236}">
                      <a16:creationId xmlns:a16="http://schemas.microsoft.com/office/drawing/2014/main" id="{00000000-0008-0000-2000-00006D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22" y="23"/>
                  <a:ext cx="195" cy="190"/>
                  <a:chOff x="122" y="23"/>
                  <a:chExt cx="195" cy="190"/>
                </a:xfrm>
              </xdr:grpSpPr>
              <xdr:grpSp>
                <xdr:nvGrpSpPr>
                  <xdr:cNvPr id="29550" name="Group 878">
                    <a:extLst>
                      <a:ext uri="{FF2B5EF4-FFF2-40B4-BE49-F238E27FC236}">
                        <a16:creationId xmlns:a16="http://schemas.microsoft.com/office/drawing/2014/main" id="{00000000-0008-0000-2000-00006E73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H="1">
                    <a:off x="244" y="65"/>
                    <a:ext cx="38" cy="74"/>
                    <a:chOff x="240" y="166"/>
                    <a:chExt cx="38" cy="75"/>
                  </a:xfrm>
                </xdr:grpSpPr>
                <xdr:sp macro="[0]!Макрос1а1" textlink="">
                  <xdr:nvSpPr>
                    <xdr:cNvPr id="29551" name="Line 879">
                      <a:extLst>
                        <a:ext uri="{FF2B5EF4-FFF2-40B4-BE49-F238E27FC236}">
                          <a16:creationId xmlns:a16="http://schemas.microsoft.com/office/drawing/2014/main" id="{00000000-0008-0000-2000-00006F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240" y="194"/>
                      <a:ext cx="38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а1" textlink="">
                  <xdr:nvSpPr>
                    <xdr:cNvPr id="29552" name="Line 880">
                      <a:extLst>
                        <a:ext uri="{FF2B5EF4-FFF2-40B4-BE49-F238E27FC236}">
                          <a16:creationId xmlns:a16="http://schemas.microsoft.com/office/drawing/2014/main" id="{00000000-0008-0000-2000-000070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240" y="213"/>
                      <a:ext cx="38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а1" textlink="">
                  <xdr:nvSpPr>
                    <xdr:cNvPr id="29553" name="Line 881">
                      <a:extLst>
                        <a:ext uri="{FF2B5EF4-FFF2-40B4-BE49-F238E27FC236}">
                          <a16:creationId xmlns:a16="http://schemas.microsoft.com/office/drawing/2014/main" id="{00000000-0008-0000-2000-000071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249" y="194"/>
                      <a:ext cx="0" cy="1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а1" textlink="">
                  <xdr:nvSpPr>
                    <xdr:cNvPr id="29554" name="Line 882">
                      <a:extLst>
                        <a:ext uri="{FF2B5EF4-FFF2-40B4-BE49-F238E27FC236}">
                          <a16:creationId xmlns:a16="http://schemas.microsoft.com/office/drawing/2014/main" id="{00000000-0008-0000-2000-000072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V="1">
                      <a:off x="249" y="166"/>
                      <a:ext cx="0" cy="2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1а1" textlink="">
                  <xdr:nvSpPr>
                    <xdr:cNvPr id="29555" name="Line 883">
                      <a:extLst>
                        <a:ext uri="{FF2B5EF4-FFF2-40B4-BE49-F238E27FC236}">
                          <a16:creationId xmlns:a16="http://schemas.microsoft.com/office/drawing/2014/main" id="{00000000-0008-0000-2000-000073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249" y="213"/>
                      <a:ext cx="0" cy="2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grpSp>
                <xdr:nvGrpSpPr>
                  <xdr:cNvPr id="29556" name="Group 884">
                    <a:extLst>
                      <a:ext uri="{FF2B5EF4-FFF2-40B4-BE49-F238E27FC236}">
                        <a16:creationId xmlns:a16="http://schemas.microsoft.com/office/drawing/2014/main" id="{00000000-0008-0000-2000-00007473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207" y="51"/>
                    <a:ext cx="110" cy="103"/>
                    <a:chOff x="210" y="52"/>
                    <a:chExt cx="110" cy="101"/>
                  </a:xfrm>
                </xdr:grpSpPr>
                <xdr:grpSp>
                  <xdr:nvGrpSpPr>
                    <xdr:cNvPr id="29557" name="Group 885">
                      <a:extLst>
                        <a:ext uri="{FF2B5EF4-FFF2-40B4-BE49-F238E27FC236}">
                          <a16:creationId xmlns:a16="http://schemas.microsoft.com/office/drawing/2014/main" id="{00000000-0008-0000-2000-000075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10" y="53"/>
                      <a:ext cx="110" cy="100"/>
                      <a:chOff x="304" y="53"/>
                      <a:chExt cx="38" cy="100"/>
                    </a:xfrm>
                  </xdr:grpSpPr>
                  <xdr:sp macro="[0]!Макрос1а1" textlink="">
                    <xdr:nvSpPr>
                      <xdr:cNvPr id="29558" name="Line 886">
                        <a:extLst>
                          <a:ext uri="{FF2B5EF4-FFF2-40B4-BE49-F238E27FC236}">
                            <a16:creationId xmlns:a16="http://schemas.microsoft.com/office/drawing/2014/main" id="{00000000-0008-0000-2000-00007673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304" y="53"/>
                        <a:ext cx="38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559" name="Line 887">
                        <a:extLst>
                          <a:ext uri="{FF2B5EF4-FFF2-40B4-BE49-F238E27FC236}">
                            <a16:creationId xmlns:a16="http://schemas.microsoft.com/office/drawing/2014/main" id="{00000000-0008-0000-2000-00007773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304" y="153"/>
                        <a:ext cx="38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а1" textlink="">
                  <xdr:nvSpPr>
                    <xdr:cNvPr id="29560" name="Line 888">
                      <a:extLst>
                        <a:ext uri="{FF2B5EF4-FFF2-40B4-BE49-F238E27FC236}">
                          <a16:creationId xmlns:a16="http://schemas.microsoft.com/office/drawing/2014/main" id="{00000000-0008-0000-2000-000078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>
                      <a:off x="308" y="52"/>
                      <a:ext cx="0" cy="10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</xdr:grpSp>
              <xdr:grpSp>
                <xdr:nvGrpSpPr>
                  <xdr:cNvPr id="29561" name="Group 889">
                    <a:extLst>
                      <a:ext uri="{FF2B5EF4-FFF2-40B4-BE49-F238E27FC236}">
                        <a16:creationId xmlns:a16="http://schemas.microsoft.com/office/drawing/2014/main" id="{00000000-0008-0000-2000-00007973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207" y="23"/>
                    <a:ext cx="56" cy="68"/>
                    <a:chOff x="207" y="23"/>
                    <a:chExt cx="56" cy="68"/>
                  </a:xfrm>
                </xdr:grpSpPr>
                <xdr:grpSp>
                  <xdr:nvGrpSpPr>
                    <xdr:cNvPr id="29562" name="Group 890">
                      <a:extLst>
                        <a:ext uri="{FF2B5EF4-FFF2-40B4-BE49-F238E27FC236}">
                          <a16:creationId xmlns:a16="http://schemas.microsoft.com/office/drawing/2014/main" id="{00000000-0008-0000-2000-00007A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28" y="23"/>
                      <a:ext cx="14" cy="68"/>
                      <a:chOff x="228" y="11"/>
                      <a:chExt cx="14" cy="80"/>
                    </a:xfrm>
                  </xdr:grpSpPr>
                  <xdr:sp macro="[0]!Макрос1а1" textlink="">
                    <xdr:nvSpPr>
                      <xdr:cNvPr id="29563" name="Line 891">
                        <a:extLst>
                          <a:ext uri="{FF2B5EF4-FFF2-40B4-BE49-F238E27FC236}">
                            <a16:creationId xmlns:a16="http://schemas.microsoft.com/office/drawing/2014/main" id="{00000000-0008-0000-2000-00007B73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>
                        <a:off x="202" y="51"/>
                        <a:ext cx="8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564" name="Line 892">
                        <a:extLst>
                          <a:ext uri="{FF2B5EF4-FFF2-40B4-BE49-F238E27FC236}">
                            <a16:creationId xmlns:a16="http://schemas.microsoft.com/office/drawing/2014/main" id="{00000000-0008-0000-2000-00007C73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>
                        <a:off x="188" y="51"/>
                        <a:ext cx="8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а1" textlink="">
                  <xdr:nvSpPr>
                    <xdr:cNvPr id="29565" name="Line 893">
                      <a:extLst>
                        <a:ext uri="{FF2B5EF4-FFF2-40B4-BE49-F238E27FC236}">
                          <a16:creationId xmlns:a16="http://schemas.microsoft.com/office/drawing/2014/main" id="{00000000-0008-0000-2000-00007D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>
                      <a:off x="236" y="29"/>
                      <a:ext cx="0" cy="13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а1" textlink="">
                  <xdr:nvSpPr>
                    <xdr:cNvPr id="29566" name="Line 894">
                      <a:extLst>
                        <a:ext uri="{FF2B5EF4-FFF2-40B4-BE49-F238E27FC236}">
                          <a16:creationId xmlns:a16="http://schemas.microsoft.com/office/drawing/2014/main" id="{00000000-0008-0000-2000-00007E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 flipV="1">
                      <a:off x="253" y="25"/>
                      <a:ext cx="0" cy="2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1а1" textlink="">
                  <xdr:nvSpPr>
                    <xdr:cNvPr id="29567" name="Line 895">
                      <a:extLst>
                        <a:ext uri="{FF2B5EF4-FFF2-40B4-BE49-F238E27FC236}">
                          <a16:creationId xmlns:a16="http://schemas.microsoft.com/office/drawing/2014/main" id="{00000000-0008-0000-2000-00007F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>
                      <a:off x="218" y="25"/>
                      <a:ext cx="0" cy="2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grpSp>
                <xdr:nvGrpSpPr>
                  <xdr:cNvPr id="29568" name="Group 896">
                    <a:extLst>
                      <a:ext uri="{FF2B5EF4-FFF2-40B4-BE49-F238E27FC236}">
                        <a16:creationId xmlns:a16="http://schemas.microsoft.com/office/drawing/2014/main" id="{00000000-0008-0000-2000-00008073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40" y="103"/>
                    <a:ext cx="104" cy="110"/>
                    <a:chOff x="140" y="103"/>
                    <a:chExt cx="104" cy="110"/>
                  </a:xfrm>
                </xdr:grpSpPr>
                <xdr:grpSp>
                  <xdr:nvGrpSpPr>
                    <xdr:cNvPr id="29569" name="Group 897">
                      <a:extLst>
                        <a:ext uri="{FF2B5EF4-FFF2-40B4-BE49-F238E27FC236}">
                          <a16:creationId xmlns:a16="http://schemas.microsoft.com/office/drawing/2014/main" id="{00000000-0008-0000-2000-000081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5400000">
                      <a:off x="138" y="107"/>
                      <a:ext cx="110" cy="102"/>
                      <a:chOff x="304" y="53"/>
                      <a:chExt cx="38" cy="100"/>
                    </a:xfrm>
                  </xdr:grpSpPr>
                  <xdr:sp macro="[0]!Макрос1а1" textlink="">
                    <xdr:nvSpPr>
                      <xdr:cNvPr id="29570" name="Line 898">
                        <a:extLst>
                          <a:ext uri="{FF2B5EF4-FFF2-40B4-BE49-F238E27FC236}">
                            <a16:creationId xmlns:a16="http://schemas.microsoft.com/office/drawing/2014/main" id="{00000000-0008-0000-2000-00008273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304" y="53"/>
                        <a:ext cx="38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571" name="Line 899">
                        <a:extLst>
                          <a:ext uri="{FF2B5EF4-FFF2-40B4-BE49-F238E27FC236}">
                            <a16:creationId xmlns:a16="http://schemas.microsoft.com/office/drawing/2014/main" id="{00000000-0008-0000-2000-00008373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304" y="153"/>
                        <a:ext cx="38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а1" textlink="">
                  <xdr:nvSpPr>
                    <xdr:cNvPr id="29572" name="Line 900">
                      <a:extLst>
                        <a:ext uri="{FF2B5EF4-FFF2-40B4-BE49-F238E27FC236}">
                          <a16:creationId xmlns:a16="http://schemas.microsoft.com/office/drawing/2014/main" id="{00000000-0008-0000-2000-000084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 flipH="1">
                      <a:off x="192" y="148"/>
                      <a:ext cx="0" cy="103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</xdr:grpSp>
              <xdr:grpSp>
                <xdr:nvGrpSpPr>
                  <xdr:cNvPr id="29573" name="Group 901">
                    <a:extLst>
                      <a:ext uri="{FF2B5EF4-FFF2-40B4-BE49-F238E27FC236}">
                        <a16:creationId xmlns:a16="http://schemas.microsoft.com/office/drawing/2014/main" id="{00000000-0008-0000-2000-00008573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22" y="24"/>
                    <a:ext cx="56" cy="68"/>
                    <a:chOff x="207" y="23"/>
                    <a:chExt cx="56" cy="68"/>
                  </a:xfrm>
                </xdr:grpSpPr>
                <xdr:grpSp>
                  <xdr:nvGrpSpPr>
                    <xdr:cNvPr id="29574" name="Group 902">
                      <a:extLst>
                        <a:ext uri="{FF2B5EF4-FFF2-40B4-BE49-F238E27FC236}">
                          <a16:creationId xmlns:a16="http://schemas.microsoft.com/office/drawing/2014/main" id="{00000000-0008-0000-2000-00008673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28" y="23"/>
                      <a:ext cx="14" cy="68"/>
                      <a:chOff x="228" y="11"/>
                      <a:chExt cx="14" cy="80"/>
                    </a:xfrm>
                  </xdr:grpSpPr>
                  <xdr:sp macro="[0]!Макрос1а1" textlink="">
                    <xdr:nvSpPr>
                      <xdr:cNvPr id="29575" name="Line 903">
                        <a:extLst>
                          <a:ext uri="{FF2B5EF4-FFF2-40B4-BE49-F238E27FC236}">
                            <a16:creationId xmlns:a16="http://schemas.microsoft.com/office/drawing/2014/main" id="{00000000-0008-0000-2000-00008773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>
                        <a:off x="202" y="51"/>
                        <a:ext cx="8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а1" textlink="">
                    <xdr:nvSpPr>
                      <xdr:cNvPr id="29576" name="Line 904">
                        <a:extLst>
                          <a:ext uri="{FF2B5EF4-FFF2-40B4-BE49-F238E27FC236}">
                            <a16:creationId xmlns:a16="http://schemas.microsoft.com/office/drawing/2014/main" id="{00000000-0008-0000-2000-00008873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>
                        <a:off x="188" y="51"/>
                        <a:ext cx="8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а1" textlink="">
                  <xdr:nvSpPr>
                    <xdr:cNvPr id="29577" name="Line 905">
                      <a:extLst>
                        <a:ext uri="{FF2B5EF4-FFF2-40B4-BE49-F238E27FC236}">
                          <a16:creationId xmlns:a16="http://schemas.microsoft.com/office/drawing/2014/main" id="{00000000-0008-0000-2000-000089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>
                      <a:off x="236" y="29"/>
                      <a:ext cx="0" cy="13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а1" textlink="">
                  <xdr:nvSpPr>
                    <xdr:cNvPr id="29578" name="Line 906">
                      <a:extLst>
                        <a:ext uri="{FF2B5EF4-FFF2-40B4-BE49-F238E27FC236}">
                          <a16:creationId xmlns:a16="http://schemas.microsoft.com/office/drawing/2014/main" id="{00000000-0008-0000-2000-00008A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 flipV="1">
                      <a:off x="253" y="25"/>
                      <a:ext cx="0" cy="2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1а1" textlink="">
                  <xdr:nvSpPr>
                    <xdr:cNvPr id="29579" name="Line 907">
                      <a:extLst>
                        <a:ext uri="{FF2B5EF4-FFF2-40B4-BE49-F238E27FC236}">
                          <a16:creationId xmlns:a16="http://schemas.microsoft.com/office/drawing/2014/main" id="{00000000-0008-0000-2000-00008B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>
                      <a:off x="218" y="25"/>
                      <a:ext cx="0" cy="2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grpSp>
                <xdr:nvGrpSpPr>
                  <xdr:cNvPr id="29580" name="Group 908">
                    <a:extLst>
                      <a:ext uri="{FF2B5EF4-FFF2-40B4-BE49-F238E27FC236}">
                        <a16:creationId xmlns:a16="http://schemas.microsoft.com/office/drawing/2014/main" id="{00000000-0008-0000-2000-00008C73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58" y="64"/>
                    <a:ext cx="41" cy="111"/>
                    <a:chOff x="158" y="64"/>
                    <a:chExt cx="41" cy="111"/>
                  </a:xfrm>
                </xdr:grpSpPr>
                <xdr:sp macro="[0]!Макрос1а1" textlink="">
                  <xdr:nvSpPr>
                    <xdr:cNvPr id="29581" name="Line 909">
                      <a:extLst>
                        <a:ext uri="{FF2B5EF4-FFF2-40B4-BE49-F238E27FC236}">
                          <a16:creationId xmlns:a16="http://schemas.microsoft.com/office/drawing/2014/main" id="{00000000-0008-0000-2000-00008D73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479762" flipH="1">
                      <a:off x="192" y="64"/>
                      <a:ext cx="1" cy="75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sp macro="[0]!Макрос1а1" textlink="">
                  <xdr:nvSpPr>
                    <xdr:cNvPr id="29582" name="Freeform 910">
                      <a:extLst>
                        <a:ext uri="{FF2B5EF4-FFF2-40B4-BE49-F238E27FC236}">
                          <a16:creationId xmlns:a16="http://schemas.microsoft.com/office/drawing/2014/main" id="{00000000-0008-0000-2000-00008E73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158" y="137"/>
                      <a:ext cx="41" cy="38"/>
                    </a:xfrm>
                    <a:custGeom>
                      <a:avLst/>
                      <a:gdLst/>
                      <a:ahLst/>
                      <a:cxnLst>
                        <a:cxn ang="0">
                          <a:pos x="17" y="0"/>
                        </a:cxn>
                        <a:cxn ang="0">
                          <a:pos x="0" y="38"/>
                        </a:cxn>
                        <a:cxn ang="0">
                          <a:pos x="41" y="38"/>
                        </a:cxn>
                      </a:cxnLst>
                      <a:rect l="0" t="0" r="r" b="b"/>
                      <a:pathLst>
                        <a:path w="41" h="38">
                          <a:moveTo>
                            <a:pt x="17" y="0"/>
                          </a:moveTo>
                          <a:lnTo>
                            <a:pt x="0" y="38"/>
                          </a:lnTo>
                          <a:lnTo>
                            <a:pt x="41" y="38"/>
                          </a:lnTo>
                        </a:path>
                      </a:pathLst>
                    </a:cu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</xdr:grpSp>
          <xdr:grpSp>
            <xdr:nvGrpSpPr>
              <xdr:cNvPr id="29583" name="Group 911">
                <a:extLst>
                  <a:ext uri="{FF2B5EF4-FFF2-40B4-BE49-F238E27FC236}">
                    <a16:creationId xmlns:a16="http://schemas.microsoft.com/office/drawing/2014/main" id="{00000000-0008-0000-2000-00008F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9" y="22"/>
                <a:ext cx="190" cy="217"/>
                <a:chOff x="99" y="22"/>
                <a:chExt cx="190" cy="217"/>
              </a:xfrm>
            </xdr:grpSpPr>
            <xdr:grpSp>
              <xdr:nvGrpSpPr>
                <xdr:cNvPr id="29584" name="Group 912">
                  <a:extLst>
                    <a:ext uri="{FF2B5EF4-FFF2-40B4-BE49-F238E27FC236}">
                      <a16:creationId xmlns:a16="http://schemas.microsoft.com/office/drawing/2014/main" id="{00000000-0008-0000-2000-000090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9" y="44"/>
                  <a:ext cx="190" cy="195"/>
                  <a:chOff x="125" y="10"/>
                  <a:chExt cx="190" cy="195"/>
                </a:xfrm>
              </xdr:grpSpPr>
              <xdr:sp macro="[0]!Макрос1а1" textlink="">
                <xdr:nvSpPr>
                  <xdr:cNvPr id="29585" name="Text Box 913">
                    <a:extLst>
                      <a:ext uri="{FF2B5EF4-FFF2-40B4-BE49-F238E27FC236}">
                        <a16:creationId xmlns:a16="http://schemas.microsoft.com/office/drawing/2014/main" id="{00000000-0008-0000-2000-00009173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248" y="64"/>
                    <a:ext cx="31" cy="21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vert="vert270" wrap="none" lIns="27432" tIns="22860" rIns="0" bIns="0" anchor="t" upright="1">
                    <a:spAutoFit/>
                  </a:bodyPr>
                  <a:lstStyle/>
                  <a:p>
                    <a:pPr algn="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b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  <xdr:sp macro="[0]!Макрос1а1" textlink="">
                <xdr:nvSpPr>
                  <xdr:cNvPr id="29586" name="Text Box 914">
                    <a:extLst>
                      <a:ext uri="{FF2B5EF4-FFF2-40B4-BE49-F238E27FC236}">
                        <a16:creationId xmlns:a16="http://schemas.microsoft.com/office/drawing/2014/main" id="{00000000-0008-0000-2000-00009273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125" y="10"/>
                    <a:ext cx="23" cy="28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h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  <xdr:sp macro="[0]!Макрос1а1" textlink="">
                <xdr:nvSpPr>
                  <xdr:cNvPr id="29587" name="Text Box 915">
                    <a:extLst>
                      <a:ext uri="{FF2B5EF4-FFF2-40B4-BE49-F238E27FC236}">
                        <a16:creationId xmlns:a16="http://schemas.microsoft.com/office/drawing/2014/main" id="{00000000-0008-0000-2000-00009373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245" y="10"/>
                    <a:ext cx="23" cy="28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h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  <xdr:sp macro="[0]!Макрос1а1" textlink="">
                <xdr:nvSpPr>
                  <xdr:cNvPr id="29588" name="Text Box 916">
                    <a:extLst>
                      <a:ext uri="{FF2B5EF4-FFF2-40B4-BE49-F238E27FC236}">
                        <a16:creationId xmlns:a16="http://schemas.microsoft.com/office/drawing/2014/main" id="{00000000-0008-0000-2000-00009473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166" y="156"/>
                    <a:ext cx="30" cy="23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18288" tIns="27432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Symbol"/>
                      </a:rPr>
                      <a:t>Æ</a:t>
                    </a: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d</a:t>
                    </a:r>
                  </a:p>
                </xdr:txBody>
              </xdr:sp>
              <xdr:sp macro="[0]!Макрос1а1" textlink="">
                <xdr:nvSpPr>
                  <xdr:cNvPr id="29589" name="Text Box 917">
                    <a:extLst>
                      <a:ext uri="{FF2B5EF4-FFF2-40B4-BE49-F238E27FC236}">
                        <a16:creationId xmlns:a16="http://schemas.microsoft.com/office/drawing/2014/main" id="{00000000-0008-0000-2000-00009573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183" y="177"/>
                    <a:ext cx="24" cy="28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d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  <xdr:sp macro="[0]!Макрос1а1" textlink="">
                <xdr:nvSpPr>
                  <xdr:cNvPr id="29590" name="Text Box 918">
                    <a:extLst>
                      <a:ext uri="{FF2B5EF4-FFF2-40B4-BE49-F238E27FC236}">
                        <a16:creationId xmlns:a16="http://schemas.microsoft.com/office/drawing/2014/main" id="{00000000-0008-0000-2000-00009673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284" y="94"/>
                    <a:ext cx="31" cy="21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vert="vert270" wrap="none" lIns="27432" tIns="22860" rIns="0" bIns="0" anchor="t" upright="1">
                    <a:spAutoFit/>
                  </a:bodyPr>
                  <a:lstStyle/>
                  <a:p>
                    <a:pPr algn="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d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</xdr:grpSp>
            <xdr:sp macro="[0]!Макрос1а1" textlink="">
              <xdr:nvSpPr>
                <xdr:cNvPr id="29591" name="Text Box 919">
                  <a:extLst>
                    <a:ext uri="{FF2B5EF4-FFF2-40B4-BE49-F238E27FC236}">
                      <a16:creationId xmlns:a16="http://schemas.microsoft.com/office/drawing/2014/main" id="{00000000-0008-0000-2000-000097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46" y="22"/>
                  <a:ext cx="43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1" i="0" u="sng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A - A</a:t>
                  </a:r>
                </a:p>
              </xdr:txBody>
            </xdr:sp>
          </xdr:grpSp>
        </xdr:grpSp>
        <xdr:grpSp>
          <xdr:nvGrpSpPr>
            <xdr:cNvPr id="29592" name="Group 920">
              <a:extLst>
                <a:ext uri="{FF2B5EF4-FFF2-40B4-BE49-F238E27FC236}">
                  <a16:creationId xmlns:a16="http://schemas.microsoft.com/office/drawing/2014/main" id="{00000000-0008-0000-2000-0000987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953" y="928"/>
              <a:ext cx="160" cy="88"/>
              <a:chOff x="86" y="280"/>
              <a:chExt cx="160" cy="88"/>
            </a:xfrm>
          </xdr:grpSpPr>
          <xdr:grpSp>
            <xdr:nvGrpSpPr>
              <xdr:cNvPr id="29593" name="Group 921">
                <a:extLst>
                  <a:ext uri="{FF2B5EF4-FFF2-40B4-BE49-F238E27FC236}">
                    <a16:creationId xmlns:a16="http://schemas.microsoft.com/office/drawing/2014/main" id="{00000000-0008-0000-2000-000099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2" y="299"/>
                <a:ext cx="154" cy="69"/>
                <a:chOff x="35" y="297"/>
                <a:chExt cx="154" cy="69"/>
              </a:xfrm>
            </xdr:grpSpPr>
            <xdr:grpSp>
              <xdr:nvGrpSpPr>
                <xdr:cNvPr id="29594" name="Group 922">
                  <a:extLst>
                    <a:ext uri="{FF2B5EF4-FFF2-40B4-BE49-F238E27FC236}">
                      <a16:creationId xmlns:a16="http://schemas.microsoft.com/office/drawing/2014/main" id="{00000000-0008-0000-2000-00009A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3" y="320"/>
                  <a:ext cx="97" cy="46"/>
                  <a:chOff x="507" y="296"/>
                  <a:chExt cx="97" cy="46"/>
                </a:xfrm>
              </xdr:grpSpPr>
              <xdr:sp macro="[0]!Макрос1а1" textlink="">
                <xdr:nvSpPr>
                  <xdr:cNvPr id="29595" name="Freeform 923">
                    <a:extLst>
                      <a:ext uri="{FF2B5EF4-FFF2-40B4-BE49-F238E27FC236}">
                        <a16:creationId xmlns:a16="http://schemas.microsoft.com/office/drawing/2014/main" id="{00000000-0008-0000-2000-00009B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508" y="296"/>
                    <a:ext cx="96" cy="18"/>
                  </a:xfrm>
                  <a:custGeom>
                    <a:avLst/>
                    <a:gdLst/>
                    <a:ahLst/>
                    <a:cxnLst>
                      <a:cxn ang="0">
                        <a:pos x="36" y="0"/>
                      </a:cxn>
                      <a:cxn ang="0">
                        <a:pos x="62" y="0"/>
                      </a:cxn>
                      <a:cxn ang="0">
                        <a:pos x="73" y="12"/>
                      </a:cxn>
                      <a:cxn ang="0">
                        <a:pos x="96" y="12"/>
                      </a:cxn>
                      <a:cxn ang="0">
                        <a:pos x="71" y="16"/>
                      </a:cxn>
                      <a:cxn ang="0">
                        <a:pos x="17" y="17"/>
                      </a:cxn>
                      <a:cxn ang="0">
                        <a:pos x="12" y="16"/>
                      </a:cxn>
                      <a:cxn ang="0">
                        <a:pos x="2" y="12"/>
                      </a:cxn>
                      <a:cxn ang="0">
                        <a:pos x="24" y="12"/>
                      </a:cxn>
                      <a:cxn ang="0">
                        <a:pos x="36" y="0"/>
                      </a:cxn>
                    </a:cxnLst>
                    <a:rect l="0" t="0" r="r" b="b"/>
                    <a:pathLst>
                      <a:path w="96" h="18">
                        <a:moveTo>
                          <a:pt x="36" y="0"/>
                        </a:moveTo>
                        <a:cubicBezTo>
                          <a:pt x="45" y="0"/>
                          <a:pt x="52" y="0"/>
                          <a:pt x="62" y="0"/>
                        </a:cubicBezTo>
                        <a:cubicBezTo>
                          <a:pt x="63" y="9"/>
                          <a:pt x="67" y="10"/>
                          <a:pt x="73" y="12"/>
                        </a:cubicBezTo>
                        <a:cubicBezTo>
                          <a:pt x="84" y="12"/>
                          <a:pt x="89" y="12"/>
                          <a:pt x="96" y="12"/>
                        </a:cubicBezTo>
                        <a:cubicBezTo>
                          <a:pt x="95" y="18"/>
                          <a:pt x="84" y="15"/>
                          <a:pt x="71" y="16"/>
                        </a:cubicBezTo>
                        <a:lnTo>
                          <a:pt x="17" y="17"/>
                        </a:lnTo>
                        <a:cubicBezTo>
                          <a:pt x="7" y="17"/>
                          <a:pt x="14" y="17"/>
                          <a:pt x="12" y="16"/>
                        </a:cubicBezTo>
                        <a:cubicBezTo>
                          <a:pt x="10" y="15"/>
                          <a:pt x="0" y="13"/>
                          <a:pt x="2" y="12"/>
                        </a:cubicBezTo>
                        <a:cubicBezTo>
                          <a:pt x="8" y="12"/>
                          <a:pt x="18" y="12"/>
                          <a:pt x="24" y="12"/>
                        </a:cubicBezTo>
                        <a:cubicBezTo>
                          <a:pt x="30" y="10"/>
                          <a:pt x="35" y="9"/>
                          <a:pt x="36" y="0"/>
                        </a:cubicBezTo>
                        <a:close/>
                      </a:path>
                    </a:pathLst>
                  </a:custGeom>
                  <a:noFill/>
                  <a:ln w="190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96" name="Freeform 924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000-00009C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507" y="297"/>
                    <a:ext cx="97" cy="45"/>
                  </a:xfrm>
                  <a:custGeom>
                    <a:avLst/>
                    <a:gdLst/>
                    <a:ahLst/>
                    <a:cxnLst>
                      <a:cxn ang="0">
                        <a:pos x="37" y="0"/>
                      </a:cxn>
                      <a:cxn ang="0">
                        <a:pos x="63" y="0"/>
                      </a:cxn>
                      <a:cxn ang="0">
                        <a:pos x="75" y="12"/>
                      </a:cxn>
                      <a:cxn ang="0">
                        <a:pos x="97" y="12"/>
                      </a:cxn>
                      <a:cxn ang="0">
                        <a:pos x="97" y="25"/>
                      </a:cxn>
                      <a:cxn ang="0">
                        <a:pos x="84" y="36"/>
                      </a:cxn>
                      <a:cxn ang="0">
                        <a:pos x="67" y="38"/>
                      </a:cxn>
                      <a:cxn ang="0">
                        <a:pos x="41" y="45"/>
                      </a:cxn>
                      <a:cxn ang="0">
                        <a:pos x="24" y="38"/>
                      </a:cxn>
                      <a:cxn ang="0">
                        <a:pos x="8" y="32"/>
                      </a:cxn>
                      <a:cxn ang="0">
                        <a:pos x="7" y="22"/>
                      </a:cxn>
                      <a:cxn ang="0">
                        <a:pos x="3" y="12"/>
                      </a:cxn>
                      <a:cxn ang="0">
                        <a:pos x="24" y="12"/>
                      </a:cxn>
                      <a:cxn ang="0">
                        <a:pos x="37" y="0"/>
                      </a:cxn>
                    </a:cxnLst>
                    <a:rect l="0" t="0" r="r" b="b"/>
                    <a:pathLst>
                      <a:path w="97" h="45">
                        <a:moveTo>
                          <a:pt x="37" y="0"/>
                        </a:moveTo>
                        <a:cubicBezTo>
                          <a:pt x="46" y="0"/>
                          <a:pt x="53" y="0"/>
                          <a:pt x="63" y="0"/>
                        </a:cubicBezTo>
                        <a:cubicBezTo>
                          <a:pt x="64" y="9"/>
                          <a:pt x="69" y="10"/>
                          <a:pt x="75" y="12"/>
                        </a:cubicBezTo>
                        <a:cubicBezTo>
                          <a:pt x="86" y="12"/>
                          <a:pt x="90" y="12"/>
                          <a:pt x="97" y="12"/>
                        </a:cubicBezTo>
                        <a:cubicBezTo>
                          <a:pt x="96" y="18"/>
                          <a:pt x="97" y="25"/>
                          <a:pt x="97" y="25"/>
                        </a:cubicBezTo>
                        <a:lnTo>
                          <a:pt x="84" y="36"/>
                        </a:lnTo>
                        <a:lnTo>
                          <a:pt x="67" y="38"/>
                        </a:lnTo>
                        <a:lnTo>
                          <a:pt x="41" y="45"/>
                        </a:lnTo>
                        <a:lnTo>
                          <a:pt x="24" y="38"/>
                        </a:lnTo>
                        <a:lnTo>
                          <a:pt x="8" y="32"/>
                        </a:lnTo>
                        <a:lnTo>
                          <a:pt x="7" y="22"/>
                        </a:lnTo>
                        <a:cubicBezTo>
                          <a:pt x="6" y="19"/>
                          <a:pt x="0" y="14"/>
                          <a:pt x="3" y="12"/>
                        </a:cubicBezTo>
                        <a:cubicBezTo>
                          <a:pt x="9" y="12"/>
                          <a:pt x="18" y="12"/>
                          <a:pt x="24" y="12"/>
                        </a:cubicBezTo>
                        <a:cubicBezTo>
                          <a:pt x="30" y="10"/>
                          <a:pt x="36" y="9"/>
                          <a:pt x="37" y="0"/>
                        </a:cubicBezTo>
                        <a:close/>
                      </a:path>
                    </a:pathLst>
                  </a:custGeom>
                  <a:pattFill prst="ltDn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63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597" name="Group 925">
                  <a:extLst>
                    <a:ext uri="{FF2B5EF4-FFF2-40B4-BE49-F238E27FC236}">
                      <a16:creationId xmlns:a16="http://schemas.microsoft.com/office/drawing/2014/main" id="{00000000-0008-0000-2000-00009D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5" y="297"/>
                  <a:ext cx="73" cy="55"/>
                  <a:chOff x="35" y="297"/>
                  <a:chExt cx="73" cy="55"/>
                </a:xfrm>
              </xdr:grpSpPr>
              <xdr:sp macro="[0]!Макрос1а1" textlink="">
                <xdr:nvSpPr>
                  <xdr:cNvPr id="29598" name="Line 926">
                    <a:extLst>
                      <a:ext uri="{FF2B5EF4-FFF2-40B4-BE49-F238E27FC236}">
                        <a16:creationId xmlns:a16="http://schemas.microsoft.com/office/drawing/2014/main" id="{00000000-0008-0000-2000-00009E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35" y="318"/>
                    <a:ext cx="73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599" name="Line 927">
                    <a:extLst>
                      <a:ext uri="{FF2B5EF4-FFF2-40B4-BE49-F238E27FC236}">
                        <a16:creationId xmlns:a16="http://schemas.microsoft.com/office/drawing/2014/main" id="{00000000-0008-0000-2000-00009F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35" y="331"/>
                    <a:ext cx="38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600" name="Line 928">
                    <a:extLst>
                      <a:ext uri="{FF2B5EF4-FFF2-40B4-BE49-F238E27FC236}">
                        <a16:creationId xmlns:a16="http://schemas.microsoft.com/office/drawing/2014/main" id="{00000000-0008-0000-2000-0000A0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47" y="318"/>
                    <a:ext cx="0" cy="13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601" name="Line 929">
                    <a:extLst>
                      <a:ext uri="{FF2B5EF4-FFF2-40B4-BE49-F238E27FC236}">
                        <a16:creationId xmlns:a16="http://schemas.microsoft.com/office/drawing/2014/main" id="{00000000-0008-0000-2000-0000A1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47" y="297"/>
                    <a:ext cx="0" cy="21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а1" textlink="">
                <xdr:nvSpPr>
                  <xdr:cNvPr id="29602" name="Line 930">
                    <a:extLst>
                      <a:ext uri="{FF2B5EF4-FFF2-40B4-BE49-F238E27FC236}">
                        <a16:creationId xmlns:a16="http://schemas.microsoft.com/office/drawing/2014/main" id="{00000000-0008-0000-2000-0000A2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47" y="331"/>
                    <a:ext cx="0" cy="21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sp macro="[0]!Макрос1а1" textlink="">
              <xdr:nvSpPr>
                <xdr:cNvPr id="29603" name="Freeform 931">
                  <a:extLst>
                    <a:ext uri="{FF2B5EF4-FFF2-40B4-BE49-F238E27FC236}">
                      <a16:creationId xmlns:a16="http://schemas.microsoft.com/office/drawing/2014/main" id="{00000000-0008-0000-2000-0000A373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38" y="309"/>
                  <a:ext cx="51" cy="20"/>
                </a:xfrm>
                <a:custGeom>
                  <a:avLst/>
                  <a:gdLst/>
                  <a:ahLst/>
                  <a:cxnLst>
                    <a:cxn ang="0">
                      <a:pos x="0" y="20"/>
                    </a:cxn>
                    <a:cxn ang="0">
                      <a:pos x="20" y="0"/>
                    </a:cxn>
                    <a:cxn ang="0">
                      <a:pos x="51" y="0"/>
                    </a:cxn>
                  </a:cxnLst>
                  <a:rect l="0" t="0" r="r" b="b"/>
                  <a:pathLst>
                    <a:path w="51" h="20">
                      <a:moveTo>
                        <a:pt x="0" y="20"/>
                      </a:moveTo>
                      <a:lnTo>
                        <a:pt x="20" y="0"/>
                      </a:lnTo>
                      <a:lnTo>
                        <a:pt x="51" y="0"/>
                      </a:lnTo>
                    </a:path>
                  </a:pathLst>
                </a:custGeom>
                <a:noFill/>
                <a:ln w="9525" cap="flat" cmpd="sng">
                  <a:solidFill>
                    <a:srgbClr val="0000FF"/>
                  </a:solidFill>
                  <a:prstDash val="solid"/>
                  <a:round/>
                  <a:headEnd type="stealth" w="sm" len="lg"/>
                  <a:tailEnd type="none" w="med" len="med"/>
                </a:ln>
              </xdr:spPr>
            </xdr:sp>
          </xdr:grpSp>
          <xdr:grpSp>
            <xdr:nvGrpSpPr>
              <xdr:cNvPr id="29604" name="Group 932">
                <a:extLst>
                  <a:ext uri="{FF2B5EF4-FFF2-40B4-BE49-F238E27FC236}">
                    <a16:creationId xmlns:a16="http://schemas.microsoft.com/office/drawing/2014/main" id="{00000000-0008-0000-2000-0000A4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6" y="280"/>
                <a:ext cx="154" cy="33"/>
                <a:chOff x="86" y="280"/>
                <a:chExt cx="154" cy="33"/>
              </a:xfrm>
            </xdr:grpSpPr>
            <xdr:grpSp>
              <xdr:nvGrpSpPr>
                <xdr:cNvPr id="29605" name="Group 933">
                  <a:extLst>
                    <a:ext uri="{FF2B5EF4-FFF2-40B4-BE49-F238E27FC236}">
                      <a16:creationId xmlns:a16="http://schemas.microsoft.com/office/drawing/2014/main" id="{00000000-0008-0000-2000-0000A5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86" y="291"/>
                  <a:ext cx="154" cy="22"/>
                  <a:chOff x="86" y="291"/>
                  <a:chExt cx="154" cy="22"/>
                </a:xfrm>
              </xdr:grpSpPr>
              <xdr:sp macro="[0]!Макрос1а1" textlink="">
                <xdr:nvSpPr>
                  <xdr:cNvPr id="29606" name="Text Box 934">
                    <a:extLst>
                      <a:ext uri="{FF2B5EF4-FFF2-40B4-BE49-F238E27FC236}">
                        <a16:creationId xmlns:a16="http://schemas.microsoft.com/office/drawing/2014/main" id="{00000000-0008-0000-2000-0000A673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86" y="295"/>
                    <a:ext cx="25" cy="14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vert="vert270" wrap="none" lIns="27432" tIns="22860" rIns="0" bIns="0" anchor="t" upright="1">
                    <a:spAutoFit/>
                  </a:bodyPr>
                  <a:lstStyle/>
                  <a:p>
                    <a:pPr algn="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h</a:t>
                    </a:r>
                  </a:p>
                </xdr:txBody>
              </xdr:sp>
              <xdr:sp macro="[0]!Макрос1а1" textlink="">
                <xdr:nvSpPr>
                  <xdr:cNvPr id="29607" name="Text Box 935">
                    <a:extLst>
                      <a:ext uri="{FF2B5EF4-FFF2-40B4-BE49-F238E27FC236}">
                        <a16:creationId xmlns:a16="http://schemas.microsoft.com/office/drawing/2014/main" id="{00000000-0008-0000-2000-0000A773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226" y="291"/>
                    <a:ext cx="14" cy="22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r</a:t>
                    </a:r>
                  </a:p>
                </xdr:txBody>
              </xdr:sp>
            </xdr:grpSp>
            <xdr:sp macro="[0]!Макрос1а1" textlink="">
              <xdr:nvSpPr>
                <xdr:cNvPr id="29608" name="Text Box 936">
                  <a:extLst>
                    <a:ext uri="{FF2B5EF4-FFF2-40B4-BE49-F238E27FC236}">
                      <a16:creationId xmlns:a16="http://schemas.microsoft.com/office/drawing/2014/main" id="{00000000-0008-0000-2000-0000A8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57" y="280"/>
                  <a:ext cx="45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200" b="1" i="0" u="sng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Б - Б</a:t>
                  </a:r>
                </a:p>
              </xdr:txBody>
            </xdr:sp>
          </xdr:grpSp>
        </xdr:grpSp>
        <xdr:grpSp>
          <xdr:nvGrpSpPr>
            <xdr:cNvPr id="29609" name="Group 937">
              <a:extLst>
                <a:ext uri="{FF2B5EF4-FFF2-40B4-BE49-F238E27FC236}">
                  <a16:creationId xmlns:a16="http://schemas.microsoft.com/office/drawing/2014/main" id="{00000000-0008-0000-2000-0000A97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33" y="888"/>
              <a:ext cx="131" cy="126"/>
              <a:chOff x="89" y="390"/>
              <a:chExt cx="131" cy="126"/>
            </a:xfrm>
          </xdr:grpSpPr>
          <xdr:grpSp>
            <xdr:nvGrpSpPr>
              <xdr:cNvPr id="29610" name="Group 938">
                <a:extLst>
                  <a:ext uri="{FF2B5EF4-FFF2-40B4-BE49-F238E27FC236}">
                    <a16:creationId xmlns:a16="http://schemas.microsoft.com/office/drawing/2014/main" id="{00000000-0008-0000-2000-0000AA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2" y="417"/>
                <a:ext cx="114" cy="99"/>
                <a:chOff x="129" y="361"/>
                <a:chExt cx="114" cy="99"/>
              </a:xfrm>
            </xdr:grpSpPr>
            <xdr:grpSp>
              <xdr:nvGrpSpPr>
                <xdr:cNvPr id="29611" name="Group 939">
                  <a:extLst>
                    <a:ext uri="{FF2B5EF4-FFF2-40B4-BE49-F238E27FC236}">
                      <a16:creationId xmlns:a16="http://schemas.microsoft.com/office/drawing/2014/main" id="{00000000-0008-0000-2000-0000AB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70" y="389"/>
                  <a:ext cx="73" cy="70"/>
                  <a:chOff x="357" y="324"/>
                  <a:chExt cx="73" cy="70"/>
                </a:xfrm>
              </xdr:grpSpPr>
              <xdr:sp macro="[0]!Макрос1а1" textlink="">
                <xdr:nvSpPr>
                  <xdr:cNvPr id="29612" name="Freeform 940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000-0000AC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357" y="324"/>
                    <a:ext cx="46" cy="70"/>
                  </a:xfrm>
                  <a:custGeom>
                    <a:avLst/>
                    <a:gdLst/>
                    <a:ahLst/>
                    <a:cxnLst>
                      <a:cxn ang="0">
                        <a:pos x="0" y="27"/>
                      </a:cxn>
                      <a:cxn ang="0">
                        <a:pos x="19" y="27"/>
                      </a:cxn>
                      <a:cxn ang="0">
                        <a:pos x="28" y="12"/>
                      </a:cxn>
                      <a:cxn ang="0">
                        <a:pos x="46" y="0"/>
                      </a:cxn>
                      <a:cxn ang="0">
                        <a:pos x="45" y="18"/>
                      </a:cxn>
                      <a:cxn ang="0">
                        <a:pos x="34" y="70"/>
                      </a:cxn>
                      <a:cxn ang="0">
                        <a:pos x="25" y="59"/>
                      </a:cxn>
                      <a:cxn ang="0">
                        <a:pos x="20" y="45"/>
                      </a:cxn>
                      <a:cxn ang="0">
                        <a:pos x="0" y="45"/>
                      </a:cxn>
                      <a:cxn ang="0">
                        <a:pos x="0" y="27"/>
                      </a:cxn>
                    </a:cxnLst>
                    <a:rect l="0" t="0" r="r" b="b"/>
                    <a:pathLst>
                      <a:path w="46" h="70">
                        <a:moveTo>
                          <a:pt x="0" y="27"/>
                        </a:moveTo>
                        <a:cubicBezTo>
                          <a:pt x="7" y="27"/>
                          <a:pt x="9" y="27"/>
                          <a:pt x="19" y="27"/>
                        </a:cubicBezTo>
                        <a:cubicBezTo>
                          <a:pt x="21" y="22"/>
                          <a:pt x="22" y="22"/>
                          <a:pt x="28" y="12"/>
                        </a:cubicBezTo>
                        <a:cubicBezTo>
                          <a:pt x="34" y="3"/>
                          <a:pt x="42" y="2"/>
                          <a:pt x="46" y="0"/>
                        </a:cubicBezTo>
                        <a:lnTo>
                          <a:pt x="45" y="18"/>
                        </a:lnTo>
                        <a:cubicBezTo>
                          <a:pt x="45" y="18"/>
                          <a:pt x="39" y="44"/>
                          <a:pt x="34" y="70"/>
                        </a:cubicBezTo>
                        <a:cubicBezTo>
                          <a:pt x="30" y="67"/>
                          <a:pt x="28" y="65"/>
                          <a:pt x="25" y="59"/>
                        </a:cubicBezTo>
                        <a:cubicBezTo>
                          <a:pt x="22" y="53"/>
                          <a:pt x="23" y="51"/>
                          <a:pt x="20" y="45"/>
                        </a:cubicBezTo>
                        <a:cubicBezTo>
                          <a:pt x="11" y="45"/>
                          <a:pt x="10" y="45"/>
                          <a:pt x="0" y="45"/>
                        </a:cubicBezTo>
                        <a:cubicBezTo>
                          <a:pt x="0" y="38"/>
                          <a:pt x="0" y="35"/>
                          <a:pt x="0" y="27"/>
                        </a:cubicBezTo>
                        <a:close/>
                      </a:path>
                    </a:pathLst>
                  </a:custGeom>
                  <a:noFill/>
                  <a:ln w="190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613" name="Freeform 941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000-0000AD73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357" y="324"/>
                    <a:ext cx="73" cy="70"/>
                  </a:xfrm>
                  <a:custGeom>
                    <a:avLst/>
                    <a:gdLst/>
                    <a:ahLst/>
                    <a:cxnLst>
                      <a:cxn ang="0">
                        <a:pos x="0" y="27"/>
                      </a:cxn>
                      <a:cxn ang="0">
                        <a:pos x="19" y="27"/>
                      </a:cxn>
                      <a:cxn ang="0">
                        <a:pos x="28" y="12"/>
                      </a:cxn>
                      <a:cxn ang="0">
                        <a:pos x="46" y="0"/>
                      </a:cxn>
                      <a:cxn ang="0">
                        <a:pos x="54" y="3"/>
                      </a:cxn>
                      <a:cxn ang="0">
                        <a:pos x="63" y="4"/>
                      </a:cxn>
                      <a:cxn ang="0">
                        <a:pos x="66" y="12"/>
                      </a:cxn>
                      <a:cxn ang="0">
                        <a:pos x="73" y="24"/>
                      </a:cxn>
                      <a:cxn ang="0">
                        <a:pos x="69" y="35"/>
                      </a:cxn>
                      <a:cxn ang="0">
                        <a:pos x="70" y="47"/>
                      </a:cxn>
                      <a:cxn ang="0">
                        <a:pos x="63" y="53"/>
                      </a:cxn>
                      <a:cxn ang="0">
                        <a:pos x="57" y="65"/>
                      </a:cxn>
                      <a:cxn ang="0">
                        <a:pos x="42" y="68"/>
                      </a:cxn>
                      <a:cxn ang="0">
                        <a:pos x="34" y="70"/>
                      </a:cxn>
                      <a:cxn ang="0">
                        <a:pos x="26" y="60"/>
                      </a:cxn>
                      <a:cxn ang="0">
                        <a:pos x="20" y="45"/>
                      </a:cxn>
                      <a:cxn ang="0">
                        <a:pos x="0" y="45"/>
                      </a:cxn>
                      <a:cxn ang="0">
                        <a:pos x="0" y="27"/>
                      </a:cxn>
                    </a:cxnLst>
                    <a:rect l="0" t="0" r="r" b="b"/>
                    <a:pathLst>
                      <a:path w="73" h="70">
                        <a:moveTo>
                          <a:pt x="0" y="27"/>
                        </a:moveTo>
                        <a:cubicBezTo>
                          <a:pt x="7" y="27"/>
                          <a:pt x="9" y="27"/>
                          <a:pt x="19" y="27"/>
                        </a:cubicBezTo>
                        <a:cubicBezTo>
                          <a:pt x="21" y="22"/>
                          <a:pt x="22" y="22"/>
                          <a:pt x="28" y="12"/>
                        </a:cubicBezTo>
                        <a:cubicBezTo>
                          <a:pt x="34" y="3"/>
                          <a:pt x="42" y="2"/>
                          <a:pt x="46" y="0"/>
                        </a:cubicBezTo>
                        <a:lnTo>
                          <a:pt x="54" y="3"/>
                        </a:lnTo>
                        <a:lnTo>
                          <a:pt x="63" y="4"/>
                        </a:lnTo>
                        <a:lnTo>
                          <a:pt x="66" y="12"/>
                        </a:lnTo>
                        <a:lnTo>
                          <a:pt x="73" y="24"/>
                        </a:lnTo>
                        <a:lnTo>
                          <a:pt x="69" y="35"/>
                        </a:lnTo>
                        <a:lnTo>
                          <a:pt x="70" y="47"/>
                        </a:lnTo>
                        <a:lnTo>
                          <a:pt x="63" y="53"/>
                        </a:lnTo>
                        <a:lnTo>
                          <a:pt x="57" y="65"/>
                        </a:lnTo>
                        <a:lnTo>
                          <a:pt x="42" y="68"/>
                        </a:lnTo>
                        <a:cubicBezTo>
                          <a:pt x="42" y="68"/>
                          <a:pt x="38" y="69"/>
                          <a:pt x="34" y="70"/>
                        </a:cubicBezTo>
                        <a:cubicBezTo>
                          <a:pt x="31" y="67"/>
                          <a:pt x="28" y="64"/>
                          <a:pt x="26" y="60"/>
                        </a:cubicBezTo>
                        <a:cubicBezTo>
                          <a:pt x="24" y="56"/>
                          <a:pt x="24" y="55"/>
                          <a:pt x="20" y="45"/>
                        </a:cubicBezTo>
                        <a:cubicBezTo>
                          <a:pt x="11" y="45"/>
                          <a:pt x="10" y="45"/>
                          <a:pt x="0" y="45"/>
                        </a:cubicBezTo>
                        <a:cubicBezTo>
                          <a:pt x="0" y="38"/>
                          <a:pt x="0" y="35"/>
                          <a:pt x="0" y="27"/>
                        </a:cubicBezTo>
                        <a:close/>
                      </a:path>
                    </a:pathLst>
                  </a:custGeom>
                  <a:pattFill prst="ltDn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63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29614" name="Group 942">
                  <a:extLst>
                    <a:ext uri="{FF2B5EF4-FFF2-40B4-BE49-F238E27FC236}">
                      <a16:creationId xmlns:a16="http://schemas.microsoft.com/office/drawing/2014/main" id="{00000000-0008-0000-2000-0000AE73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29" y="389"/>
                  <a:ext cx="38" cy="71"/>
                  <a:chOff x="157" y="171"/>
                  <a:chExt cx="38" cy="75"/>
                </a:xfrm>
              </xdr:grpSpPr>
              <xdr:sp macro="[0]!Макрос1а1" textlink="">
                <xdr:nvSpPr>
                  <xdr:cNvPr id="29615" name="Line 943">
                    <a:extLst>
                      <a:ext uri="{FF2B5EF4-FFF2-40B4-BE49-F238E27FC236}">
                        <a16:creationId xmlns:a16="http://schemas.microsoft.com/office/drawing/2014/main" id="{00000000-0008-0000-2000-0000AF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57" y="199"/>
                    <a:ext cx="38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616" name="Line 944">
                    <a:extLst>
                      <a:ext uri="{FF2B5EF4-FFF2-40B4-BE49-F238E27FC236}">
                        <a16:creationId xmlns:a16="http://schemas.microsoft.com/office/drawing/2014/main" id="{00000000-0008-0000-2000-0000B0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57" y="218"/>
                    <a:ext cx="38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617" name="Line 945">
                    <a:extLst>
                      <a:ext uri="{FF2B5EF4-FFF2-40B4-BE49-F238E27FC236}">
                        <a16:creationId xmlns:a16="http://schemas.microsoft.com/office/drawing/2014/main" id="{00000000-0008-0000-2000-0000B1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69" y="199"/>
                    <a:ext cx="0" cy="1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а1" textlink="">
                <xdr:nvSpPr>
                  <xdr:cNvPr id="29618" name="Line 946">
                    <a:extLst>
                      <a:ext uri="{FF2B5EF4-FFF2-40B4-BE49-F238E27FC236}">
                        <a16:creationId xmlns:a16="http://schemas.microsoft.com/office/drawing/2014/main" id="{00000000-0008-0000-2000-0000B2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169" y="171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а1" textlink="">
                <xdr:nvSpPr>
                  <xdr:cNvPr id="29619" name="Line 947">
                    <a:extLst>
                      <a:ext uri="{FF2B5EF4-FFF2-40B4-BE49-F238E27FC236}">
                        <a16:creationId xmlns:a16="http://schemas.microsoft.com/office/drawing/2014/main" id="{00000000-0008-0000-2000-0000B373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69" y="218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sp macro="[0]!Макрос1а1" textlink="">
              <xdr:nvSpPr>
                <xdr:cNvPr id="29620" name="Line 948">
                  <a:extLst>
                    <a:ext uri="{FF2B5EF4-FFF2-40B4-BE49-F238E27FC236}">
                      <a16:creationId xmlns:a16="http://schemas.microsoft.com/office/drawing/2014/main" id="{00000000-0008-0000-2000-0000B473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161" y="388"/>
                  <a:ext cx="53" cy="0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/>
                  <a:tailEnd/>
                </a:ln>
              </xdr:spPr>
            </xdr:sp>
            <xdr:sp macro="[0]!Макрос1а1" textlink="">
              <xdr:nvSpPr>
                <xdr:cNvPr id="29621" name="Line 949">
                  <a:extLst>
                    <a:ext uri="{FF2B5EF4-FFF2-40B4-BE49-F238E27FC236}">
                      <a16:creationId xmlns:a16="http://schemas.microsoft.com/office/drawing/2014/main" id="{00000000-0008-0000-2000-0000B573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144" y="388"/>
                  <a:ext cx="53" cy="0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/>
                  <a:tailEnd/>
                </a:ln>
              </xdr:spPr>
            </xdr:sp>
            <xdr:sp macro="[0]!Макрос1а1" textlink="">
              <xdr:nvSpPr>
                <xdr:cNvPr id="29622" name="Line 950">
                  <a:extLst>
                    <a:ext uri="{FF2B5EF4-FFF2-40B4-BE49-F238E27FC236}">
                      <a16:creationId xmlns:a16="http://schemas.microsoft.com/office/drawing/2014/main" id="{00000000-0008-0000-2000-0000B673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179" y="364"/>
                  <a:ext cx="0" cy="17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/>
                  <a:tailEnd/>
                </a:ln>
              </xdr:spPr>
            </xdr:sp>
            <xdr:sp macro="[0]!Макрос1а1" textlink="">
              <xdr:nvSpPr>
                <xdr:cNvPr id="29623" name="Line 951">
                  <a:extLst>
                    <a:ext uri="{FF2B5EF4-FFF2-40B4-BE49-F238E27FC236}">
                      <a16:creationId xmlns:a16="http://schemas.microsoft.com/office/drawing/2014/main" id="{00000000-0008-0000-2000-0000B773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 flipV="1">
                  <a:off x="201" y="359"/>
                  <a:ext cx="0" cy="27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 type="stealth" w="sm" len="lg"/>
                  <a:tailEnd/>
                </a:ln>
              </xdr:spPr>
            </xdr:sp>
            <xdr:sp macro="[0]!Макрос1а1" textlink="">
              <xdr:nvSpPr>
                <xdr:cNvPr id="29624" name="Line 952">
                  <a:extLst>
                    <a:ext uri="{FF2B5EF4-FFF2-40B4-BE49-F238E27FC236}">
                      <a16:creationId xmlns:a16="http://schemas.microsoft.com/office/drawing/2014/main" id="{00000000-0008-0000-2000-0000B873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157" y="359"/>
                  <a:ext cx="0" cy="27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 type="stealth" w="sm" len="lg"/>
                  <a:tailEnd/>
                </a:ln>
              </xdr:spPr>
            </xdr:sp>
          </xdr:grpSp>
          <xdr:grpSp>
            <xdr:nvGrpSpPr>
              <xdr:cNvPr id="29625" name="Group 953">
                <a:extLst>
                  <a:ext uri="{FF2B5EF4-FFF2-40B4-BE49-F238E27FC236}">
                    <a16:creationId xmlns:a16="http://schemas.microsoft.com/office/drawing/2014/main" id="{00000000-0008-0000-2000-0000B973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9" y="390"/>
                <a:ext cx="131" cy="102"/>
                <a:chOff x="89" y="390"/>
                <a:chExt cx="131" cy="102"/>
              </a:xfrm>
            </xdr:grpSpPr>
            <xdr:sp macro="[0]!Макрос1а1" textlink="">
              <xdr:nvSpPr>
                <xdr:cNvPr id="29626" name="Text Box 954">
                  <a:extLst>
                    <a:ext uri="{FF2B5EF4-FFF2-40B4-BE49-F238E27FC236}">
                      <a16:creationId xmlns:a16="http://schemas.microsoft.com/office/drawing/2014/main" id="{00000000-0008-0000-2000-0000BA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75" y="390"/>
                  <a:ext cx="45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1" i="0" u="sng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B - B</a:t>
                  </a:r>
                </a:p>
              </xdr:txBody>
            </xdr:sp>
            <xdr:sp macro="[0]!Макрос1а1" textlink="">
              <xdr:nvSpPr>
                <xdr:cNvPr id="29627" name="Text Box 955">
                  <a:extLst>
                    <a:ext uri="{FF2B5EF4-FFF2-40B4-BE49-F238E27FC236}">
                      <a16:creationId xmlns:a16="http://schemas.microsoft.com/office/drawing/2014/main" id="{00000000-0008-0000-2000-0000BB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47" y="400"/>
                  <a:ext cx="23" cy="28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h</a:t>
                  </a:r>
                  <a:r>
                    <a:rPr lang="en-US" sz="1200" b="0" i="0" u="none" strike="noStrike" baseline="-2500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1</a:t>
                  </a:r>
                </a:p>
              </xdr:txBody>
            </xdr:sp>
            <xdr:sp macro="[0]!Макрос1а1" textlink="">
              <xdr:nvSpPr>
                <xdr:cNvPr id="29628" name="Text Box 956">
                  <a:extLst>
                    <a:ext uri="{FF2B5EF4-FFF2-40B4-BE49-F238E27FC236}">
                      <a16:creationId xmlns:a16="http://schemas.microsoft.com/office/drawing/2014/main" id="{00000000-0008-0000-2000-0000BC73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89" y="471"/>
                  <a:ext cx="31" cy="21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vert="vert270" wrap="none" lIns="27432" tIns="22860" rIns="0" bIns="0" anchor="t" upright="1">
                  <a:spAutoFit/>
                </a:bodyPr>
                <a:lstStyle/>
                <a:p>
                  <a:pPr algn="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b</a:t>
                  </a:r>
                  <a:r>
                    <a:rPr lang="en-US" sz="1200" b="0" i="0" u="none" strike="noStrike" baseline="-2500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1</a:t>
                  </a:r>
                </a:p>
              </xdr:txBody>
            </xdr:sp>
          </xdr:grpSp>
        </xdr:grpSp>
      </xdr:grpSp>
    </xdr:grpSp>
    <xdr:clientData fPrintsWithSheet="0"/>
  </xdr:twoCellAnchor>
  <xdr:twoCellAnchor editAs="oneCell">
    <xdr:from>
      <xdr:col>0</xdr:col>
      <xdr:colOff>0</xdr:colOff>
      <xdr:row>34</xdr:row>
      <xdr:rowOff>47625</xdr:rowOff>
    </xdr:from>
    <xdr:to>
      <xdr:col>8</xdr:col>
      <xdr:colOff>209550</xdr:colOff>
      <xdr:row>54</xdr:row>
      <xdr:rowOff>142875</xdr:rowOff>
    </xdr:to>
    <xdr:grpSp>
      <xdr:nvGrpSpPr>
        <xdr:cNvPr id="31061" name="Group 1365">
          <a:extLst>
            <a:ext uri="{FF2B5EF4-FFF2-40B4-BE49-F238E27FC236}">
              <a16:creationId xmlns:a16="http://schemas.microsoft.com/office/drawing/2014/main" id="{00000000-0008-0000-2000-000055790000}"/>
            </a:ext>
          </a:extLst>
        </xdr:cNvPr>
        <xdr:cNvGrpSpPr>
          <a:grpSpLocks/>
        </xdr:cNvGrpSpPr>
      </xdr:nvGrpSpPr>
      <xdr:grpSpPr bwMode="auto">
        <a:xfrm>
          <a:off x="0" y="6353175"/>
          <a:ext cx="5353050" cy="3333750"/>
          <a:chOff x="28" y="661"/>
          <a:chExt cx="566" cy="350"/>
        </a:xfrm>
      </xdr:grpSpPr>
      <xdr:sp macro="[0]!Макрос1б1" textlink="">
        <xdr:nvSpPr>
          <xdr:cNvPr id="31060" name="Rectangle 1364">
            <a:extLst>
              <a:ext uri="{FF2B5EF4-FFF2-40B4-BE49-F238E27FC236}">
                <a16:creationId xmlns:a16="http://schemas.microsoft.com/office/drawing/2014/main" id="{00000000-0008-0000-2000-000054790000}"/>
              </a:ext>
            </a:extLst>
          </xdr:cNvPr>
          <xdr:cNvSpPr>
            <a:spLocks noChangeArrowheads="1"/>
          </xdr:cNvSpPr>
        </xdr:nvSpPr>
        <xdr:spPr bwMode="auto">
          <a:xfrm>
            <a:off x="28" y="661"/>
            <a:ext cx="566" cy="35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059" name="Group 1363">
            <a:extLst>
              <a:ext uri="{FF2B5EF4-FFF2-40B4-BE49-F238E27FC236}">
                <a16:creationId xmlns:a16="http://schemas.microsoft.com/office/drawing/2014/main" id="{00000000-0008-0000-2000-000053790000}"/>
              </a:ext>
            </a:extLst>
          </xdr:cNvPr>
          <xdr:cNvGrpSpPr>
            <a:grpSpLocks/>
          </xdr:cNvGrpSpPr>
        </xdr:nvGrpSpPr>
        <xdr:grpSpPr bwMode="auto">
          <a:xfrm>
            <a:off x="41" y="669"/>
            <a:ext cx="543" cy="334"/>
            <a:chOff x="41" y="669"/>
            <a:chExt cx="543" cy="334"/>
          </a:xfrm>
        </xdr:grpSpPr>
        <xdr:grpSp>
          <xdr:nvGrpSpPr>
            <xdr:cNvPr id="30848" name="Group 1152">
              <a:extLst>
                <a:ext uri="{FF2B5EF4-FFF2-40B4-BE49-F238E27FC236}">
                  <a16:creationId xmlns:a16="http://schemas.microsoft.com/office/drawing/2014/main" id="{00000000-0008-0000-2000-0000807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1" y="685"/>
              <a:ext cx="340" cy="192"/>
              <a:chOff x="276" y="230"/>
              <a:chExt cx="340" cy="192"/>
            </a:xfrm>
          </xdr:grpSpPr>
          <xdr:grpSp>
            <xdr:nvGrpSpPr>
              <xdr:cNvPr id="30849" name="Group 1153">
                <a:extLst>
                  <a:ext uri="{FF2B5EF4-FFF2-40B4-BE49-F238E27FC236}">
                    <a16:creationId xmlns:a16="http://schemas.microsoft.com/office/drawing/2014/main" id="{00000000-0008-0000-2000-00008178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276" y="230"/>
                <a:ext cx="317" cy="192"/>
                <a:chOff x="276" y="230"/>
                <a:chExt cx="317" cy="192"/>
              </a:xfrm>
            </xdr:grpSpPr>
            <xdr:grpSp>
              <xdr:nvGrpSpPr>
                <xdr:cNvPr id="30850" name="Group 1154">
                  <a:extLst>
                    <a:ext uri="{FF2B5EF4-FFF2-40B4-BE49-F238E27FC236}">
                      <a16:creationId xmlns:a16="http://schemas.microsoft.com/office/drawing/2014/main" id="{00000000-0008-0000-2000-00008278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276" y="277"/>
                  <a:ext cx="317" cy="102"/>
                  <a:chOff x="276" y="277"/>
                  <a:chExt cx="317" cy="102"/>
                </a:xfrm>
              </xdr:grpSpPr>
              <xdr:grpSp>
                <xdr:nvGrpSpPr>
                  <xdr:cNvPr id="30851" name="Group 1155">
                    <a:extLst>
                      <a:ext uri="{FF2B5EF4-FFF2-40B4-BE49-F238E27FC236}">
                        <a16:creationId xmlns:a16="http://schemas.microsoft.com/office/drawing/2014/main" id="{00000000-0008-0000-2000-000083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282" y="277"/>
                    <a:ext cx="307" cy="102"/>
                    <a:chOff x="86" y="187"/>
                    <a:chExt cx="307" cy="102"/>
                  </a:xfrm>
                </xdr:grpSpPr>
                <xdr:sp macro="[0]!Макрос1б1" textlink="">
                  <xdr:nvSpPr>
                    <xdr:cNvPr id="30852" name="Freeform 1156">
                      <a:extLst>
                        <a:ext uri="{FF2B5EF4-FFF2-40B4-BE49-F238E27FC236}">
                          <a16:creationId xmlns:a16="http://schemas.microsoft.com/office/drawing/2014/main" id="{00000000-0008-0000-2000-00008478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1" y="187"/>
                      <a:ext cx="302" cy="102"/>
                    </a:xfrm>
                    <a:custGeom>
                      <a:avLst/>
                      <a:gdLst/>
                      <a:ahLst/>
                      <a:cxnLst>
                        <a:cxn ang="0">
                          <a:pos x="7" y="0"/>
                        </a:cxn>
                        <a:cxn ang="0">
                          <a:pos x="298" y="1"/>
                        </a:cxn>
                        <a:cxn ang="0">
                          <a:pos x="295" y="21"/>
                        </a:cxn>
                        <a:cxn ang="0">
                          <a:pos x="286" y="41"/>
                        </a:cxn>
                        <a:cxn ang="0">
                          <a:pos x="293" y="57"/>
                        </a:cxn>
                        <a:cxn ang="0">
                          <a:pos x="297" y="72"/>
                        </a:cxn>
                        <a:cxn ang="0">
                          <a:pos x="302" y="84"/>
                        </a:cxn>
                        <a:cxn ang="0">
                          <a:pos x="298" y="93"/>
                        </a:cxn>
                        <a:cxn ang="0">
                          <a:pos x="296" y="104"/>
                        </a:cxn>
                        <a:cxn ang="0">
                          <a:pos x="13" y="104"/>
                        </a:cxn>
                        <a:cxn ang="0">
                          <a:pos x="13" y="92"/>
                        </a:cxn>
                        <a:cxn ang="0">
                          <a:pos x="10" y="81"/>
                        </a:cxn>
                        <a:cxn ang="0">
                          <a:pos x="10" y="71"/>
                        </a:cxn>
                        <a:cxn ang="0">
                          <a:pos x="1" y="59"/>
                        </a:cxn>
                        <a:cxn ang="0">
                          <a:pos x="1" y="36"/>
                        </a:cxn>
                        <a:cxn ang="0">
                          <a:pos x="4" y="23"/>
                        </a:cxn>
                        <a:cxn ang="0">
                          <a:pos x="8" y="10"/>
                        </a:cxn>
                        <a:cxn ang="0">
                          <a:pos x="7" y="0"/>
                        </a:cxn>
                      </a:cxnLst>
                      <a:rect l="0" t="0" r="r" b="b"/>
                      <a:pathLst>
                        <a:path w="302" h="104">
                          <a:moveTo>
                            <a:pt x="7" y="0"/>
                          </a:moveTo>
                          <a:cubicBezTo>
                            <a:pt x="17" y="0"/>
                            <a:pt x="297" y="1"/>
                            <a:pt x="298" y="1"/>
                          </a:cubicBezTo>
                          <a:cubicBezTo>
                            <a:pt x="298" y="20"/>
                            <a:pt x="295" y="10"/>
                            <a:pt x="295" y="21"/>
                          </a:cubicBezTo>
                          <a:cubicBezTo>
                            <a:pt x="288" y="29"/>
                            <a:pt x="289" y="28"/>
                            <a:pt x="286" y="41"/>
                          </a:cubicBezTo>
                          <a:cubicBezTo>
                            <a:pt x="288" y="46"/>
                            <a:pt x="292" y="48"/>
                            <a:pt x="293" y="57"/>
                          </a:cubicBezTo>
                          <a:cubicBezTo>
                            <a:pt x="292" y="64"/>
                            <a:pt x="294" y="64"/>
                            <a:pt x="297" y="72"/>
                          </a:cubicBezTo>
                          <a:cubicBezTo>
                            <a:pt x="300" y="80"/>
                            <a:pt x="299" y="77"/>
                            <a:pt x="302" y="84"/>
                          </a:cubicBezTo>
                          <a:cubicBezTo>
                            <a:pt x="301" y="94"/>
                            <a:pt x="302" y="89"/>
                            <a:pt x="298" y="93"/>
                          </a:cubicBezTo>
                          <a:cubicBezTo>
                            <a:pt x="297" y="101"/>
                            <a:pt x="296" y="94"/>
                            <a:pt x="296" y="104"/>
                          </a:cubicBezTo>
                          <a:cubicBezTo>
                            <a:pt x="273" y="104"/>
                            <a:pt x="64" y="104"/>
                            <a:pt x="13" y="104"/>
                          </a:cubicBezTo>
                          <a:cubicBezTo>
                            <a:pt x="13" y="94"/>
                            <a:pt x="13" y="96"/>
                            <a:pt x="13" y="92"/>
                          </a:cubicBezTo>
                          <a:cubicBezTo>
                            <a:pt x="13" y="88"/>
                            <a:pt x="10" y="84"/>
                            <a:pt x="10" y="81"/>
                          </a:cubicBezTo>
                          <a:cubicBezTo>
                            <a:pt x="14" y="75"/>
                            <a:pt x="7" y="77"/>
                            <a:pt x="10" y="71"/>
                          </a:cubicBezTo>
                          <a:cubicBezTo>
                            <a:pt x="13" y="62"/>
                            <a:pt x="1" y="59"/>
                            <a:pt x="1" y="59"/>
                          </a:cubicBezTo>
                          <a:cubicBezTo>
                            <a:pt x="1" y="49"/>
                            <a:pt x="2" y="44"/>
                            <a:pt x="1" y="36"/>
                          </a:cubicBezTo>
                          <a:cubicBezTo>
                            <a:pt x="0" y="28"/>
                            <a:pt x="8" y="25"/>
                            <a:pt x="4" y="23"/>
                          </a:cubicBezTo>
                          <a:cubicBezTo>
                            <a:pt x="8" y="15"/>
                            <a:pt x="8" y="10"/>
                            <a:pt x="8" y="10"/>
                          </a:cubicBezTo>
                          <a:cubicBezTo>
                            <a:pt x="8" y="6"/>
                            <a:pt x="7" y="0"/>
                            <a:pt x="7" y="0"/>
                          </a:cubicBez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 cap="flat" cmpd="sng">
                      <a:noFill/>
                      <a:prstDash val="solid"/>
                      <a:round/>
                      <a:headEnd/>
                      <a:tailEnd/>
                    </a:ln>
                  </xdr:spPr>
                </xdr:sp>
                <xdr:grpSp>
                  <xdr:nvGrpSpPr>
                    <xdr:cNvPr id="30853" name="Group 1157">
                      <a:extLst>
                        <a:ext uri="{FF2B5EF4-FFF2-40B4-BE49-F238E27FC236}">
                          <a16:creationId xmlns:a16="http://schemas.microsoft.com/office/drawing/2014/main" id="{00000000-0008-0000-2000-000085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V="1">
                      <a:off x="103" y="231"/>
                      <a:ext cx="56" cy="58"/>
                      <a:chOff x="345" y="51"/>
                      <a:chExt cx="56" cy="59"/>
                    </a:xfrm>
                  </xdr:grpSpPr>
                  <xdr:sp macro="[0]!Макрос1б1" textlink="">
                    <xdr:nvSpPr>
                      <xdr:cNvPr id="30854" name="Arc 1158">
                        <a:extLst>
                          <a:ext uri="{FF2B5EF4-FFF2-40B4-BE49-F238E27FC236}">
                            <a16:creationId xmlns:a16="http://schemas.microsoft.com/office/drawing/2014/main" id="{00000000-0008-0000-2000-00008678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855" name="Arc 1159">
                        <a:extLst>
                          <a:ext uri="{FF2B5EF4-FFF2-40B4-BE49-F238E27FC236}">
                            <a16:creationId xmlns:a16="http://schemas.microsoft.com/office/drawing/2014/main" id="{00000000-0008-0000-2000-00008778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856" name="Arc 1160">
                        <a:extLst>
                          <a:ext uri="{FF2B5EF4-FFF2-40B4-BE49-F238E27FC236}">
                            <a16:creationId xmlns:a16="http://schemas.microsoft.com/office/drawing/2014/main" id="{00000000-0008-0000-2000-00008878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30857" name="Group 1161">
                      <a:extLst>
                        <a:ext uri="{FF2B5EF4-FFF2-40B4-BE49-F238E27FC236}">
                          <a16:creationId xmlns:a16="http://schemas.microsoft.com/office/drawing/2014/main" id="{00000000-0008-0000-2000-000089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94" y="188"/>
                      <a:ext cx="56" cy="57"/>
                      <a:chOff x="345" y="51"/>
                      <a:chExt cx="56" cy="59"/>
                    </a:xfrm>
                  </xdr:grpSpPr>
                  <xdr:sp macro="[0]!Макрос1б1" textlink="">
                    <xdr:nvSpPr>
                      <xdr:cNvPr id="30858" name="Arc 1162">
                        <a:extLst>
                          <a:ext uri="{FF2B5EF4-FFF2-40B4-BE49-F238E27FC236}">
                            <a16:creationId xmlns:a16="http://schemas.microsoft.com/office/drawing/2014/main" id="{00000000-0008-0000-2000-00008A78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2" y="44"/>
                        <a:ext cx="42" cy="56"/>
                      </a:xfrm>
                      <a:custGeom>
                        <a:avLst/>
                        <a:gdLst>
                          <a:gd name="G0" fmla="+- 305 0 0"/>
                          <a:gd name="G1" fmla="+- 21600 0 0"/>
                          <a:gd name="G2" fmla="+- 21600 0 0"/>
                          <a:gd name="T0" fmla="*/ 0 w 21905"/>
                          <a:gd name="T1" fmla="*/ 2 h 38798"/>
                          <a:gd name="T2" fmla="*/ 13373 w 21905"/>
                          <a:gd name="T3" fmla="*/ 38798 h 38798"/>
                          <a:gd name="T4" fmla="*/ 305 w 21905"/>
                          <a:gd name="T5" fmla="*/ 21600 h 38798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905" h="38798" fill="none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</a:path>
                          <a:path w="21905" h="38798" stroke="0" extrusionOk="0">
                            <a:moveTo>
                              <a:pt x="0" y="2"/>
                            </a:moveTo>
                            <a:cubicBezTo>
                              <a:pt x="101" y="0"/>
                              <a:pt x="203" y="-1"/>
                              <a:pt x="305" y="0"/>
                            </a:cubicBezTo>
                            <a:cubicBezTo>
                              <a:pt x="12234" y="0"/>
                              <a:pt x="21905" y="9670"/>
                              <a:pt x="21905" y="21600"/>
                            </a:cubicBezTo>
                            <a:cubicBezTo>
                              <a:pt x="21905" y="28351"/>
                              <a:pt x="18748" y="34713"/>
                              <a:pt x="13373" y="38798"/>
                            </a:cubicBezTo>
                            <a:lnTo>
                              <a:pt x="305" y="21600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859" name="Arc 1163">
                        <a:extLst>
                          <a:ext uri="{FF2B5EF4-FFF2-40B4-BE49-F238E27FC236}">
                            <a16:creationId xmlns:a16="http://schemas.microsoft.com/office/drawing/2014/main" id="{00000000-0008-0000-2000-00008B78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46" y="58"/>
                        <a:ext cx="44" cy="31"/>
                      </a:xfrm>
                      <a:custGeom>
                        <a:avLst/>
                        <a:gdLst>
                          <a:gd name="G0" fmla="+- 0 0 0"/>
                          <a:gd name="G1" fmla="+- 21541 0 0"/>
                          <a:gd name="G2" fmla="+- 21600 0 0"/>
                          <a:gd name="T0" fmla="*/ 1594 w 21296"/>
                          <a:gd name="T1" fmla="*/ 0 h 21541"/>
                          <a:gd name="T2" fmla="*/ 21296 w 21296"/>
                          <a:gd name="T3" fmla="*/ 17927 h 21541"/>
                          <a:gd name="T4" fmla="*/ 0 w 21296"/>
                          <a:gd name="T5" fmla="*/ 21541 h 21541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296" h="21541" fill="none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</a:path>
                          <a:path w="21296" h="21541" stroke="0" extrusionOk="0">
                            <a:moveTo>
                              <a:pt x="1594" y="-1"/>
                            </a:moveTo>
                            <a:cubicBezTo>
                              <a:pt x="11502" y="733"/>
                              <a:pt x="19633" y="8131"/>
                              <a:pt x="21295" y="17927"/>
                            </a:cubicBezTo>
                            <a:lnTo>
                              <a:pt x="0" y="21541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860" name="Arc 1164">
                        <a:extLst>
                          <a:ext uri="{FF2B5EF4-FFF2-40B4-BE49-F238E27FC236}">
                            <a16:creationId xmlns:a16="http://schemas.microsoft.com/office/drawing/2014/main" id="{00000000-0008-0000-2000-00008C78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 rot="5400000" flipH="1" flipV="1">
                        <a:off x="353" y="63"/>
                        <a:ext cx="47" cy="48"/>
                      </a:xfrm>
                      <a:custGeom>
                        <a:avLst/>
                        <a:gdLst>
                          <a:gd name="G0" fmla="+- 0 0 0"/>
                          <a:gd name="G1" fmla="+- 19985 0 0"/>
                          <a:gd name="G2" fmla="+- 21600 0 0"/>
                          <a:gd name="T0" fmla="*/ 8194 w 21600"/>
                          <a:gd name="T1" fmla="*/ 0 h 30084"/>
                          <a:gd name="T2" fmla="*/ 19094 w 21600"/>
                          <a:gd name="T3" fmla="*/ 30084 h 30084"/>
                          <a:gd name="T4" fmla="*/ 0 w 21600"/>
                          <a:gd name="T5" fmla="*/ 19985 h 30084"/>
                        </a:gdLst>
                        <a:ahLst/>
                        <a:cxnLst>
                          <a:cxn ang="0">
                            <a:pos x="T0" y="T1"/>
                          </a:cxn>
                          <a:cxn ang="0">
                            <a:pos x="T2" y="T3"/>
                          </a:cxn>
                          <a:cxn ang="0">
                            <a:pos x="T4" y="T5"/>
                          </a:cxn>
                        </a:cxnLst>
                        <a:rect l="0" t="0" r="r" b="b"/>
                        <a:pathLst>
                          <a:path w="21600" h="30084" fill="none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</a:path>
                          <a:path w="21600" h="30084" stroke="0" extrusionOk="0">
                            <a:moveTo>
                              <a:pt x="8194" y="-1"/>
                            </a:moveTo>
                            <a:cubicBezTo>
                              <a:pt x="16303" y="3324"/>
                              <a:pt x="21600" y="11220"/>
                              <a:pt x="21600" y="19985"/>
                            </a:cubicBezTo>
                            <a:cubicBezTo>
                              <a:pt x="21600" y="23505"/>
                              <a:pt x="20739" y="26972"/>
                              <a:pt x="19093" y="30083"/>
                            </a:cubicBezTo>
                            <a:lnTo>
                              <a:pt x="0" y="19985"/>
                            </a:lnTo>
                            <a:close/>
                          </a:path>
                        </a:pathLst>
                      </a:cu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30861" name="Group 1165">
                      <a:extLst>
                        <a:ext uri="{FF2B5EF4-FFF2-40B4-BE49-F238E27FC236}">
                          <a16:creationId xmlns:a16="http://schemas.microsoft.com/office/drawing/2014/main" id="{00000000-0008-0000-2000-00008D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40" y="188"/>
                      <a:ext cx="65" cy="101"/>
                      <a:chOff x="94" y="188"/>
                      <a:chExt cx="65" cy="103"/>
                    </a:xfrm>
                  </xdr:grpSpPr>
                  <xdr:grpSp>
                    <xdr:nvGrpSpPr>
                      <xdr:cNvPr id="30862" name="Group 1166">
                        <a:extLst>
                          <a:ext uri="{FF2B5EF4-FFF2-40B4-BE49-F238E27FC236}">
                            <a16:creationId xmlns:a16="http://schemas.microsoft.com/office/drawing/2014/main" id="{00000000-0008-0000-2000-00008E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 flipV="1">
                        <a:off x="103" y="232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63" name="Arc 1167">
                          <a:extLst>
                            <a:ext uri="{FF2B5EF4-FFF2-40B4-BE49-F238E27FC236}">
                              <a16:creationId xmlns:a16="http://schemas.microsoft.com/office/drawing/2014/main" id="{00000000-0008-0000-2000-00008F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64" name="Arc 1168">
                          <a:extLst>
                            <a:ext uri="{FF2B5EF4-FFF2-40B4-BE49-F238E27FC236}">
                              <a16:creationId xmlns:a16="http://schemas.microsoft.com/office/drawing/2014/main" id="{00000000-0008-0000-2000-000090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65" name="Arc 1169">
                          <a:extLst>
                            <a:ext uri="{FF2B5EF4-FFF2-40B4-BE49-F238E27FC236}">
                              <a16:creationId xmlns:a16="http://schemas.microsoft.com/office/drawing/2014/main" id="{00000000-0008-0000-2000-000091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  <xdr:grpSp>
                    <xdr:nvGrpSpPr>
                      <xdr:cNvPr id="30866" name="Group 1170">
                        <a:extLst>
                          <a:ext uri="{FF2B5EF4-FFF2-40B4-BE49-F238E27FC236}">
                            <a16:creationId xmlns:a16="http://schemas.microsoft.com/office/drawing/2014/main" id="{00000000-0008-0000-2000-000092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94" y="188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67" name="Arc 1171">
                          <a:extLst>
                            <a:ext uri="{FF2B5EF4-FFF2-40B4-BE49-F238E27FC236}">
                              <a16:creationId xmlns:a16="http://schemas.microsoft.com/office/drawing/2014/main" id="{00000000-0008-0000-2000-000093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68" name="Arc 1172">
                          <a:extLst>
                            <a:ext uri="{FF2B5EF4-FFF2-40B4-BE49-F238E27FC236}">
                              <a16:creationId xmlns:a16="http://schemas.microsoft.com/office/drawing/2014/main" id="{00000000-0008-0000-2000-000094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69" name="Arc 1173">
                          <a:extLst>
                            <a:ext uri="{FF2B5EF4-FFF2-40B4-BE49-F238E27FC236}">
                              <a16:creationId xmlns:a16="http://schemas.microsoft.com/office/drawing/2014/main" id="{00000000-0008-0000-2000-000095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</xdr:grpSp>
                <xdr:grpSp>
                  <xdr:nvGrpSpPr>
                    <xdr:cNvPr id="30870" name="Group 1174">
                      <a:extLst>
                        <a:ext uri="{FF2B5EF4-FFF2-40B4-BE49-F238E27FC236}">
                          <a16:creationId xmlns:a16="http://schemas.microsoft.com/office/drawing/2014/main" id="{00000000-0008-0000-2000-000096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87" y="188"/>
                      <a:ext cx="65" cy="101"/>
                      <a:chOff x="94" y="188"/>
                      <a:chExt cx="65" cy="103"/>
                    </a:xfrm>
                  </xdr:grpSpPr>
                  <xdr:grpSp>
                    <xdr:nvGrpSpPr>
                      <xdr:cNvPr id="30871" name="Group 1175">
                        <a:extLst>
                          <a:ext uri="{FF2B5EF4-FFF2-40B4-BE49-F238E27FC236}">
                            <a16:creationId xmlns:a16="http://schemas.microsoft.com/office/drawing/2014/main" id="{00000000-0008-0000-2000-000097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 flipV="1">
                        <a:off x="103" y="232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72" name="Arc 1176">
                          <a:extLst>
                            <a:ext uri="{FF2B5EF4-FFF2-40B4-BE49-F238E27FC236}">
                              <a16:creationId xmlns:a16="http://schemas.microsoft.com/office/drawing/2014/main" id="{00000000-0008-0000-2000-000098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73" name="Arc 1177">
                          <a:extLst>
                            <a:ext uri="{FF2B5EF4-FFF2-40B4-BE49-F238E27FC236}">
                              <a16:creationId xmlns:a16="http://schemas.microsoft.com/office/drawing/2014/main" id="{00000000-0008-0000-2000-000099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74" name="Arc 1178">
                          <a:extLst>
                            <a:ext uri="{FF2B5EF4-FFF2-40B4-BE49-F238E27FC236}">
                              <a16:creationId xmlns:a16="http://schemas.microsoft.com/office/drawing/2014/main" id="{00000000-0008-0000-2000-00009A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  <xdr:grpSp>
                    <xdr:nvGrpSpPr>
                      <xdr:cNvPr id="30875" name="Group 1179">
                        <a:extLst>
                          <a:ext uri="{FF2B5EF4-FFF2-40B4-BE49-F238E27FC236}">
                            <a16:creationId xmlns:a16="http://schemas.microsoft.com/office/drawing/2014/main" id="{00000000-0008-0000-2000-00009B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94" y="188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76" name="Arc 1180">
                          <a:extLst>
                            <a:ext uri="{FF2B5EF4-FFF2-40B4-BE49-F238E27FC236}">
                              <a16:creationId xmlns:a16="http://schemas.microsoft.com/office/drawing/2014/main" id="{00000000-0008-0000-2000-00009C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77" name="Arc 1181">
                          <a:extLst>
                            <a:ext uri="{FF2B5EF4-FFF2-40B4-BE49-F238E27FC236}">
                              <a16:creationId xmlns:a16="http://schemas.microsoft.com/office/drawing/2014/main" id="{00000000-0008-0000-2000-00009D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78" name="Arc 1182">
                          <a:extLst>
                            <a:ext uri="{FF2B5EF4-FFF2-40B4-BE49-F238E27FC236}">
                              <a16:creationId xmlns:a16="http://schemas.microsoft.com/office/drawing/2014/main" id="{00000000-0008-0000-2000-00009E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</xdr:grpSp>
                <xdr:grpSp>
                  <xdr:nvGrpSpPr>
                    <xdr:cNvPr id="30879" name="Group 1183">
                      <a:extLst>
                        <a:ext uri="{FF2B5EF4-FFF2-40B4-BE49-F238E27FC236}">
                          <a16:creationId xmlns:a16="http://schemas.microsoft.com/office/drawing/2014/main" id="{00000000-0008-0000-2000-00009F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34" y="188"/>
                      <a:ext cx="65" cy="101"/>
                      <a:chOff x="94" y="188"/>
                      <a:chExt cx="65" cy="103"/>
                    </a:xfrm>
                  </xdr:grpSpPr>
                  <xdr:grpSp>
                    <xdr:nvGrpSpPr>
                      <xdr:cNvPr id="30880" name="Group 1184">
                        <a:extLst>
                          <a:ext uri="{FF2B5EF4-FFF2-40B4-BE49-F238E27FC236}">
                            <a16:creationId xmlns:a16="http://schemas.microsoft.com/office/drawing/2014/main" id="{00000000-0008-0000-2000-0000A0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 flipV="1">
                        <a:off x="103" y="232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81" name="Arc 1185">
                          <a:extLst>
                            <a:ext uri="{FF2B5EF4-FFF2-40B4-BE49-F238E27FC236}">
                              <a16:creationId xmlns:a16="http://schemas.microsoft.com/office/drawing/2014/main" id="{00000000-0008-0000-2000-0000A1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82" name="Arc 1186">
                          <a:extLst>
                            <a:ext uri="{FF2B5EF4-FFF2-40B4-BE49-F238E27FC236}">
                              <a16:creationId xmlns:a16="http://schemas.microsoft.com/office/drawing/2014/main" id="{00000000-0008-0000-2000-0000A2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83" name="Arc 1187">
                          <a:extLst>
                            <a:ext uri="{FF2B5EF4-FFF2-40B4-BE49-F238E27FC236}">
                              <a16:creationId xmlns:a16="http://schemas.microsoft.com/office/drawing/2014/main" id="{00000000-0008-0000-2000-0000A3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  <xdr:grpSp>
                    <xdr:nvGrpSpPr>
                      <xdr:cNvPr id="30884" name="Group 1188">
                        <a:extLst>
                          <a:ext uri="{FF2B5EF4-FFF2-40B4-BE49-F238E27FC236}">
                            <a16:creationId xmlns:a16="http://schemas.microsoft.com/office/drawing/2014/main" id="{00000000-0008-0000-2000-0000A4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94" y="188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85" name="Arc 1189">
                          <a:extLst>
                            <a:ext uri="{FF2B5EF4-FFF2-40B4-BE49-F238E27FC236}">
                              <a16:creationId xmlns:a16="http://schemas.microsoft.com/office/drawing/2014/main" id="{00000000-0008-0000-2000-0000A5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86" name="Arc 1190">
                          <a:extLst>
                            <a:ext uri="{FF2B5EF4-FFF2-40B4-BE49-F238E27FC236}">
                              <a16:creationId xmlns:a16="http://schemas.microsoft.com/office/drawing/2014/main" id="{00000000-0008-0000-2000-0000A6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87" name="Arc 1191">
                          <a:extLst>
                            <a:ext uri="{FF2B5EF4-FFF2-40B4-BE49-F238E27FC236}">
                              <a16:creationId xmlns:a16="http://schemas.microsoft.com/office/drawing/2014/main" id="{00000000-0008-0000-2000-0000A7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</xdr:grpSp>
                <xdr:grpSp>
                  <xdr:nvGrpSpPr>
                    <xdr:cNvPr id="30888" name="Group 1192">
                      <a:extLst>
                        <a:ext uri="{FF2B5EF4-FFF2-40B4-BE49-F238E27FC236}">
                          <a16:creationId xmlns:a16="http://schemas.microsoft.com/office/drawing/2014/main" id="{00000000-0008-0000-2000-0000A8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81" y="188"/>
                      <a:ext cx="65" cy="101"/>
                      <a:chOff x="94" y="188"/>
                      <a:chExt cx="65" cy="103"/>
                    </a:xfrm>
                  </xdr:grpSpPr>
                  <xdr:grpSp>
                    <xdr:nvGrpSpPr>
                      <xdr:cNvPr id="30889" name="Group 1193">
                        <a:extLst>
                          <a:ext uri="{FF2B5EF4-FFF2-40B4-BE49-F238E27FC236}">
                            <a16:creationId xmlns:a16="http://schemas.microsoft.com/office/drawing/2014/main" id="{00000000-0008-0000-2000-0000A9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 flipV="1">
                        <a:off x="103" y="232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90" name="Arc 1194">
                          <a:extLst>
                            <a:ext uri="{FF2B5EF4-FFF2-40B4-BE49-F238E27FC236}">
                              <a16:creationId xmlns:a16="http://schemas.microsoft.com/office/drawing/2014/main" id="{00000000-0008-0000-2000-0000AA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91" name="Arc 1195">
                          <a:extLst>
                            <a:ext uri="{FF2B5EF4-FFF2-40B4-BE49-F238E27FC236}">
                              <a16:creationId xmlns:a16="http://schemas.microsoft.com/office/drawing/2014/main" id="{00000000-0008-0000-2000-0000AB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92" name="Arc 1196">
                          <a:extLst>
                            <a:ext uri="{FF2B5EF4-FFF2-40B4-BE49-F238E27FC236}">
                              <a16:creationId xmlns:a16="http://schemas.microsoft.com/office/drawing/2014/main" id="{00000000-0008-0000-2000-0000AC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  <xdr:grpSp>
                    <xdr:nvGrpSpPr>
                      <xdr:cNvPr id="30893" name="Group 1197">
                        <a:extLst>
                          <a:ext uri="{FF2B5EF4-FFF2-40B4-BE49-F238E27FC236}">
                            <a16:creationId xmlns:a16="http://schemas.microsoft.com/office/drawing/2014/main" id="{00000000-0008-0000-2000-0000AD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94" y="188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94" name="Arc 1198">
                          <a:extLst>
                            <a:ext uri="{FF2B5EF4-FFF2-40B4-BE49-F238E27FC236}">
                              <a16:creationId xmlns:a16="http://schemas.microsoft.com/office/drawing/2014/main" id="{00000000-0008-0000-2000-0000AE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95" name="Arc 1199">
                          <a:extLst>
                            <a:ext uri="{FF2B5EF4-FFF2-40B4-BE49-F238E27FC236}">
                              <a16:creationId xmlns:a16="http://schemas.microsoft.com/office/drawing/2014/main" id="{00000000-0008-0000-2000-0000AF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896" name="Arc 1200">
                          <a:extLst>
                            <a:ext uri="{FF2B5EF4-FFF2-40B4-BE49-F238E27FC236}">
                              <a16:creationId xmlns:a16="http://schemas.microsoft.com/office/drawing/2014/main" id="{00000000-0008-0000-2000-0000B0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</xdr:grpSp>
                <xdr:grpSp>
                  <xdr:nvGrpSpPr>
                    <xdr:cNvPr id="30897" name="Group 1201">
                      <a:extLst>
                        <a:ext uri="{FF2B5EF4-FFF2-40B4-BE49-F238E27FC236}">
                          <a16:creationId xmlns:a16="http://schemas.microsoft.com/office/drawing/2014/main" id="{00000000-0008-0000-2000-0000B1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328" y="188"/>
                      <a:ext cx="65" cy="101"/>
                      <a:chOff x="94" y="188"/>
                      <a:chExt cx="65" cy="103"/>
                    </a:xfrm>
                  </xdr:grpSpPr>
                  <xdr:grpSp>
                    <xdr:nvGrpSpPr>
                      <xdr:cNvPr id="30898" name="Group 1202">
                        <a:extLst>
                          <a:ext uri="{FF2B5EF4-FFF2-40B4-BE49-F238E27FC236}">
                            <a16:creationId xmlns:a16="http://schemas.microsoft.com/office/drawing/2014/main" id="{00000000-0008-0000-2000-0000B2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 flipV="1">
                        <a:off x="103" y="232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899" name="Arc 1203">
                          <a:extLst>
                            <a:ext uri="{FF2B5EF4-FFF2-40B4-BE49-F238E27FC236}">
                              <a16:creationId xmlns:a16="http://schemas.microsoft.com/office/drawing/2014/main" id="{00000000-0008-0000-2000-0000B3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900" name="Arc 1204">
                          <a:extLst>
                            <a:ext uri="{FF2B5EF4-FFF2-40B4-BE49-F238E27FC236}">
                              <a16:creationId xmlns:a16="http://schemas.microsoft.com/office/drawing/2014/main" id="{00000000-0008-0000-2000-0000B4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901" name="Arc 1205">
                          <a:extLst>
                            <a:ext uri="{FF2B5EF4-FFF2-40B4-BE49-F238E27FC236}">
                              <a16:creationId xmlns:a16="http://schemas.microsoft.com/office/drawing/2014/main" id="{00000000-0008-0000-2000-0000B5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  <xdr:grpSp>
                    <xdr:nvGrpSpPr>
                      <xdr:cNvPr id="30902" name="Group 1206">
                        <a:extLst>
                          <a:ext uri="{FF2B5EF4-FFF2-40B4-BE49-F238E27FC236}">
                            <a16:creationId xmlns:a16="http://schemas.microsoft.com/office/drawing/2014/main" id="{00000000-0008-0000-2000-0000B678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94" y="188"/>
                        <a:ext cx="56" cy="59"/>
                        <a:chOff x="345" y="51"/>
                        <a:chExt cx="56" cy="59"/>
                      </a:xfrm>
                    </xdr:grpSpPr>
                    <xdr:sp macro="[0]!Макрос1б1" textlink="">
                      <xdr:nvSpPr>
                        <xdr:cNvPr id="30903" name="Arc 1207">
                          <a:extLst>
                            <a:ext uri="{FF2B5EF4-FFF2-40B4-BE49-F238E27FC236}">
                              <a16:creationId xmlns:a16="http://schemas.microsoft.com/office/drawing/2014/main" id="{00000000-0008-0000-2000-0000B7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2" y="44"/>
                          <a:ext cx="42" cy="56"/>
                        </a:xfrm>
                        <a:custGeom>
                          <a:avLst/>
                          <a:gdLst>
                            <a:gd name="G0" fmla="+- 305 0 0"/>
                            <a:gd name="G1" fmla="+- 21600 0 0"/>
                            <a:gd name="G2" fmla="+- 21600 0 0"/>
                            <a:gd name="T0" fmla="*/ 0 w 21905"/>
                            <a:gd name="T1" fmla="*/ 2 h 38798"/>
                            <a:gd name="T2" fmla="*/ 13373 w 21905"/>
                            <a:gd name="T3" fmla="*/ 38798 h 38798"/>
                            <a:gd name="T4" fmla="*/ 305 w 21905"/>
                            <a:gd name="T5" fmla="*/ 21600 h 38798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905" h="38798" fill="none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</a:path>
                            <a:path w="21905" h="38798" stroke="0" extrusionOk="0">
                              <a:moveTo>
                                <a:pt x="0" y="2"/>
                              </a:moveTo>
                              <a:cubicBezTo>
                                <a:pt x="101" y="0"/>
                                <a:pt x="203" y="-1"/>
                                <a:pt x="305" y="0"/>
                              </a:cubicBezTo>
                              <a:cubicBezTo>
                                <a:pt x="12234" y="0"/>
                                <a:pt x="21905" y="9670"/>
                                <a:pt x="21905" y="21600"/>
                              </a:cubicBezTo>
                              <a:cubicBezTo>
                                <a:pt x="21905" y="28351"/>
                                <a:pt x="18748" y="34713"/>
                                <a:pt x="13373" y="38798"/>
                              </a:cubicBezTo>
                              <a:lnTo>
                                <a:pt x="305" y="21600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904" name="Arc 1208">
                          <a:extLst>
                            <a:ext uri="{FF2B5EF4-FFF2-40B4-BE49-F238E27FC236}">
                              <a16:creationId xmlns:a16="http://schemas.microsoft.com/office/drawing/2014/main" id="{00000000-0008-0000-2000-0000B8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46" y="58"/>
                          <a:ext cx="44" cy="31"/>
                        </a:xfrm>
                        <a:custGeom>
                          <a:avLst/>
                          <a:gdLst>
                            <a:gd name="G0" fmla="+- 0 0 0"/>
                            <a:gd name="G1" fmla="+- 21541 0 0"/>
                            <a:gd name="G2" fmla="+- 21600 0 0"/>
                            <a:gd name="T0" fmla="*/ 1594 w 21296"/>
                            <a:gd name="T1" fmla="*/ 0 h 21541"/>
                            <a:gd name="T2" fmla="*/ 21296 w 21296"/>
                            <a:gd name="T3" fmla="*/ 17927 h 21541"/>
                            <a:gd name="T4" fmla="*/ 0 w 21296"/>
                            <a:gd name="T5" fmla="*/ 21541 h 21541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296" h="21541" fill="none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</a:path>
                            <a:path w="21296" h="21541" stroke="0" extrusionOk="0">
                              <a:moveTo>
                                <a:pt x="1594" y="-1"/>
                              </a:moveTo>
                              <a:cubicBezTo>
                                <a:pt x="11502" y="733"/>
                                <a:pt x="19633" y="8131"/>
                                <a:pt x="21295" y="17927"/>
                              </a:cubicBezTo>
                              <a:lnTo>
                                <a:pt x="0" y="21541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1б1" textlink="">
                      <xdr:nvSpPr>
                        <xdr:cNvPr id="30905" name="Arc 1209">
                          <a:extLst>
                            <a:ext uri="{FF2B5EF4-FFF2-40B4-BE49-F238E27FC236}">
                              <a16:creationId xmlns:a16="http://schemas.microsoft.com/office/drawing/2014/main" id="{00000000-0008-0000-2000-0000B9780000}"/>
                            </a:ext>
                          </a:extLst>
                        </xdr:cNvPr>
                        <xdr:cNvSpPr>
                          <a:spLocks/>
                        </xdr:cNvSpPr>
                      </xdr:nvSpPr>
                      <xdr:spPr bwMode="auto">
                        <a:xfrm rot="5400000" flipH="1" flipV="1">
                          <a:off x="353" y="63"/>
                          <a:ext cx="47" cy="48"/>
                        </a:xfrm>
                        <a:custGeom>
                          <a:avLst/>
                          <a:gdLst>
                            <a:gd name="G0" fmla="+- 0 0 0"/>
                            <a:gd name="G1" fmla="+- 19985 0 0"/>
                            <a:gd name="G2" fmla="+- 21600 0 0"/>
                            <a:gd name="T0" fmla="*/ 8194 w 21600"/>
                            <a:gd name="T1" fmla="*/ 0 h 30084"/>
                            <a:gd name="T2" fmla="*/ 19094 w 21600"/>
                            <a:gd name="T3" fmla="*/ 30084 h 30084"/>
                            <a:gd name="T4" fmla="*/ 0 w 21600"/>
                            <a:gd name="T5" fmla="*/ 19985 h 30084"/>
                          </a:gdLst>
                          <a:ahLst/>
                          <a:cxnLst>
                            <a:cxn ang="0">
                              <a:pos x="T0" y="T1"/>
                            </a:cxn>
                            <a:cxn ang="0">
                              <a:pos x="T2" y="T3"/>
                            </a:cxn>
                            <a:cxn ang="0">
                              <a:pos x="T4" y="T5"/>
                            </a:cxn>
                          </a:cxnLst>
                          <a:rect l="0" t="0" r="r" b="b"/>
                          <a:pathLst>
                            <a:path w="21600" h="30084" fill="none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</a:path>
                            <a:path w="21600" h="30084" stroke="0" extrusionOk="0">
                              <a:moveTo>
                                <a:pt x="8194" y="-1"/>
                              </a:moveTo>
                              <a:cubicBezTo>
                                <a:pt x="16303" y="3324"/>
                                <a:pt x="21600" y="11220"/>
                                <a:pt x="21600" y="19985"/>
                              </a:cubicBezTo>
                              <a:cubicBezTo>
                                <a:pt x="21600" y="23505"/>
                                <a:pt x="20739" y="26972"/>
                                <a:pt x="19093" y="30083"/>
                              </a:cubicBezTo>
                              <a:lnTo>
                                <a:pt x="0" y="19985"/>
                              </a:lnTo>
                              <a:close/>
                            </a:path>
                          </a:pathLst>
                        </a:cu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round/>
                          <a:headEnd/>
                          <a:tailEnd/>
                        </a:ln>
                      </xdr:spPr>
                    </xdr:sp>
                  </xdr:grpSp>
                </xdr:grpSp>
                <xdr:sp macro="[0]!Макрос1б1" textlink="">
                  <xdr:nvSpPr>
                    <xdr:cNvPr id="30906" name="Freeform 1210">
                      <a:extLst>
                        <a:ext uri="{FF2B5EF4-FFF2-40B4-BE49-F238E27FC236}">
                          <a16:creationId xmlns:a16="http://schemas.microsoft.com/office/drawing/2014/main" id="{00000000-0008-0000-2000-0000BA78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86" y="229"/>
                      <a:ext cx="301" cy="21"/>
                    </a:xfrm>
                    <a:custGeom>
                      <a:avLst/>
                      <a:gdLst/>
                      <a:ahLst/>
                      <a:cxnLst>
                        <a:cxn ang="0">
                          <a:pos x="296" y="19"/>
                        </a:cxn>
                        <a:cxn ang="0">
                          <a:pos x="12" y="19"/>
                        </a:cxn>
                        <a:cxn ang="0">
                          <a:pos x="12" y="12"/>
                        </a:cxn>
                        <a:cxn ang="0">
                          <a:pos x="8" y="0"/>
                        </a:cxn>
                        <a:cxn ang="0">
                          <a:pos x="295" y="0"/>
                        </a:cxn>
                        <a:cxn ang="0">
                          <a:pos x="297" y="10"/>
                        </a:cxn>
                        <a:cxn ang="0">
                          <a:pos x="296" y="19"/>
                        </a:cxn>
                      </a:cxnLst>
                      <a:rect l="0" t="0" r="r" b="b"/>
                      <a:pathLst>
                        <a:path w="301" h="21">
                          <a:moveTo>
                            <a:pt x="296" y="19"/>
                          </a:moveTo>
                          <a:cubicBezTo>
                            <a:pt x="250" y="19"/>
                            <a:pt x="60" y="19"/>
                            <a:pt x="12" y="19"/>
                          </a:cubicBezTo>
                          <a:cubicBezTo>
                            <a:pt x="9" y="12"/>
                            <a:pt x="0" y="21"/>
                            <a:pt x="12" y="12"/>
                          </a:cubicBezTo>
                          <a:cubicBezTo>
                            <a:pt x="3" y="9"/>
                            <a:pt x="9" y="9"/>
                            <a:pt x="8" y="0"/>
                          </a:cubicBezTo>
                          <a:cubicBezTo>
                            <a:pt x="148" y="0"/>
                            <a:pt x="247" y="0"/>
                            <a:pt x="295" y="0"/>
                          </a:cubicBezTo>
                          <a:cubicBezTo>
                            <a:pt x="301" y="5"/>
                            <a:pt x="298" y="6"/>
                            <a:pt x="297" y="10"/>
                          </a:cubicBezTo>
                          <a:cubicBezTo>
                            <a:pt x="295" y="13"/>
                            <a:pt x="296" y="13"/>
                            <a:pt x="296" y="19"/>
                          </a:cubicBezTo>
                          <a:close/>
                        </a:path>
                      </a:pathLst>
                    </a:custGeom>
                    <a:solidFill>
                      <a:srgbClr val="FFFFFF"/>
                    </a:solidFill>
                    <a:ln w="9525" cap="flat" cmpd="sng">
                      <a:solidFill>
                        <a:srgbClr val="000000"/>
                      </a:solidFill>
                      <a:prstDash val="solid"/>
                      <a:round/>
                      <a:headEnd/>
                      <a:tailEnd/>
                    </a:ln>
                  </xdr:spPr>
                </xdr:sp>
              </xdr:grpSp>
              <xdr:sp macro="[0]!Макрос1б1" textlink="">
                <xdr:nvSpPr>
                  <xdr:cNvPr id="30907" name="Line 1211">
                    <a:extLst>
                      <a:ext uri="{FF2B5EF4-FFF2-40B4-BE49-F238E27FC236}">
                        <a16:creationId xmlns:a16="http://schemas.microsoft.com/office/drawing/2014/main" id="{00000000-0008-0000-2000-0000BB78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276" y="328"/>
                    <a:ext cx="317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FF0000"/>
                    </a:solidFill>
                    <a:prstDash val="lgDashDot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0908" name="Group 1212">
                  <a:extLst>
                    <a:ext uri="{FF2B5EF4-FFF2-40B4-BE49-F238E27FC236}">
                      <a16:creationId xmlns:a16="http://schemas.microsoft.com/office/drawing/2014/main" id="{00000000-0008-0000-2000-0000BC78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292" y="230"/>
                  <a:ext cx="273" cy="192"/>
                  <a:chOff x="292" y="230"/>
                  <a:chExt cx="273" cy="192"/>
                </a:xfrm>
              </xdr:grpSpPr>
              <xdr:grpSp>
                <xdr:nvGrpSpPr>
                  <xdr:cNvPr id="30909" name="Group 1213">
                    <a:extLst>
                      <a:ext uri="{FF2B5EF4-FFF2-40B4-BE49-F238E27FC236}">
                        <a16:creationId xmlns:a16="http://schemas.microsoft.com/office/drawing/2014/main" id="{00000000-0008-0000-2000-0000BD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292" y="230"/>
                    <a:ext cx="273" cy="192"/>
                    <a:chOff x="292" y="230"/>
                    <a:chExt cx="273" cy="192"/>
                  </a:xfrm>
                </xdr:grpSpPr>
                <xdr:grpSp>
                  <xdr:nvGrpSpPr>
                    <xdr:cNvPr id="30910" name="Group 1214">
                      <a:extLst>
                        <a:ext uri="{FF2B5EF4-FFF2-40B4-BE49-F238E27FC236}">
                          <a16:creationId xmlns:a16="http://schemas.microsoft.com/office/drawing/2014/main" id="{00000000-0008-0000-2000-0000BE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V="1">
                      <a:off x="334" y="380"/>
                      <a:ext cx="147" cy="42"/>
                      <a:chOff x="371" y="11"/>
                      <a:chExt cx="147" cy="42"/>
                    </a:xfrm>
                  </xdr:grpSpPr>
                  <xdr:sp macro="[0]!Макрос1б1" textlink="">
                    <xdr:nvSpPr>
                      <xdr:cNvPr id="30911" name="Line 1215">
                        <a:extLst>
                          <a:ext uri="{FF2B5EF4-FFF2-40B4-BE49-F238E27FC236}">
                            <a16:creationId xmlns:a16="http://schemas.microsoft.com/office/drawing/2014/main" id="{00000000-0008-0000-2000-0000BF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V="1">
                        <a:off x="371" y="11"/>
                        <a:ext cx="0" cy="42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12" name="Line 1216">
                        <a:extLst>
                          <a:ext uri="{FF2B5EF4-FFF2-40B4-BE49-F238E27FC236}">
                            <a16:creationId xmlns:a16="http://schemas.microsoft.com/office/drawing/2014/main" id="{00000000-0008-0000-2000-0000C0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V="1">
                        <a:off x="420" y="11"/>
                        <a:ext cx="0" cy="42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13" name="Line 1217">
                        <a:extLst>
                          <a:ext uri="{FF2B5EF4-FFF2-40B4-BE49-F238E27FC236}">
                            <a16:creationId xmlns:a16="http://schemas.microsoft.com/office/drawing/2014/main" id="{00000000-0008-0000-2000-0000C1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V="1">
                        <a:off x="468" y="11"/>
                        <a:ext cx="0" cy="42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14" name="Line 1218">
                        <a:extLst>
                          <a:ext uri="{FF2B5EF4-FFF2-40B4-BE49-F238E27FC236}">
                            <a16:creationId xmlns:a16="http://schemas.microsoft.com/office/drawing/2014/main" id="{00000000-0008-0000-2000-0000C2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371" y="28"/>
                        <a:ext cx="49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 type="stealth" w="sm" len="lg"/>
                      </a:ln>
                    </xdr:spPr>
                  </xdr:sp>
                  <xdr:sp macro="[0]!Макрос1б1" textlink="">
                    <xdr:nvSpPr>
                      <xdr:cNvPr id="30915" name="Line 1219">
                        <a:extLst>
                          <a:ext uri="{FF2B5EF4-FFF2-40B4-BE49-F238E27FC236}">
                            <a16:creationId xmlns:a16="http://schemas.microsoft.com/office/drawing/2014/main" id="{00000000-0008-0000-2000-0000C3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21" y="28"/>
                        <a:ext cx="45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 type="stealth" w="sm" len="lg"/>
                      </a:ln>
                    </xdr:spPr>
                  </xdr:sp>
                  <xdr:sp macro="[0]!Макрос1б1" textlink="">
                    <xdr:nvSpPr>
                      <xdr:cNvPr id="30916" name="Line 1220">
                        <a:extLst>
                          <a:ext uri="{FF2B5EF4-FFF2-40B4-BE49-F238E27FC236}">
                            <a16:creationId xmlns:a16="http://schemas.microsoft.com/office/drawing/2014/main" id="{00000000-0008-0000-2000-0000C4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V="1">
                        <a:off x="518" y="11"/>
                        <a:ext cx="0" cy="42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17" name="Line 1221">
                        <a:extLst>
                          <a:ext uri="{FF2B5EF4-FFF2-40B4-BE49-F238E27FC236}">
                            <a16:creationId xmlns:a16="http://schemas.microsoft.com/office/drawing/2014/main" id="{00000000-0008-0000-2000-0000C5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69" y="28"/>
                        <a:ext cx="49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 type="stealth" w="sm" len="lg"/>
                      </a:ln>
                    </xdr:spPr>
                  </xdr:sp>
                </xdr:grpSp>
                <xdr:grpSp>
                  <xdr:nvGrpSpPr>
                    <xdr:cNvPr id="30918" name="Group 1222">
                      <a:extLst>
                        <a:ext uri="{FF2B5EF4-FFF2-40B4-BE49-F238E27FC236}">
                          <a16:creationId xmlns:a16="http://schemas.microsoft.com/office/drawing/2014/main" id="{00000000-0008-0000-2000-0000C6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57" y="286"/>
                      <a:ext cx="52" cy="28"/>
                      <a:chOff x="468" y="60"/>
                      <a:chExt cx="52" cy="28"/>
                    </a:xfrm>
                  </xdr:grpSpPr>
                  <xdr:sp macro="[0]!Макрос1б1" textlink="">
                    <xdr:nvSpPr>
                      <xdr:cNvPr id="30919" name="Line 1223">
                        <a:extLst>
                          <a:ext uri="{FF2B5EF4-FFF2-40B4-BE49-F238E27FC236}">
                            <a16:creationId xmlns:a16="http://schemas.microsoft.com/office/drawing/2014/main" id="{00000000-0008-0000-2000-0000C7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68" y="88"/>
                        <a:ext cx="19" cy="0"/>
                      </a:xfrm>
                      <a:prstGeom prst="line">
                        <a:avLst/>
                      </a:prstGeom>
                      <a:noFill/>
                      <a:ln w="38100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20" name="Line 1224">
                        <a:extLst>
                          <a:ext uri="{FF2B5EF4-FFF2-40B4-BE49-F238E27FC236}">
                            <a16:creationId xmlns:a16="http://schemas.microsoft.com/office/drawing/2014/main" id="{00000000-0008-0000-2000-0000C8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V="1">
                        <a:off x="481" y="60"/>
                        <a:ext cx="0" cy="2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1б1" textlink="">
                    <xdr:nvSpPr>
                      <xdr:cNvPr id="30921" name="Line 1225">
                        <a:extLst>
                          <a:ext uri="{FF2B5EF4-FFF2-40B4-BE49-F238E27FC236}">
                            <a16:creationId xmlns:a16="http://schemas.microsoft.com/office/drawing/2014/main" id="{00000000-0008-0000-2000-0000C9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500" y="88"/>
                        <a:ext cx="20" cy="0"/>
                      </a:xfrm>
                      <a:prstGeom prst="line">
                        <a:avLst/>
                      </a:prstGeom>
                      <a:noFill/>
                      <a:ln w="38100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22" name="Line 1226">
                        <a:extLst>
                          <a:ext uri="{FF2B5EF4-FFF2-40B4-BE49-F238E27FC236}">
                            <a16:creationId xmlns:a16="http://schemas.microsoft.com/office/drawing/2014/main" id="{00000000-0008-0000-2000-0000CA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506" y="60"/>
                        <a:ext cx="0" cy="2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0923" name="Group 1227">
                      <a:extLst>
                        <a:ext uri="{FF2B5EF4-FFF2-40B4-BE49-F238E27FC236}">
                          <a16:creationId xmlns:a16="http://schemas.microsoft.com/office/drawing/2014/main" id="{00000000-0008-0000-2000-0000CB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36" y="298"/>
                      <a:ext cx="29" cy="65"/>
                      <a:chOff x="536" y="298"/>
                      <a:chExt cx="29" cy="65"/>
                    </a:xfrm>
                  </xdr:grpSpPr>
                  <xdr:sp macro="[0]!Макрос1б1" textlink="">
                    <xdr:nvSpPr>
                      <xdr:cNvPr id="30924" name="Line 1228">
                        <a:extLst>
                          <a:ext uri="{FF2B5EF4-FFF2-40B4-BE49-F238E27FC236}">
                            <a16:creationId xmlns:a16="http://schemas.microsoft.com/office/drawing/2014/main" id="{00000000-0008-0000-2000-0000CC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 flipH="1">
                        <a:off x="555" y="308"/>
                        <a:ext cx="19" cy="0"/>
                      </a:xfrm>
                      <a:prstGeom prst="line">
                        <a:avLst/>
                      </a:prstGeom>
                      <a:noFill/>
                      <a:ln w="38100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25" name="Line 1229">
                        <a:extLst>
                          <a:ext uri="{FF2B5EF4-FFF2-40B4-BE49-F238E27FC236}">
                            <a16:creationId xmlns:a16="http://schemas.microsoft.com/office/drawing/2014/main" id="{00000000-0008-0000-2000-0000CD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-5400000" flipH="1" flipV="1">
                        <a:off x="551" y="297"/>
                        <a:ext cx="0" cy="29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1б1" textlink="">
                    <xdr:nvSpPr>
                      <xdr:cNvPr id="30926" name="Line 1230">
                        <a:extLst>
                          <a:ext uri="{FF2B5EF4-FFF2-40B4-BE49-F238E27FC236}">
                            <a16:creationId xmlns:a16="http://schemas.microsoft.com/office/drawing/2014/main" id="{00000000-0008-0000-2000-0000CE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-5400000">
                        <a:off x="555" y="353"/>
                        <a:ext cx="20" cy="0"/>
                      </a:xfrm>
                      <a:prstGeom prst="line">
                        <a:avLst/>
                      </a:prstGeom>
                      <a:noFill/>
                      <a:ln w="38100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27" name="Line 1231">
                        <a:extLst>
                          <a:ext uri="{FF2B5EF4-FFF2-40B4-BE49-F238E27FC236}">
                            <a16:creationId xmlns:a16="http://schemas.microsoft.com/office/drawing/2014/main" id="{00000000-0008-0000-2000-0000CF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 flipV="1">
                        <a:off x="551" y="334"/>
                        <a:ext cx="0" cy="29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0928" name="Group 1232">
                      <a:extLst>
                        <a:ext uri="{FF2B5EF4-FFF2-40B4-BE49-F238E27FC236}">
                          <a16:creationId xmlns:a16="http://schemas.microsoft.com/office/drawing/2014/main" id="{00000000-0008-0000-2000-0000D0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92" y="230"/>
                      <a:ext cx="29" cy="187"/>
                      <a:chOff x="292" y="230"/>
                      <a:chExt cx="29" cy="187"/>
                    </a:xfrm>
                  </xdr:grpSpPr>
                  <xdr:sp macro="[0]!Макрос1б1" textlink="">
                    <xdr:nvSpPr>
                      <xdr:cNvPr id="30929" name="Line 1233">
                        <a:extLst>
                          <a:ext uri="{FF2B5EF4-FFF2-40B4-BE49-F238E27FC236}">
                            <a16:creationId xmlns:a16="http://schemas.microsoft.com/office/drawing/2014/main" id="{00000000-0008-0000-2000-0000D1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 flipH="1">
                        <a:off x="301" y="249"/>
                        <a:ext cx="37" cy="0"/>
                      </a:xfrm>
                      <a:prstGeom prst="line">
                        <a:avLst/>
                      </a:prstGeom>
                      <a:noFill/>
                      <a:ln w="38100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30" name="Line 1234">
                        <a:extLst>
                          <a:ext uri="{FF2B5EF4-FFF2-40B4-BE49-F238E27FC236}">
                            <a16:creationId xmlns:a16="http://schemas.microsoft.com/office/drawing/2014/main" id="{00000000-0008-0000-2000-0000D2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-5400000" flipH="1" flipV="1">
                        <a:off x="306" y="243"/>
                        <a:ext cx="0" cy="2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1б1" textlink="">
                    <xdr:nvSpPr>
                      <xdr:cNvPr id="30931" name="Line 1235">
                        <a:extLst>
                          <a:ext uri="{FF2B5EF4-FFF2-40B4-BE49-F238E27FC236}">
                            <a16:creationId xmlns:a16="http://schemas.microsoft.com/office/drawing/2014/main" id="{00000000-0008-0000-2000-0000D3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-5400000">
                        <a:off x="306" y="402"/>
                        <a:ext cx="30" cy="0"/>
                      </a:xfrm>
                      <a:prstGeom prst="line">
                        <a:avLst/>
                      </a:prstGeom>
                      <a:noFill/>
                      <a:ln w="38100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32" name="Line 1236">
                        <a:extLst>
                          <a:ext uri="{FF2B5EF4-FFF2-40B4-BE49-F238E27FC236}">
                            <a16:creationId xmlns:a16="http://schemas.microsoft.com/office/drawing/2014/main" id="{00000000-0008-0000-2000-0000D4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 flipV="1">
                        <a:off x="307" y="379"/>
                        <a:ext cx="0" cy="2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</xdr:grpSp>
              <xdr:grpSp>
                <xdr:nvGrpSpPr>
                  <xdr:cNvPr id="30933" name="Group 1237">
                    <a:extLst>
                      <a:ext uri="{FF2B5EF4-FFF2-40B4-BE49-F238E27FC236}">
                        <a16:creationId xmlns:a16="http://schemas.microsoft.com/office/drawing/2014/main" id="{00000000-0008-0000-2000-0000D5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355" y="312"/>
                    <a:ext cx="67" cy="1"/>
                    <a:chOff x="364" y="82"/>
                    <a:chExt cx="67" cy="0"/>
                  </a:xfrm>
                </xdr:grpSpPr>
                <xdr:sp macro="[0]!Макрос1б1" textlink="">
                  <xdr:nvSpPr>
                    <xdr:cNvPr id="30934" name="Line 1238">
                      <a:extLst>
                        <a:ext uri="{FF2B5EF4-FFF2-40B4-BE49-F238E27FC236}">
                          <a16:creationId xmlns:a16="http://schemas.microsoft.com/office/drawing/2014/main" id="{00000000-0008-0000-2000-0000D6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-5400000">
                      <a:off x="398" y="77"/>
                      <a:ext cx="0" cy="1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б1" textlink="">
                  <xdr:nvSpPr>
                    <xdr:cNvPr id="30935" name="Line 1239">
                      <a:extLst>
                        <a:ext uri="{FF2B5EF4-FFF2-40B4-BE49-F238E27FC236}">
                          <a16:creationId xmlns:a16="http://schemas.microsoft.com/office/drawing/2014/main" id="{00000000-0008-0000-2000-0000D7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6200000" flipV="1">
                      <a:off x="378" y="68"/>
                      <a:ext cx="0" cy="2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1б1" textlink="">
                  <xdr:nvSpPr>
                    <xdr:cNvPr id="30936" name="Line 1240">
                      <a:extLst>
                        <a:ext uri="{FF2B5EF4-FFF2-40B4-BE49-F238E27FC236}">
                          <a16:creationId xmlns:a16="http://schemas.microsoft.com/office/drawing/2014/main" id="{00000000-0008-0000-2000-0000D8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-5400000">
                      <a:off x="417" y="68"/>
                      <a:ext cx="0" cy="2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</xdr:grpSp>
          </xdr:grpSp>
          <xdr:grpSp>
            <xdr:nvGrpSpPr>
              <xdr:cNvPr id="30937" name="Group 1241">
                <a:extLst>
                  <a:ext uri="{FF2B5EF4-FFF2-40B4-BE49-F238E27FC236}">
                    <a16:creationId xmlns:a16="http://schemas.microsoft.com/office/drawing/2014/main" id="{00000000-0008-0000-2000-0000D978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292" y="237"/>
                <a:ext cx="324" cy="179"/>
                <a:chOff x="292" y="237"/>
                <a:chExt cx="324" cy="179"/>
              </a:xfrm>
            </xdr:grpSpPr>
            <xdr:grpSp>
              <xdr:nvGrpSpPr>
                <xdr:cNvPr id="30938" name="Group 1242">
                  <a:extLst>
                    <a:ext uri="{FF2B5EF4-FFF2-40B4-BE49-F238E27FC236}">
                      <a16:creationId xmlns:a16="http://schemas.microsoft.com/office/drawing/2014/main" id="{00000000-0008-0000-2000-0000DA78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292" y="237"/>
                  <a:ext cx="266" cy="179"/>
                  <a:chOff x="292" y="237"/>
                  <a:chExt cx="266" cy="179"/>
                </a:xfrm>
              </xdr:grpSpPr>
              <xdr:grpSp>
                <xdr:nvGrpSpPr>
                  <xdr:cNvPr id="30939" name="Group 1243">
                    <a:extLst>
                      <a:ext uri="{FF2B5EF4-FFF2-40B4-BE49-F238E27FC236}">
                        <a16:creationId xmlns:a16="http://schemas.microsoft.com/office/drawing/2014/main" id="{00000000-0008-0000-2000-0000DB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354" y="386"/>
                    <a:ext cx="112" cy="24"/>
                    <a:chOff x="354" y="386"/>
                    <a:chExt cx="112" cy="24"/>
                  </a:xfrm>
                </xdr:grpSpPr>
                <xdr:sp macro="[0]!Макрос1б1" textlink="">
                  <xdr:nvSpPr>
                    <xdr:cNvPr id="30940" name="Text Box 1244">
                      <a:extLst>
                        <a:ext uri="{FF2B5EF4-FFF2-40B4-BE49-F238E27FC236}">
                          <a16:creationId xmlns:a16="http://schemas.microsoft.com/office/drawing/2014/main" id="{00000000-0008-0000-2000-0000DC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354" y="386"/>
                      <a:ext cx="14" cy="24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2860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en-US" sz="1200" b="0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t</a:t>
                      </a:r>
                    </a:p>
                  </xdr:txBody>
                </xdr:sp>
                <xdr:sp macro="[0]!Макрос1б1" textlink="">
                  <xdr:nvSpPr>
                    <xdr:cNvPr id="30941" name="Text Box 1245">
                      <a:extLst>
                        <a:ext uri="{FF2B5EF4-FFF2-40B4-BE49-F238E27FC236}">
                          <a16:creationId xmlns:a16="http://schemas.microsoft.com/office/drawing/2014/main" id="{00000000-0008-0000-2000-0000DD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411" y="386"/>
                      <a:ext cx="14" cy="24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2860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en-US" sz="1200" b="0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t</a:t>
                      </a:r>
                    </a:p>
                  </xdr:txBody>
                </xdr:sp>
                <xdr:sp macro="[0]!Макрос1б1" textlink="">
                  <xdr:nvSpPr>
                    <xdr:cNvPr id="30942" name="Text Box 1246">
                      <a:extLst>
                        <a:ext uri="{FF2B5EF4-FFF2-40B4-BE49-F238E27FC236}">
                          <a16:creationId xmlns:a16="http://schemas.microsoft.com/office/drawing/2014/main" id="{00000000-0008-0000-2000-0000DE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452" y="386"/>
                      <a:ext cx="14" cy="24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2860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en-US" sz="1200" b="0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t</a:t>
                      </a:r>
                    </a:p>
                  </xdr:txBody>
                </xdr:sp>
              </xdr:grpSp>
              <xdr:grpSp>
                <xdr:nvGrpSpPr>
                  <xdr:cNvPr id="30943" name="Group 1247">
                    <a:extLst>
                      <a:ext uri="{FF2B5EF4-FFF2-40B4-BE49-F238E27FC236}">
                        <a16:creationId xmlns:a16="http://schemas.microsoft.com/office/drawing/2014/main" id="{00000000-0008-0000-2000-0000DF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292" y="237"/>
                    <a:ext cx="23" cy="179"/>
                    <a:chOff x="292" y="237"/>
                    <a:chExt cx="23" cy="179"/>
                  </a:xfrm>
                </xdr:grpSpPr>
                <xdr:sp macro="[0]!Макрос1б1" textlink="">
                  <xdr:nvSpPr>
                    <xdr:cNvPr id="30944" name="Text Box 1248">
                      <a:extLst>
                        <a:ext uri="{FF2B5EF4-FFF2-40B4-BE49-F238E27FC236}">
                          <a16:creationId xmlns:a16="http://schemas.microsoft.com/office/drawing/2014/main" id="{00000000-0008-0000-2000-0000E0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294" y="237"/>
                      <a:ext cx="21" cy="25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7432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en-US" sz="1200" b="1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A</a:t>
                      </a:r>
                    </a:p>
                  </xdr:txBody>
                </xdr:sp>
                <xdr:sp macro="[0]!Макрос1б1" textlink="">
                  <xdr:nvSpPr>
                    <xdr:cNvPr id="30945" name="Text Box 1249">
                      <a:extLst>
                        <a:ext uri="{FF2B5EF4-FFF2-40B4-BE49-F238E27FC236}">
                          <a16:creationId xmlns:a16="http://schemas.microsoft.com/office/drawing/2014/main" id="{00000000-0008-0000-2000-0000E1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292" y="391"/>
                      <a:ext cx="21" cy="25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7432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en-US" sz="1200" b="1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A</a:t>
                      </a:r>
                    </a:p>
                  </xdr:txBody>
                </xdr:sp>
              </xdr:grpSp>
              <xdr:grpSp>
                <xdr:nvGrpSpPr>
                  <xdr:cNvPr id="30946" name="Group 1250">
                    <a:extLst>
                      <a:ext uri="{FF2B5EF4-FFF2-40B4-BE49-F238E27FC236}">
                        <a16:creationId xmlns:a16="http://schemas.microsoft.com/office/drawing/2014/main" id="{00000000-0008-0000-2000-0000E2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34" y="293"/>
                    <a:ext cx="24" cy="80"/>
                    <a:chOff x="534" y="293"/>
                    <a:chExt cx="24" cy="80"/>
                  </a:xfrm>
                </xdr:grpSpPr>
                <xdr:sp macro="[0]!Макрос1б1" textlink="">
                  <xdr:nvSpPr>
                    <xdr:cNvPr id="30947" name="Text Box 1251">
                      <a:extLst>
                        <a:ext uri="{FF2B5EF4-FFF2-40B4-BE49-F238E27FC236}">
                          <a16:creationId xmlns:a16="http://schemas.microsoft.com/office/drawing/2014/main" id="{00000000-0008-0000-2000-0000E3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536" y="348"/>
                      <a:ext cx="22" cy="25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7432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en-US" sz="1200" b="1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B</a:t>
                      </a:r>
                    </a:p>
                  </xdr:txBody>
                </xdr:sp>
                <xdr:sp macro="[0]!Макрос1б1" textlink="">
                  <xdr:nvSpPr>
                    <xdr:cNvPr id="30948" name="Text Box 1252">
                      <a:extLst>
                        <a:ext uri="{FF2B5EF4-FFF2-40B4-BE49-F238E27FC236}">
                          <a16:creationId xmlns:a16="http://schemas.microsoft.com/office/drawing/2014/main" id="{00000000-0008-0000-2000-0000E4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534" y="293"/>
                      <a:ext cx="22" cy="25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7432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en-US" sz="1200" b="1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B</a:t>
                      </a:r>
                    </a:p>
                  </xdr:txBody>
                </xdr:sp>
              </xdr:grpSp>
              <xdr:grpSp>
                <xdr:nvGrpSpPr>
                  <xdr:cNvPr id="30949" name="Group 1253">
                    <a:extLst>
                      <a:ext uri="{FF2B5EF4-FFF2-40B4-BE49-F238E27FC236}">
                        <a16:creationId xmlns:a16="http://schemas.microsoft.com/office/drawing/2014/main" id="{00000000-0008-0000-2000-0000E5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50" y="291"/>
                    <a:ext cx="70" cy="27"/>
                    <a:chOff x="450" y="291"/>
                    <a:chExt cx="70" cy="27"/>
                  </a:xfrm>
                </xdr:grpSpPr>
                <xdr:sp macro="[0]!Макрос1б1" textlink="">
                  <xdr:nvSpPr>
                    <xdr:cNvPr id="30950" name="Text Box 1254">
                      <a:extLst>
                        <a:ext uri="{FF2B5EF4-FFF2-40B4-BE49-F238E27FC236}">
                          <a16:creationId xmlns:a16="http://schemas.microsoft.com/office/drawing/2014/main" id="{00000000-0008-0000-2000-0000E6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450" y="291"/>
                      <a:ext cx="22" cy="25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7432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ru-RU" sz="1200" b="1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Б</a:t>
                      </a:r>
                    </a:p>
                  </xdr:txBody>
                </xdr:sp>
                <xdr:sp macro="[0]!Макрос1б1" textlink="">
                  <xdr:nvSpPr>
                    <xdr:cNvPr id="30951" name="Text Box 1255">
                      <a:extLst>
                        <a:ext uri="{FF2B5EF4-FFF2-40B4-BE49-F238E27FC236}">
                          <a16:creationId xmlns:a16="http://schemas.microsoft.com/office/drawing/2014/main" id="{00000000-0008-0000-2000-0000E7780000}"/>
                        </a:ext>
                      </a:extLst>
                    </xdr:cNvPr>
                    <xdr:cNvSpPr txBox="1">
                      <a:spLocks noChangeArrowheads="1"/>
                    </xdr:cNvSpPr>
                  </xdr:nvSpPr>
                  <xdr:spPr bwMode="auto">
                    <a:xfrm>
                      <a:off x="498" y="293"/>
                      <a:ext cx="22" cy="25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  <xdr:txBody>
                    <a:bodyPr wrap="none" lIns="27432" tIns="27432" rIns="0" bIns="0" anchor="t" upright="1">
                      <a:spAutoFit/>
                    </a:bodyPr>
                    <a:lstStyle/>
                    <a:p>
                      <a:pPr algn="l" rtl="0">
                        <a:defRPr sz="1000"/>
                      </a:pPr>
                      <a:r>
                        <a:rPr lang="ru-RU" sz="1200" b="1" i="0" u="none" strike="noStrike" baseline="0">
                          <a:solidFill>
                            <a:srgbClr val="333399"/>
                          </a:solidFill>
                          <a:latin typeface="Arial Cyr"/>
                          <a:cs typeface="Arial Cyr"/>
                        </a:rPr>
                        <a:t>Б</a:t>
                      </a:r>
                    </a:p>
                  </xdr:txBody>
                </xdr:sp>
              </xdr:grpSp>
              <xdr:sp macro="[0]!Макрос1б1" textlink="">
                <xdr:nvSpPr>
                  <xdr:cNvPr id="30952" name="Text Box 1256">
                    <a:extLst>
                      <a:ext uri="{FF2B5EF4-FFF2-40B4-BE49-F238E27FC236}">
                        <a16:creationId xmlns:a16="http://schemas.microsoft.com/office/drawing/2014/main" id="{00000000-0008-0000-2000-0000E878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405" y="293"/>
                    <a:ext cx="19" cy="24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b</a:t>
                    </a:r>
                  </a:p>
                </xdr:txBody>
              </xdr:sp>
            </xdr:grpSp>
            <xdr:sp macro="[0]!Макрос1б1" textlink="">
              <xdr:nvSpPr>
                <xdr:cNvPr id="30953" name="Text Box 1257">
                  <a:extLst>
                    <a:ext uri="{FF2B5EF4-FFF2-40B4-BE49-F238E27FC236}">
                      <a16:creationId xmlns:a16="http://schemas.microsoft.com/office/drawing/2014/main" id="{00000000-0008-0000-2000-0000E978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584" y="344"/>
                  <a:ext cx="32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vert="vert270" wrap="none" lIns="27432" tIns="22860" rIns="0" bIns="0" anchor="t" upright="1">
                  <a:spAutoFit/>
                </a:bodyPr>
                <a:lstStyle/>
                <a:p>
                  <a:pPr algn="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b</a:t>
                  </a:r>
                  <a:r>
                    <a:rPr lang="en-US" sz="1200" b="0" i="0" u="none" strike="noStrike" baseline="-2500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1</a:t>
                  </a:r>
                </a:p>
              </xdr:txBody>
            </xdr:sp>
          </xdr:grpSp>
        </xdr:grpSp>
        <xdr:grpSp>
          <xdr:nvGrpSpPr>
            <xdr:cNvPr id="30954" name="Group 1258">
              <a:extLst>
                <a:ext uri="{FF2B5EF4-FFF2-40B4-BE49-F238E27FC236}">
                  <a16:creationId xmlns:a16="http://schemas.microsoft.com/office/drawing/2014/main" id="{00000000-0008-0000-2000-0000EA7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82" y="669"/>
              <a:ext cx="202" cy="225"/>
              <a:chOff x="89" y="23"/>
              <a:chExt cx="202" cy="225"/>
            </a:xfrm>
          </xdr:grpSpPr>
          <xdr:grpSp>
            <xdr:nvGrpSpPr>
              <xdr:cNvPr id="30955" name="Group 1259">
                <a:extLst>
                  <a:ext uri="{FF2B5EF4-FFF2-40B4-BE49-F238E27FC236}">
                    <a16:creationId xmlns:a16="http://schemas.microsoft.com/office/drawing/2014/main" id="{00000000-0008-0000-2000-0000EB78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9" y="58"/>
                <a:ext cx="202" cy="190"/>
                <a:chOff x="115" y="23"/>
                <a:chExt cx="202" cy="190"/>
              </a:xfrm>
            </xdr:grpSpPr>
            <xdr:grpSp>
              <xdr:nvGrpSpPr>
                <xdr:cNvPr id="30956" name="Group 1260">
                  <a:extLst>
                    <a:ext uri="{FF2B5EF4-FFF2-40B4-BE49-F238E27FC236}">
                      <a16:creationId xmlns:a16="http://schemas.microsoft.com/office/drawing/2014/main" id="{00000000-0008-0000-2000-0000EC78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15" y="28"/>
                  <a:ext cx="157" cy="148"/>
                  <a:chOff x="115" y="28"/>
                  <a:chExt cx="157" cy="148"/>
                </a:xfrm>
              </xdr:grpSpPr>
              <xdr:grpSp>
                <xdr:nvGrpSpPr>
                  <xdr:cNvPr id="30957" name="Group 1261">
                    <a:extLst>
                      <a:ext uri="{FF2B5EF4-FFF2-40B4-BE49-F238E27FC236}">
                        <a16:creationId xmlns:a16="http://schemas.microsoft.com/office/drawing/2014/main" id="{00000000-0008-0000-2000-0000ED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41" y="51"/>
                    <a:ext cx="102" cy="102"/>
                    <a:chOff x="141" y="51"/>
                    <a:chExt cx="102" cy="102"/>
                  </a:xfrm>
                </xdr:grpSpPr>
                <xdr:sp macro="[0]!Макрос1б1" textlink="">
                  <xdr:nvSpPr>
                    <xdr:cNvPr id="30958" name="Oval 1262">
                      <a:extLst>
                        <a:ext uri="{FF2B5EF4-FFF2-40B4-BE49-F238E27FC236}">
                          <a16:creationId xmlns:a16="http://schemas.microsoft.com/office/drawing/2014/main" id="{00000000-0008-0000-2000-0000EE78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141" y="51"/>
                      <a:ext cx="102" cy="102"/>
                    </a:xfrm>
                    <a:prstGeom prst="ellipse">
                      <a:avLst/>
                    </a:pr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  <a:effectLst/>
                  </xdr:spPr>
                </xdr:sp>
                <xdr:sp macro="[0]!Макрос1б1" textlink="">
                  <xdr:nvSpPr>
                    <xdr:cNvPr id="30959" name="Freeform 1263" descr="Светлый диагональный 1">
                      <a:extLst>
                        <a:ext uri="{FF2B5EF4-FFF2-40B4-BE49-F238E27FC236}">
                          <a16:creationId xmlns:a16="http://schemas.microsoft.com/office/drawing/2014/main" id="{00000000-0008-0000-2000-0000EF78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141" y="51"/>
                      <a:ext cx="102" cy="101"/>
                    </a:xfrm>
                    <a:custGeom>
                      <a:avLst/>
                      <a:gdLst/>
                      <a:ahLst/>
                      <a:cxnLst>
                        <a:cxn ang="0">
                          <a:pos x="37" y="18"/>
                        </a:cxn>
                        <a:cxn ang="0">
                          <a:pos x="27" y="24"/>
                        </a:cxn>
                        <a:cxn ang="0">
                          <a:pos x="20" y="32"/>
                        </a:cxn>
                        <a:cxn ang="0">
                          <a:pos x="16" y="42"/>
                        </a:cxn>
                        <a:cxn ang="0">
                          <a:pos x="1" y="42"/>
                        </a:cxn>
                        <a:cxn ang="0">
                          <a:pos x="0" y="54"/>
                        </a:cxn>
                        <a:cxn ang="0">
                          <a:pos x="2" y="66"/>
                        </a:cxn>
                        <a:cxn ang="0">
                          <a:pos x="17" y="66"/>
                        </a:cxn>
                        <a:cxn ang="0">
                          <a:pos x="23" y="76"/>
                        </a:cxn>
                        <a:cxn ang="0">
                          <a:pos x="28" y="81"/>
                        </a:cxn>
                        <a:cxn ang="0">
                          <a:pos x="37" y="86"/>
                        </a:cxn>
                        <a:cxn ang="0">
                          <a:pos x="47" y="89"/>
                        </a:cxn>
                        <a:cxn ang="0">
                          <a:pos x="57" y="89"/>
                        </a:cxn>
                        <a:cxn ang="0">
                          <a:pos x="62" y="101"/>
                        </a:cxn>
                        <a:cxn ang="0">
                          <a:pos x="74" y="97"/>
                        </a:cxn>
                        <a:cxn ang="0">
                          <a:pos x="85" y="89"/>
                        </a:cxn>
                        <a:cxn ang="0">
                          <a:pos x="78" y="77"/>
                        </a:cxn>
                        <a:cxn ang="0">
                          <a:pos x="84" y="69"/>
                        </a:cxn>
                        <a:cxn ang="0">
                          <a:pos x="87" y="60"/>
                        </a:cxn>
                        <a:cxn ang="0">
                          <a:pos x="101" y="60"/>
                        </a:cxn>
                        <a:cxn ang="0">
                          <a:pos x="102" y="51"/>
                        </a:cxn>
                        <a:cxn ang="0">
                          <a:pos x="101" y="42"/>
                        </a:cxn>
                        <a:cxn ang="0">
                          <a:pos x="87" y="42"/>
                        </a:cxn>
                        <a:cxn ang="0">
                          <a:pos x="84" y="36"/>
                        </a:cxn>
                        <a:cxn ang="0">
                          <a:pos x="76" y="25"/>
                        </a:cxn>
                        <a:cxn ang="0">
                          <a:pos x="65" y="18"/>
                        </a:cxn>
                        <a:cxn ang="0">
                          <a:pos x="65" y="2"/>
                        </a:cxn>
                        <a:cxn ang="0">
                          <a:pos x="51" y="0"/>
                        </a:cxn>
                        <a:cxn ang="0">
                          <a:pos x="37" y="2"/>
                        </a:cxn>
                        <a:cxn ang="0">
                          <a:pos x="37" y="18"/>
                        </a:cxn>
                      </a:cxnLst>
                      <a:rect l="0" t="0" r="r" b="b"/>
                      <a:pathLst>
                        <a:path w="102" h="101">
                          <a:moveTo>
                            <a:pt x="37" y="18"/>
                          </a:moveTo>
                          <a:cubicBezTo>
                            <a:pt x="34" y="20"/>
                            <a:pt x="31" y="21"/>
                            <a:pt x="27" y="24"/>
                          </a:cubicBezTo>
                          <a:cubicBezTo>
                            <a:pt x="23" y="28"/>
                            <a:pt x="23" y="28"/>
                            <a:pt x="20" y="32"/>
                          </a:cubicBezTo>
                          <a:cubicBezTo>
                            <a:pt x="18" y="36"/>
                            <a:pt x="17" y="38"/>
                            <a:pt x="16" y="42"/>
                          </a:cubicBezTo>
                          <a:cubicBezTo>
                            <a:pt x="11" y="42"/>
                            <a:pt x="8" y="42"/>
                            <a:pt x="1" y="42"/>
                          </a:cubicBezTo>
                          <a:cubicBezTo>
                            <a:pt x="0" y="44"/>
                            <a:pt x="0" y="52"/>
                            <a:pt x="0" y="54"/>
                          </a:cubicBezTo>
                          <a:cubicBezTo>
                            <a:pt x="0" y="56"/>
                            <a:pt x="1" y="62"/>
                            <a:pt x="2" y="66"/>
                          </a:cubicBezTo>
                          <a:cubicBezTo>
                            <a:pt x="8" y="66"/>
                            <a:pt x="12" y="66"/>
                            <a:pt x="17" y="66"/>
                          </a:cubicBezTo>
                          <a:cubicBezTo>
                            <a:pt x="19" y="69"/>
                            <a:pt x="20" y="72"/>
                            <a:pt x="23" y="76"/>
                          </a:cubicBezTo>
                          <a:cubicBezTo>
                            <a:pt x="26" y="80"/>
                            <a:pt x="25" y="78"/>
                            <a:pt x="28" y="81"/>
                          </a:cubicBezTo>
                          <a:cubicBezTo>
                            <a:pt x="31" y="83"/>
                            <a:pt x="34" y="85"/>
                            <a:pt x="37" y="86"/>
                          </a:cubicBezTo>
                          <a:cubicBezTo>
                            <a:pt x="40" y="87"/>
                            <a:pt x="43" y="88"/>
                            <a:pt x="47" y="89"/>
                          </a:cubicBezTo>
                          <a:cubicBezTo>
                            <a:pt x="52" y="89"/>
                            <a:pt x="52" y="89"/>
                            <a:pt x="57" y="89"/>
                          </a:cubicBezTo>
                          <a:cubicBezTo>
                            <a:pt x="59" y="94"/>
                            <a:pt x="60" y="96"/>
                            <a:pt x="62" y="101"/>
                          </a:cubicBezTo>
                          <a:cubicBezTo>
                            <a:pt x="67" y="100"/>
                            <a:pt x="70" y="99"/>
                            <a:pt x="74" y="97"/>
                          </a:cubicBezTo>
                          <a:cubicBezTo>
                            <a:pt x="79" y="94"/>
                            <a:pt x="82" y="92"/>
                            <a:pt x="85" y="89"/>
                          </a:cubicBezTo>
                          <a:cubicBezTo>
                            <a:pt x="82" y="84"/>
                            <a:pt x="81" y="82"/>
                            <a:pt x="78" y="77"/>
                          </a:cubicBezTo>
                          <a:cubicBezTo>
                            <a:pt x="81" y="74"/>
                            <a:pt x="82" y="73"/>
                            <a:pt x="84" y="69"/>
                          </a:cubicBezTo>
                          <a:cubicBezTo>
                            <a:pt x="86" y="65"/>
                            <a:pt x="86" y="64"/>
                            <a:pt x="87" y="60"/>
                          </a:cubicBezTo>
                          <a:cubicBezTo>
                            <a:pt x="93" y="60"/>
                            <a:pt x="95" y="60"/>
                            <a:pt x="101" y="60"/>
                          </a:cubicBezTo>
                          <a:cubicBezTo>
                            <a:pt x="102" y="55"/>
                            <a:pt x="102" y="54"/>
                            <a:pt x="102" y="51"/>
                          </a:cubicBezTo>
                          <a:cubicBezTo>
                            <a:pt x="102" y="47"/>
                            <a:pt x="102" y="47"/>
                            <a:pt x="101" y="42"/>
                          </a:cubicBezTo>
                          <a:cubicBezTo>
                            <a:pt x="94" y="42"/>
                            <a:pt x="92" y="42"/>
                            <a:pt x="87" y="42"/>
                          </a:cubicBezTo>
                          <a:cubicBezTo>
                            <a:pt x="86" y="40"/>
                            <a:pt x="86" y="39"/>
                            <a:pt x="84" y="36"/>
                          </a:cubicBezTo>
                          <a:cubicBezTo>
                            <a:pt x="82" y="31"/>
                            <a:pt x="79" y="28"/>
                            <a:pt x="76" y="25"/>
                          </a:cubicBezTo>
                          <a:cubicBezTo>
                            <a:pt x="73" y="22"/>
                            <a:pt x="68" y="19"/>
                            <a:pt x="65" y="18"/>
                          </a:cubicBezTo>
                          <a:cubicBezTo>
                            <a:pt x="65" y="13"/>
                            <a:pt x="65" y="7"/>
                            <a:pt x="65" y="2"/>
                          </a:cubicBezTo>
                          <a:cubicBezTo>
                            <a:pt x="62" y="1"/>
                            <a:pt x="56" y="0"/>
                            <a:pt x="51" y="0"/>
                          </a:cubicBezTo>
                          <a:cubicBezTo>
                            <a:pt x="46" y="0"/>
                            <a:pt x="40" y="1"/>
                            <a:pt x="37" y="2"/>
                          </a:cubicBezTo>
                          <a:cubicBezTo>
                            <a:pt x="37" y="8"/>
                            <a:pt x="37" y="15"/>
                            <a:pt x="37" y="18"/>
                          </a:cubicBezTo>
                          <a:close/>
                        </a:path>
                      </a:pathLst>
                    </a:custGeom>
                    <a:pattFill prst="ltDnDiag">
                      <a:fgClr>
                        <a:srgbClr val="000000"/>
                      </a:fgClr>
                      <a:bgClr>
                        <a:srgbClr val="FFFFFF"/>
                      </a:bgClr>
                    </a:pattFill>
                    <a:ln w="6350" cap="flat" cmpd="sng">
                      <a:solidFill>
                        <a:srgbClr val="000000"/>
                      </a:solidFill>
                      <a:prstDash val="solid"/>
                      <a:round/>
                      <a:headEnd/>
                      <a:tailEnd/>
                    </a:ln>
                    <a:effectLst/>
                  </xdr:spPr>
                </xdr:sp>
              </xdr:grpSp>
              <xdr:grpSp>
                <xdr:nvGrpSpPr>
                  <xdr:cNvPr id="30960" name="Group 1264">
                    <a:extLst>
                      <a:ext uri="{FF2B5EF4-FFF2-40B4-BE49-F238E27FC236}">
                        <a16:creationId xmlns:a16="http://schemas.microsoft.com/office/drawing/2014/main" id="{00000000-0008-0000-2000-0000F0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15" y="28"/>
                    <a:ext cx="157" cy="148"/>
                    <a:chOff x="115" y="28"/>
                    <a:chExt cx="157" cy="148"/>
                  </a:xfrm>
                </xdr:grpSpPr>
                <xdr:sp macro="[0]!Макрос1б1" textlink="">
                  <xdr:nvSpPr>
                    <xdr:cNvPr id="30961" name="Line 1265">
                      <a:extLst>
                        <a:ext uri="{FF2B5EF4-FFF2-40B4-BE49-F238E27FC236}">
                          <a16:creationId xmlns:a16="http://schemas.microsoft.com/office/drawing/2014/main" id="{00000000-0008-0000-2000-0000F1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92" y="28"/>
                      <a:ext cx="0" cy="148"/>
                    </a:xfrm>
                    <a:prstGeom prst="line">
                      <a:avLst/>
                    </a:prstGeom>
                    <a:noFill/>
                    <a:ln w="6350">
                      <a:solidFill>
                        <a:srgbClr val="FF0000"/>
                      </a:solidFill>
                      <a:prstDash val="lgDashDot"/>
                      <a:round/>
                      <a:headEnd/>
                      <a:tailEnd/>
                    </a:ln>
                  </xdr:spPr>
                </xdr:sp>
                <xdr:sp macro="[0]!Макрос1б1" textlink="">
                  <xdr:nvSpPr>
                    <xdr:cNvPr id="30962" name="Line 1266">
                      <a:extLst>
                        <a:ext uri="{FF2B5EF4-FFF2-40B4-BE49-F238E27FC236}">
                          <a16:creationId xmlns:a16="http://schemas.microsoft.com/office/drawing/2014/main" id="{00000000-0008-0000-2000-0000F2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15" y="102"/>
                      <a:ext cx="157" cy="0"/>
                    </a:xfrm>
                    <a:prstGeom prst="line">
                      <a:avLst/>
                    </a:prstGeom>
                    <a:noFill/>
                    <a:ln w="6350">
                      <a:solidFill>
                        <a:srgbClr val="FF0000"/>
                      </a:solidFill>
                      <a:prstDash val="lgDashDot"/>
                      <a:round/>
                      <a:headEnd/>
                      <a:tailEnd/>
                    </a:ln>
                  </xdr:spPr>
                </xdr:sp>
              </xdr:grpSp>
            </xdr:grpSp>
            <xdr:grpSp>
              <xdr:nvGrpSpPr>
                <xdr:cNvPr id="30963" name="Group 1267">
                  <a:extLst>
                    <a:ext uri="{FF2B5EF4-FFF2-40B4-BE49-F238E27FC236}">
                      <a16:creationId xmlns:a16="http://schemas.microsoft.com/office/drawing/2014/main" id="{00000000-0008-0000-2000-0000F378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22" y="23"/>
                  <a:ext cx="195" cy="190"/>
                  <a:chOff x="122" y="23"/>
                  <a:chExt cx="195" cy="190"/>
                </a:xfrm>
              </xdr:grpSpPr>
              <xdr:grpSp>
                <xdr:nvGrpSpPr>
                  <xdr:cNvPr id="30964" name="Group 1268">
                    <a:extLst>
                      <a:ext uri="{FF2B5EF4-FFF2-40B4-BE49-F238E27FC236}">
                        <a16:creationId xmlns:a16="http://schemas.microsoft.com/office/drawing/2014/main" id="{00000000-0008-0000-2000-0000F4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H="1">
                    <a:off x="244" y="65"/>
                    <a:ext cx="38" cy="74"/>
                    <a:chOff x="240" y="166"/>
                    <a:chExt cx="38" cy="75"/>
                  </a:xfrm>
                </xdr:grpSpPr>
                <xdr:sp macro="[0]!Макрос1б1" textlink="">
                  <xdr:nvSpPr>
                    <xdr:cNvPr id="30965" name="Line 1269">
                      <a:extLst>
                        <a:ext uri="{FF2B5EF4-FFF2-40B4-BE49-F238E27FC236}">
                          <a16:creationId xmlns:a16="http://schemas.microsoft.com/office/drawing/2014/main" id="{00000000-0008-0000-2000-0000F5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240" y="194"/>
                      <a:ext cx="38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б1" textlink="">
                  <xdr:nvSpPr>
                    <xdr:cNvPr id="30966" name="Line 1270">
                      <a:extLst>
                        <a:ext uri="{FF2B5EF4-FFF2-40B4-BE49-F238E27FC236}">
                          <a16:creationId xmlns:a16="http://schemas.microsoft.com/office/drawing/2014/main" id="{00000000-0008-0000-2000-0000F6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240" y="213"/>
                      <a:ext cx="38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б1" textlink="">
                  <xdr:nvSpPr>
                    <xdr:cNvPr id="30967" name="Line 1271">
                      <a:extLst>
                        <a:ext uri="{FF2B5EF4-FFF2-40B4-BE49-F238E27FC236}">
                          <a16:creationId xmlns:a16="http://schemas.microsoft.com/office/drawing/2014/main" id="{00000000-0008-0000-2000-0000F7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249" y="194"/>
                      <a:ext cx="0" cy="1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б1" textlink="">
                  <xdr:nvSpPr>
                    <xdr:cNvPr id="30968" name="Line 1272">
                      <a:extLst>
                        <a:ext uri="{FF2B5EF4-FFF2-40B4-BE49-F238E27FC236}">
                          <a16:creationId xmlns:a16="http://schemas.microsoft.com/office/drawing/2014/main" id="{00000000-0008-0000-2000-0000F8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V="1">
                      <a:off x="249" y="166"/>
                      <a:ext cx="0" cy="2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1б1" textlink="">
                  <xdr:nvSpPr>
                    <xdr:cNvPr id="30969" name="Line 1273">
                      <a:extLst>
                        <a:ext uri="{FF2B5EF4-FFF2-40B4-BE49-F238E27FC236}">
                          <a16:creationId xmlns:a16="http://schemas.microsoft.com/office/drawing/2014/main" id="{00000000-0008-0000-2000-0000F9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249" y="213"/>
                      <a:ext cx="0" cy="2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grpSp>
                <xdr:nvGrpSpPr>
                  <xdr:cNvPr id="30970" name="Group 1274">
                    <a:extLst>
                      <a:ext uri="{FF2B5EF4-FFF2-40B4-BE49-F238E27FC236}">
                        <a16:creationId xmlns:a16="http://schemas.microsoft.com/office/drawing/2014/main" id="{00000000-0008-0000-2000-0000FA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207" y="51"/>
                    <a:ext cx="110" cy="103"/>
                    <a:chOff x="210" y="52"/>
                    <a:chExt cx="110" cy="101"/>
                  </a:xfrm>
                </xdr:grpSpPr>
                <xdr:grpSp>
                  <xdr:nvGrpSpPr>
                    <xdr:cNvPr id="30971" name="Group 1275">
                      <a:extLst>
                        <a:ext uri="{FF2B5EF4-FFF2-40B4-BE49-F238E27FC236}">
                          <a16:creationId xmlns:a16="http://schemas.microsoft.com/office/drawing/2014/main" id="{00000000-0008-0000-2000-0000FB78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10" y="53"/>
                      <a:ext cx="110" cy="100"/>
                      <a:chOff x="304" y="53"/>
                      <a:chExt cx="38" cy="100"/>
                    </a:xfrm>
                  </xdr:grpSpPr>
                  <xdr:sp macro="[0]!Макрос1б1" textlink="">
                    <xdr:nvSpPr>
                      <xdr:cNvPr id="30972" name="Line 1276">
                        <a:extLst>
                          <a:ext uri="{FF2B5EF4-FFF2-40B4-BE49-F238E27FC236}">
                            <a16:creationId xmlns:a16="http://schemas.microsoft.com/office/drawing/2014/main" id="{00000000-0008-0000-2000-0000FC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304" y="53"/>
                        <a:ext cx="38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73" name="Line 1277">
                        <a:extLst>
                          <a:ext uri="{FF2B5EF4-FFF2-40B4-BE49-F238E27FC236}">
                            <a16:creationId xmlns:a16="http://schemas.microsoft.com/office/drawing/2014/main" id="{00000000-0008-0000-2000-0000FD78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304" y="153"/>
                        <a:ext cx="38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б1" textlink="">
                  <xdr:nvSpPr>
                    <xdr:cNvPr id="30974" name="Line 1278">
                      <a:extLst>
                        <a:ext uri="{FF2B5EF4-FFF2-40B4-BE49-F238E27FC236}">
                          <a16:creationId xmlns:a16="http://schemas.microsoft.com/office/drawing/2014/main" id="{00000000-0008-0000-2000-0000FE78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>
                      <a:off x="308" y="52"/>
                      <a:ext cx="0" cy="10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</xdr:grpSp>
              <xdr:grpSp>
                <xdr:nvGrpSpPr>
                  <xdr:cNvPr id="30975" name="Group 1279">
                    <a:extLst>
                      <a:ext uri="{FF2B5EF4-FFF2-40B4-BE49-F238E27FC236}">
                        <a16:creationId xmlns:a16="http://schemas.microsoft.com/office/drawing/2014/main" id="{00000000-0008-0000-2000-0000FF78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207" y="23"/>
                    <a:ext cx="56" cy="68"/>
                    <a:chOff x="207" y="23"/>
                    <a:chExt cx="56" cy="68"/>
                  </a:xfrm>
                </xdr:grpSpPr>
                <xdr:grpSp>
                  <xdr:nvGrpSpPr>
                    <xdr:cNvPr id="30976" name="Group 1280">
                      <a:extLst>
                        <a:ext uri="{FF2B5EF4-FFF2-40B4-BE49-F238E27FC236}">
                          <a16:creationId xmlns:a16="http://schemas.microsoft.com/office/drawing/2014/main" id="{00000000-0008-0000-2000-00000079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28" y="23"/>
                      <a:ext cx="14" cy="68"/>
                      <a:chOff x="228" y="11"/>
                      <a:chExt cx="14" cy="80"/>
                    </a:xfrm>
                  </xdr:grpSpPr>
                  <xdr:sp macro="[0]!Макрос1б1" textlink="">
                    <xdr:nvSpPr>
                      <xdr:cNvPr id="30977" name="Line 1281">
                        <a:extLst>
                          <a:ext uri="{FF2B5EF4-FFF2-40B4-BE49-F238E27FC236}">
                            <a16:creationId xmlns:a16="http://schemas.microsoft.com/office/drawing/2014/main" id="{00000000-0008-0000-2000-00000179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>
                        <a:off x="202" y="51"/>
                        <a:ext cx="8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78" name="Line 1282">
                        <a:extLst>
                          <a:ext uri="{FF2B5EF4-FFF2-40B4-BE49-F238E27FC236}">
                            <a16:creationId xmlns:a16="http://schemas.microsoft.com/office/drawing/2014/main" id="{00000000-0008-0000-2000-00000279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>
                        <a:off x="188" y="51"/>
                        <a:ext cx="8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б1" textlink="">
                  <xdr:nvSpPr>
                    <xdr:cNvPr id="30979" name="Line 1283">
                      <a:extLst>
                        <a:ext uri="{FF2B5EF4-FFF2-40B4-BE49-F238E27FC236}">
                          <a16:creationId xmlns:a16="http://schemas.microsoft.com/office/drawing/2014/main" id="{00000000-0008-0000-2000-00000379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>
                      <a:off x="236" y="29"/>
                      <a:ext cx="0" cy="13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б1" textlink="">
                  <xdr:nvSpPr>
                    <xdr:cNvPr id="30980" name="Line 1284">
                      <a:extLst>
                        <a:ext uri="{FF2B5EF4-FFF2-40B4-BE49-F238E27FC236}">
                          <a16:creationId xmlns:a16="http://schemas.microsoft.com/office/drawing/2014/main" id="{00000000-0008-0000-2000-00000479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 flipV="1">
                      <a:off x="253" y="25"/>
                      <a:ext cx="0" cy="2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1б1" textlink="">
                  <xdr:nvSpPr>
                    <xdr:cNvPr id="30981" name="Line 1285">
                      <a:extLst>
                        <a:ext uri="{FF2B5EF4-FFF2-40B4-BE49-F238E27FC236}">
                          <a16:creationId xmlns:a16="http://schemas.microsoft.com/office/drawing/2014/main" id="{00000000-0008-0000-2000-00000579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>
                      <a:off x="218" y="25"/>
                      <a:ext cx="0" cy="2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grpSp>
                <xdr:nvGrpSpPr>
                  <xdr:cNvPr id="30982" name="Group 1286">
                    <a:extLst>
                      <a:ext uri="{FF2B5EF4-FFF2-40B4-BE49-F238E27FC236}">
                        <a16:creationId xmlns:a16="http://schemas.microsoft.com/office/drawing/2014/main" id="{00000000-0008-0000-2000-00000679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40" y="103"/>
                    <a:ext cx="104" cy="110"/>
                    <a:chOff x="140" y="103"/>
                    <a:chExt cx="104" cy="110"/>
                  </a:xfrm>
                </xdr:grpSpPr>
                <xdr:grpSp>
                  <xdr:nvGrpSpPr>
                    <xdr:cNvPr id="30983" name="Group 1287">
                      <a:extLst>
                        <a:ext uri="{FF2B5EF4-FFF2-40B4-BE49-F238E27FC236}">
                          <a16:creationId xmlns:a16="http://schemas.microsoft.com/office/drawing/2014/main" id="{00000000-0008-0000-2000-00000779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5400000">
                      <a:off x="138" y="107"/>
                      <a:ext cx="110" cy="102"/>
                      <a:chOff x="304" y="53"/>
                      <a:chExt cx="38" cy="100"/>
                    </a:xfrm>
                  </xdr:grpSpPr>
                  <xdr:sp macro="[0]!Макрос1б1" textlink="">
                    <xdr:nvSpPr>
                      <xdr:cNvPr id="30984" name="Line 1288">
                        <a:extLst>
                          <a:ext uri="{FF2B5EF4-FFF2-40B4-BE49-F238E27FC236}">
                            <a16:creationId xmlns:a16="http://schemas.microsoft.com/office/drawing/2014/main" id="{00000000-0008-0000-2000-00000879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304" y="53"/>
                        <a:ext cx="38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85" name="Line 1289">
                        <a:extLst>
                          <a:ext uri="{FF2B5EF4-FFF2-40B4-BE49-F238E27FC236}">
                            <a16:creationId xmlns:a16="http://schemas.microsoft.com/office/drawing/2014/main" id="{00000000-0008-0000-2000-00000979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304" y="153"/>
                        <a:ext cx="38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б1" textlink="">
                  <xdr:nvSpPr>
                    <xdr:cNvPr id="30986" name="Line 1290">
                      <a:extLst>
                        <a:ext uri="{FF2B5EF4-FFF2-40B4-BE49-F238E27FC236}">
                          <a16:creationId xmlns:a16="http://schemas.microsoft.com/office/drawing/2014/main" id="{00000000-0008-0000-2000-00000A79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 flipH="1">
                      <a:off x="192" y="148"/>
                      <a:ext cx="0" cy="103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</xdr:grpSp>
              <xdr:grpSp>
                <xdr:nvGrpSpPr>
                  <xdr:cNvPr id="30987" name="Group 1291">
                    <a:extLst>
                      <a:ext uri="{FF2B5EF4-FFF2-40B4-BE49-F238E27FC236}">
                        <a16:creationId xmlns:a16="http://schemas.microsoft.com/office/drawing/2014/main" id="{00000000-0008-0000-2000-00000B79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22" y="24"/>
                    <a:ext cx="56" cy="68"/>
                    <a:chOff x="207" y="23"/>
                    <a:chExt cx="56" cy="68"/>
                  </a:xfrm>
                </xdr:grpSpPr>
                <xdr:grpSp>
                  <xdr:nvGrpSpPr>
                    <xdr:cNvPr id="30988" name="Group 1292">
                      <a:extLst>
                        <a:ext uri="{FF2B5EF4-FFF2-40B4-BE49-F238E27FC236}">
                          <a16:creationId xmlns:a16="http://schemas.microsoft.com/office/drawing/2014/main" id="{00000000-0008-0000-2000-00000C79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228" y="23"/>
                      <a:ext cx="14" cy="68"/>
                      <a:chOff x="228" y="11"/>
                      <a:chExt cx="14" cy="80"/>
                    </a:xfrm>
                  </xdr:grpSpPr>
                  <xdr:sp macro="[0]!Макрос1б1" textlink="">
                    <xdr:nvSpPr>
                      <xdr:cNvPr id="30989" name="Line 1293">
                        <a:extLst>
                          <a:ext uri="{FF2B5EF4-FFF2-40B4-BE49-F238E27FC236}">
                            <a16:creationId xmlns:a16="http://schemas.microsoft.com/office/drawing/2014/main" id="{00000000-0008-0000-2000-00000D79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>
                        <a:off x="202" y="51"/>
                        <a:ext cx="8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1б1" textlink="">
                    <xdr:nvSpPr>
                      <xdr:cNvPr id="30990" name="Line 1294">
                        <a:extLst>
                          <a:ext uri="{FF2B5EF4-FFF2-40B4-BE49-F238E27FC236}">
                            <a16:creationId xmlns:a16="http://schemas.microsoft.com/office/drawing/2014/main" id="{00000000-0008-0000-2000-00000E79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>
                        <a:off x="188" y="51"/>
                        <a:ext cx="8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1б1" textlink="">
                  <xdr:nvSpPr>
                    <xdr:cNvPr id="30991" name="Line 1295">
                      <a:extLst>
                        <a:ext uri="{FF2B5EF4-FFF2-40B4-BE49-F238E27FC236}">
                          <a16:creationId xmlns:a16="http://schemas.microsoft.com/office/drawing/2014/main" id="{00000000-0008-0000-2000-00000F79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>
                      <a:off x="236" y="29"/>
                      <a:ext cx="0" cy="13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1б1" textlink="">
                  <xdr:nvSpPr>
                    <xdr:cNvPr id="30992" name="Line 1296">
                      <a:extLst>
                        <a:ext uri="{FF2B5EF4-FFF2-40B4-BE49-F238E27FC236}">
                          <a16:creationId xmlns:a16="http://schemas.microsoft.com/office/drawing/2014/main" id="{00000000-0008-0000-2000-00001079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 flipV="1">
                      <a:off x="253" y="25"/>
                      <a:ext cx="0" cy="2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1б1" textlink="">
                  <xdr:nvSpPr>
                    <xdr:cNvPr id="30993" name="Line 1297">
                      <a:extLst>
                        <a:ext uri="{FF2B5EF4-FFF2-40B4-BE49-F238E27FC236}">
                          <a16:creationId xmlns:a16="http://schemas.microsoft.com/office/drawing/2014/main" id="{00000000-0008-0000-2000-00001179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5400000">
                      <a:off x="218" y="25"/>
                      <a:ext cx="0" cy="2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grpSp>
                <xdr:nvGrpSpPr>
                  <xdr:cNvPr id="30994" name="Group 1298">
                    <a:extLst>
                      <a:ext uri="{FF2B5EF4-FFF2-40B4-BE49-F238E27FC236}">
                        <a16:creationId xmlns:a16="http://schemas.microsoft.com/office/drawing/2014/main" id="{00000000-0008-0000-2000-00001279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58" y="64"/>
                    <a:ext cx="41" cy="111"/>
                    <a:chOff x="158" y="64"/>
                    <a:chExt cx="41" cy="111"/>
                  </a:xfrm>
                </xdr:grpSpPr>
                <xdr:sp macro="[0]!Макрос1б1" textlink="">
                  <xdr:nvSpPr>
                    <xdr:cNvPr id="30995" name="Line 1299">
                      <a:extLst>
                        <a:ext uri="{FF2B5EF4-FFF2-40B4-BE49-F238E27FC236}">
                          <a16:creationId xmlns:a16="http://schemas.microsoft.com/office/drawing/2014/main" id="{00000000-0008-0000-2000-00001379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479762" flipH="1">
                      <a:off x="192" y="64"/>
                      <a:ext cx="1" cy="75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sp macro="[0]!Макрос1б1" textlink="">
                  <xdr:nvSpPr>
                    <xdr:cNvPr id="30996" name="Freeform 1300">
                      <a:extLst>
                        <a:ext uri="{FF2B5EF4-FFF2-40B4-BE49-F238E27FC236}">
                          <a16:creationId xmlns:a16="http://schemas.microsoft.com/office/drawing/2014/main" id="{00000000-0008-0000-2000-00001479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158" y="137"/>
                      <a:ext cx="41" cy="38"/>
                    </a:xfrm>
                    <a:custGeom>
                      <a:avLst/>
                      <a:gdLst/>
                      <a:ahLst/>
                      <a:cxnLst>
                        <a:cxn ang="0">
                          <a:pos x="17" y="0"/>
                        </a:cxn>
                        <a:cxn ang="0">
                          <a:pos x="0" y="38"/>
                        </a:cxn>
                        <a:cxn ang="0">
                          <a:pos x="41" y="38"/>
                        </a:cxn>
                      </a:cxnLst>
                      <a:rect l="0" t="0" r="r" b="b"/>
                      <a:pathLst>
                        <a:path w="41" h="38">
                          <a:moveTo>
                            <a:pt x="17" y="0"/>
                          </a:moveTo>
                          <a:lnTo>
                            <a:pt x="0" y="38"/>
                          </a:lnTo>
                          <a:lnTo>
                            <a:pt x="41" y="38"/>
                          </a:lnTo>
                        </a:path>
                      </a:pathLst>
                    </a:cu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</xdr:grpSp>
          <xdr:grpSp>
            <xdr:nvGrpSpPr>
              <xdr:cNvPr id="30997" name="Group 1301">
                <a:extLst>
                  <a:ext uri="{FF2B5EF4-FFF2-40B4-BE49-F238E27FC236}">
                    <a16:creationId xmlns:a16="http://schemas.microsoft.com/office/drawing/2014/main" id="{00000000-0008-0000-2000-00001579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8" y="23"/>
                <a:ext cx="192" cy="217"/>
                <a:chOff x="98" y="23"/>
                <a:chExt cx="192" cy="217"/>
              </a:xfrm>
            </xdr:grpSpPr>
            <xdr:grpSp>
              <xdr:nvGrpSpPr>
                <xdr:cNvPr id="30998" name="Group 1302">
                  <a:extLst>
                    <a:ext uri="{FF2B5EF4-FFF2-40B4-BE49-F238E27FC236}">
                      <a16:creationId xmlns:a16="http://schemas.microsoft.com/office/drawing/2014/main" id="{00000000-0008-0000-2000-000016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8" y="44"/>
                  <a:ext cx="192" cy="196"/>
                  <a:chOff x="124" y="10"/>
                  <a:chExt cx="192" cy="196"/>
                </a:xfrm>
              </xdr:grpSpPr>
              <xdr:sp macro="[0]!Макрос1б1" textlink="">
                <xdr:nvSpPr>
                  <xdr:cNvPr id="30999" name="Text Box 1303">
                    <a:extLst>
                      <a:ext uri="{FF2B5EF4-FFF2-40B4-BE49-F238E27FC236}">
                        <a16:creationId xmlns:a16="http://schemas.microsoft.com/office/drawing/2014/main" id="{00000000-0008-0000-2000-00001779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250" y="65"/>
                    <a:ext cx="32" cy="23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vert="vert270" wrap="none" lIns="27432" tIns="22860" rIns="0" bIns="0" anchor="t" upright="1">
                    <a:spAutoFit/>
                  </a:bodyPr>
                  <a:lstStyle/>
                  <a:p>
                    <a:pPr algn="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b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  <xdr:sp macro="[0]!Макрос1б1" textlink="">
                <xdr:nvSpPr>
                  <xdr:cNvPr id="31000" name="Text Box 1304">
                    <a:extLst>
                      <a:ext uri="{FF2B5EF4-FFF2-40B4-BE49-F238E27FC236}">
                        <a16:creationId xmlns:a16="http://schemas.microsoft.com/office/drawing/2014/main" id="{00000000-0008-0000-2000-00001879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124" y="10"/>
                    <a:ext cx="24" cy="30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h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  <xdr:sp macro="[0]!Макрос1б1" textlink="">
                <xdr:nvSpPr>
                  <xdr:cNvPr id="31001" name="Text Box 1305">
                    <a:extLst>
                      <a:ext uri="{FF2B5EF4-FFF2-40B4-BE49-F238E27FC236}">
                        <a16:creationId xmlns:a16="http://schemas.microsoft.com/office/drawing/2014/main" id="{00000000-0008-0000-2000-00001979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246" y="10"/>
                    <a:ext cx="24" cy="30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h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  <xdr:sp macro="[0]!Макрос1б1" textlink="">
                <xdr:nvSpPr>
                  <xdr:cNvPr id="31002" name="Text Box 1306">
                    <a:extLst>
                      <a:ext uri="{FF2B5EF4-FFF2-40B4-BE49-F238E27FC236}">
                        <a16:creationId xmlns:a16="http://schemas.microsoft.com/office/drawing/2014/main" id="{00000000-0008-0000-2000-00001A79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160" y="155"/>
                    <a:ext cx="31" cy="25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18288" tIns="27432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Symbol"/>
                      </a:rPr>
                      <a:t>Æ</a:t>
                    </a: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d</a:t>
                    </a:r>
                  </a:p>
                </xdr:txBody>
              </xdr:sp>
              <xdr:sp macro="[0]!Макрос1б1" textlink="">
                <xdr:nvSpPr>
                  <xdr:cNvPr id="31003" name="Text Box 1307">
                    <a:extLst>
                      <a:ext uri="{FF2B5EF4-FFF2-40B4-BE49-F238E27FC236}">
                        <a16:creationId xmlns:a16="http://schemas.microsoft.com/office/drawing/2014/main" id="{00000000-0008-0000-2000-00001B79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184" y="176"/>
                    <a:ext cx="25" cy="30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d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  <xdr:sp macro="[0]!Макрос1б1" textlink="">
                <xdr:nvSpPr>
                  <xdr:cNvPr id="31004" name="Text Box 1308">
                    <a:extLst>
                      <a:ext uri="{FF2B5EF4-FFF2-40B4-BE49-F238E27FC236}">
                        <a16:creationId xmlns:a16="http://schemas.microsoft.com/office/drawing/2014/main" id="{00000000-0008-0000-2000-00001C79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284" y="95"/>
                    <a:ext cx="32" cy="23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vert="vert270" wrap="none" lIns="27432" tIns="22860" rIns="0" bIns="0" anchor="t" upright="1">
                    <a:spAutoFit/>
                  </a:bodyPr>
                  <a:lstStyle/>
                  <a:p>
                    <a:pPr algn="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d</a:t>
                    </a:r>
                    <a:r>
                      <a:rPr lang="en-US" sz="1200" b="0" i="0" u="none" strike="noStrike" baseline="-2500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1</a:t>
                    </a:r>
                  </a:p>
                </xdr:txBody>
              </xdr:sp>
            </xdr:grpSp>
            <xdr:sp macro="[0]!Макрос1б1" textlink="">
              <xdr:nvSpPr>
                <xdr:cNvPr id="31005" name="Text Box 1309">
                  <a:extLst>
                    <a:ext uri="{FF2B5EF4-FFF2-40B4-BE49-F238E27FC236}">
                      <a16:creationId xmlns:a16="http://schemas.microsoft.com/office/drawing/2014/main" id="{00000000-0008-0000-2000-00001D79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46" y="23"/>
                  <a:ext cx="45" cy="25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1" i="0" u="sng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A - A</a:t>
                  </a:r>
                </a:p>
              </xdr:txBody>
            </xdr:sp>
          </xdr:grpSp>
        </xdr:grpSp>
        <xdr:grpSp>
          <xdr:nvGrpSpPr>
            <xdr:cNvPr id="31006" name="Group 1310">
              <a:extLst>
                <a:ext uri="{FF2B5EF4-FFF2-40B4-BE49-F238E27FC236}">
                  <a16:creationId xmlns:a16="http://schemas.microsoft.com/office/drawing/2014/main" id="{00000000-0008-0000-2000-00001E7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65" y="897"/>
              <a:ext cx="162" cy="88"/>
              <a:chOff x="84" y="280"/>
              <a:chExt cx="162" cy="88"/>
            </a:xfrm>
          </xdr:grpSpPr>
          <xdr:grpSp>
            <xdr:nvGrpSpPr>
              <xdr:cNvPr id="31007" name="Group 1311">
                <a:extLst>
                  <a:ext uri="{FF2B5EF4-FFF2-40B4-BE49-F238E27FC236}">
                    <a16:creationId xmlns:a16="http://schemas.microsoft.com/office/drawing/2014/main" id="{00000000-0008-0000-2000-00001F79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2" y="299"/>
                <a:ext cx="154" cy="69"/>
                <a:chOff x="35" y="297"/>
                <a:chExt cx="154" cy="69"/>
              </a:xfrm>
            </xdr:grpSpPr>
            <xdr:grpSp>
              <xdr:nvGrpSpPr>
                <xdr:cNvPr id="31008" name="Group 1312">
                  <a:extLst>
                    <a:ext uri="{FF2B5EF4-FFF2-40B4-BE49-F238E27FC236}">
                      <a16:creationId xmlns:a16="http://schemas.microsoft.com/office/drawing/2014/main" id="{00000000-0008-0000-2000-000020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3" y="320"/>
                  <a:ext cx="97" cy="46"/>
                  <a:chOff x="507" y="296"/>
                  <a:chExt cx="97" cy="46"/>
                </a:xfrm>
              </xdr:grpSpPr>
              <xdr:sp macro="[0]!Макрос1б1" textlink="">
                <xdr:nvSpPr>
                  <xdr:cNvPr id="31009" name="Freeform 1313">
                    <a:extLst>
                      <a:ext uri="{FF2B5EF4-FFF2-40B4-BE49-F238E27FC236}">
                        <a16:creationId xmlns:a16="http://schemas.microsoft.com/office/drawing/2014/main" id="{00000000-0008-0000-2000-000021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508" y="296"/>
                    <a:ext cx="96" cy="18"/>
                  </a:xfrm>
                  <a:custGeom>
                    <a:avLst/>
                    <a:gdLst/>
                    <a:ahLst/>
                    <a:cxnLst>
                      <a:cxn ang="0">
                        <a:pos x="36" y="0"/>
                      </a:cxn>
                      <a:cxn ang="0">
                        <a:pos x="62" y="0"/>
                      </a:cxn>
                      <a:cxn ang="0">
                        <a:pos x="73" y="12"/>
                      </a:cxn>
                      <a:cxn ang="0">
                        <a:pos x="96" y="12"/>
                      </a:cxn>
                      <a:cxn ang="0">
                        <a:pos x="71" y="16"/>
                      </a:cxn>
                      <a:cxn ang="0">
                        <a:pos x="17" y="17"/>
                      </a:cxn>
                      <a:cxn ang="0">
                        <a:pos x="12" y="16"/>
                      </a:cxn>
                      <a:cxn ang="0">
                        <a:pos x="2" y="12"/>
                      </a:cxn>
                      <a:cxn ang="0">
                        <a:pos x="24" y="12"/>
                      </a:cxn>
                      <a:cxn ang="0">
                        <a:pos x="36" y="0"/>
                      </a:cxn>
                    </a:cxnLst>
                    <a:rect l="0" t="0" r="r" b="b"/>
                    <a:pathLst>
                      <a:path w="96" h="18">
                        <a:moveTo>
                          <a:pt x="36" y="0"/>
                        </a:moveTo>
                        <a:cubicBezTo>
                          <a:pt x="45" y="0"/>
                          <a:pt x="52" y="0"/>
                          <a:pt x="62" y="0"/>
                        </a:cubicBezTo>
                        <a:cubicBezTo>
                          <a:pt x="63" y="9"/>
                          <a:pt x="67" y="10"/>
                          <a:pt x="73" y="12"/>
                        </a:cubicBezTo>
                        <a:cubicBezTo>
                          <a:pt x="84" y="12"/>
                          <a:pt x="89" y="12"/>
                          <a:pt x="96" y="12"/>
                        </a:cubicBezTo>
                        <a:cubicBezTo>
                          <a:pt x="95" y="18"/>
                          <a:pt x="84" y="15"/>
                          <a:pt x="71" y="16"/>
                        </a:cubicBezTo>
                        <a:lnTo>
                          <a:pt x="17" y="17"/>
                        </a:lnTo>
                        <a:cubicBezTo>
                          <a:pt x="7" y="17"/>
                          <a:pt x="14" y="17"/>
                          <a:pt x="12" y="16"/>
                        </a:cubicBezTo>
                        <a:cubicBezTo>
                          <a:pt x="10" y="15"/>
                          <a:pt x="0" y="13"/>
                          <a:pt x="2" y="12"/>
                        </a:cubicBezTo>
                        <a:cubicBezTo>
                          <a:pt x="8" y="12"/>
                          <a:pt x="18" y="12"/>
                          <a:pt x="24" y="12"/>
                        </a:cubicBezTo>
                        <a:cubicBezTo>
                          <a:pt x="30" y="10"/>
                          <a:pt x="35" y="9"/>
                          <a:pt x="36" y="0"/>
                        </a:cubicBezTo>
                        <a:close/>
                      </a:path>
                    </a:pathLst>
                  </a:custGeom>
                  <a:noFill/>
                  <a:ln w="190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1б1" textlink="">
                <xdr:nvSpPr>
                  <xdr:cNvPr id="31010" name="Freeform 1314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000-000022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507" y="297"/>
                    <a:ext cx="97" cy="45"/>
                  </a:xfrm>
                  <a:custGeom>
                    <a:avLst/>
                    <a:gdLst/>
                    <a:ahLst/>
                    <a:cxnLst>
                      <a:cxn ang="0">
                        <a:pos x="37" y="0"/>
                      </a:cxn>
                      <a:cxn ang="0">
                        <a:pos x="63" y="0"/>
                      </a:cxn>
                      <a:cxn ang="0">
                        <a:pos x="75" y="12"/>
                      </a:cxn>
                      <a:cxn ang="0">
                        <a:pos x="97" y="12"/>
                      </a:cxn>
                      <a:cxn ang="0">
                        <a:pos x="97" y="25"/>
                      </a:cxn>
                      <a:cxn ang="0">
                        <a:pos x="84" y="36"/>
                      </a:cxn>
                      <a:cxn ang="0">
                        <a:pos x="67" y="38"/>
                      </a:cxn>
                      <a:cxn ang="0">
                        <a:pos x="41" y="45"/>
                      </a:cxn>
                      <a:cxn ang="0">
                        <a:pos x="24" y="38"/>
                      </a:cxn>
                      <a:cxn ang="0">
                        <a:pos x="8" y="32"/>
                      </a:cxn>
                      <a:cxn ang="0">
                        <a:pos x="7" y="22"/>
                      </a:cxn>
                      <a:cxn ang="0">
                        <a:pos x="3" y="12"/>
                      </a:cxn>
                      <a:cxn ang="0">
                        <a:pos x="24" y="12"/>
                      </a:cxn>
                      <a:cxn ang="0">
                        <a:pos x="37" y="0"/>
                      </a:cxn>
                    </a:cxnLst>
                    <a:rect l="0" t="0" r="r" b="b"/>
                    <a:pathLst>
                      <a:path w="97" h="45">
                        <a:moveTo>
                          <a:pt x="37" y="0"/>
                        </a:moveTo>
                        <a:cubicBezTo>
                          <a:pt x="46" y="0"/>
                          <a:pt x="53" y="0"/>
                          <a:pt x="63" y="0"/>
                        </a:cubicBezTo>
                        <a:cubicBezTo>
                          <a:pt x="64" y="9"/>
                          <a:pt x="69" y="10"/>
                          <a:pt x="75" y="12"/>
                        </a:cubicBezTo>
                        <a:cubicBezTo>
                          <a:pt x="86" y="12"/>
                          <a:pt x="90" y="12"/>
                          <a:pt x="97" y="12"/>
                        </a:cubicBezTo>
                        <a:cubicBezTo>
                          <a:pt x="96" y="18"/>
                          <a:pt x="97" y="25"/>
                          <a:pt x="97" y="25"/>
                        </a:cubicBezTo>
                        <a:lnTo>
                          <a:pt x="84" y="36"/>
                        </a:lnTo>
                        <a:lnTo>
                          <a:pt x="67" y="38"/>
                        </a:lnTo>
                        <a:lnTo>
                          <a:pt x="41" y="45"/>
                        </a:lnTo>
                        <a:lnTo>
                          <a:pt x="24" y="38"/>
                        </a:lnTo>
                        <a:lnTo>
                          <a:pt x="8" y="32"/>
                        </a:lnTo>
                        <a:lnTo>
                          <a:pt x="7" y="22"/>
                        </a:lnTo>
                        <a:cubicBezTo>
                          <a:pt x="6" y="19"/>
                          <a:pt x="0" y="14"/>
                          <a:pt x="3" y="12"/>
                        </a:cubicBezTo>
                        <a:cubicBezTo>
                          <a:pt x="9" y="12"/>
                          <a:pt x="18" y="12"/>
                          <a:pt x="24" y="12"/>
                        </a:cubicBezTo>
                        <a:cubicBezTo>
                          <a:pt x="30" y="10"/>
                          <a:pt x="36" y="9"/>
                          <a:pt x="37" y="0"/>
                        </a:cubicBezTo>
                        <a:close/>
                      </a:path>
                    </a:pathLst>
                  </a:custGeom>
                  <a:pattFill prst="ltDn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63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011" name="Group 1315">
                  <a:extLst>
                    <a:ext uri="{FF2B5EF4-FFF2-40B4-BE49-F238E27FC236}">
                      <a16:creationId xmlns:a16="http://schemas.microsoft.com/office/drawing/2014/main" id="{00000000-0008-0000-2000-000023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5" y="297"/>
                  <a:ext cx="73" cy="55"/>
                  <a:chOff x="35" y="297"/>
                  <a:chExt cx="73" cy="55"/>
                </a:xfrm>
              </xdr:grpSpPr>
              <xdr:sp macro="[0]!Макрос1б1" textlink="">
                <xdr:nvSpPr>
                  <xdr:cNvPr id="31012" name="Line 1316">
                    <a:extLst>
                      <a:ext uri="{FF2B5EF4-FFF2-40B4-BE49-F238E27FC236}">
                        <a16:creationId xmlns:a16="http://schemas.microsoft.com/office/drawing/2014/main" id="{00000000-0008-0000-2000-000024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35" y="318"/>
                    <a:ext cx="73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б1" textlink="">
                <xdr:nvSpPr>
                  <xdr:cNvPr id="31013" name="Line 1317">
                    <a:extLst>
                      <a:ext uri="{FF2B5EF4-FFF2-40B4-BE49-F238E27FC236}">
                        <a16:creationId xmlns:a16="http://schemas.microsoft.com/office/drawing/2014/main" id="{00000000-0008-0000-2000-000025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35" y="331"/>
                    <a:ext cx="38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б1" textlink="">
                <xdr:nvSpPr>
                  <xdr:cNvPr id="31014" name="Line 1318">
                    <a:extLst>
                      <a:ext uri="{FF2B5EF4-FFF2-40B4-BE49-F238E27FC236}">
                        <a16:creationId xmlns:a16="http://schemas.microsoft.com/office/drawing/2014/main" id="{00000000-0008-0000-2000-000026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47" y="318"/>
                    <a:ext cx="0" cy="13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б1" textlink="">
                <xdr:nvSpPr>
                  <xdr:cNvPr id="31015" name="Line 1319">
                    <a:extLst>
                      <a:ext uri="{FF2B5EF4-FFF2-40B4-BE49-F238E27FC236}">
                        <a16:creationId xmlns:a16="http://schemas.microsoft.com/office/drawing/2014/main" id="{00000000-0008-0000-2000-000027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47" y="297"/>
                    <a:ext cx="0" cy="21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б1" textlink="">
                <xdr:nvSpPr>
                  <xdr:cNvPr id="31016" name="Line 1320">
                    <a:extLst>
                      <a:ext uri="{FF2B5EF4-FFF2-40B4-BE49-F238E27FC236}">
                        <a16:creationId xmlns:a16="http://schemas.microsoft.com/office/drawing/2014/main" id="{00000000-0008-0000-2000-000028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47" y="331"/>
                    <a:ext cx="0" cy="21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sp macro="[0]!Макрос1б1" textlink="">
              <xdr:nvSpPr>
                <xdr:cNvPr id="31017" name="Freeform 1321">
                  <a:extLst>
                    <a:ext uri="{FF2B5EF4-FFF2-40B4-BE49-F238E27FC236}">
                      <a16:creationId xmlns:a16="http://schemas.microsoft.com/office/drawing/2014/main" id="{00000000-0008-0000-2000-00002979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38" y="309"/>
                  <a:ext cx="51" cy="20"/>
                </a:xfrm>
                <a:custGeom>
                  <a:avLst/>
                  <a:gdLst/>
                  <a:ahLst/>
                  <a:cxnLst>
                    <a:cxn ang="0">
                      <a:pos x="0" y="20"/>
                    </a:cxn>
                    <a:cxn ang="0">
                      <a:pos x="20" y="0"/>
                    </a:cxn>
                    <a:cxn ang="0">
                      <a:pos x="51" y="0"/>
                    </a:cxn>
                  </a:cxnLst>
                  <a:rect l="0" t="0" r="r" b="b"/>
                  <a:pathLst>
                    <a:path w="51" h="20">
                      <a:moveTo>
                        <a:pt x="0" y="20"/>
                      </a:moveTo>
                      <a:lnTo>
                        <a:pt x="20" y="0"/>
                      </a:lnTo>
                      <a:lnTo>
                        <a:pt x="51" y="0"/>
                      </a:lnTo>
                    </a:path>
                  </a:pathLst>
                </a:custGeom>
                <a:noFill/>
                <a:ln w="9525" cap="flat" cmpd="sng">
                  <a:solidFill>
                    <a:srgbClr val="0000FF"/>
                  </a:solidFill>
                  <a:prstDash val="solid"/>
                  <a:round/>
                  <a:headEnd type="stealth" w="sm" len="lg"/>
                  <a:tailEnd type="none" w="med" len="med"/>
                </a:ln>
              </xdr:spPr>
            </xdr:sp>
          </xdr:grpSp>
          <xdr:grpSp>
            <xdr:nvGrpSpPr>
              <xdr:cNvPr id="31018" name="Group 1322">
                <a:extLst>
                  <a:ext uri="{FF2B5EF4-FFF2-40B4-BE49-F238E27FC236}">
                    <a16:creationId xmlns:a16="http://schemas.microsoft.com/office/drawing/2014/main" id="{00000000-0008-0000-2000-00002A79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4" y="280"/>
                <a:ext cx="155" cy="35"/>
                <a:chOff x="84" y="280"/>
                <a:chExt cx="155" cy="35"/>
              </a:xfrm>
            </xdr:grpSpPr>
            <xdr:grpSp>
              <xdr:nvGrpSpPr>
                <xdr:cNvPr id="31019" name="Group 1323">
                  <a:extLst>
                    <a:ext uri="{FF2B5EF4-FFF2-40B4-BE49-F238E27FC236}">
                      <a16:creationId xmlns:a16="http://schemas.microsoft.com/office/drawing/2014/main" id="{00000000-0008-0000-2000-00002B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84" y="291"/>
                  <a:ext cx="155" cy="24"/>
                  <a:chOff x="84" y="291"/>
                  <a:chExt cx="155" cy="24"/>
                </a:xfrm>
              </xdr:grpSpPr>
              <xdr:sp macro="[0]!Макрос1б1" textlink="">
                <xdr:nvSpPr>
                  <xdr:cNvPr id="31020" name="Text Box 1324">
                    <a:extLst>
                      <a:ext uri="{FF2B5EF4-FFF2-40B4-BE49-F238E27FC236}">
                        <a16:creationId xmlns:a16="http://schemas.microsoft.com/office/drawing/2014/main" id="{00000000-0008-0000-2000-00002C79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84" y="295"/>
                    <a:ext cx="26" cy="16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vert="vert270" wrap="none" lIns="27432" tIns="22860" rIns="0" bIns="0" anchor="t" upright="1">
                    <a:spAutoFit/>
                  </a:bodyPr>
                  <a:lstStyle/>
                  <a:p>
                    <a:pPr algn="r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h</a:t>
                    </a:r>
                  </a:p>
                </xdr:txBody>
              </xdr:sp>
              <xdr:sp macro="[0]!Макрос1б1" textlink="">
                <xdr:nvSpPr>
                  <xdr:cNvPr id="31021" name="Text Box 1325">
                    <a:extLst>
                      <a:ext uri="{FF2B5EF4-FFF2-40B4-BE49-F238E27FC236}">
                        <a16:creationId xmlns:a16="http://schemas.microsoft.com/office/drawing/2014/main" id="{00000000-0008-0000-2000-00002D790000}"/>
                      </a:ext>
                    </a:extLst>
                  </xdr:cNvPr>
                  <xdr:cNvSpPr txBox="1">
                    <a:spLocks noChangeArrowheads="1"/>
                  </xdr:cNvSpPr>
                </xdr:nvSpPr>
                <xdr:spPr bwMode="auto">
                  <a:xfrm>
                    <a:off x="224" y="291"/>
                    <a:ext cx="15" cy="24"/>
                  </a:xfrm>
                  <a:prstGeom prst="rect">
                    <a:avLst/>
                  </a:prstGeom>
                  <a:noFill/>
                  <a:ln w="9525">
                    <a:noFill/>
                    <a:miter lim="800000"/>
                    <a:headEnd/>
                    <a:tailEnd/>
                  </a:ln>
                </xdr:spPr>
                <xdr:txBody>
                  <a:bodyPr wrap="none" lIns="27432" tIns="22860" rIns="0" bIns="0" anchor="t" upright="1">
                    <a:spAutoFit/>
                  </a:bodyPr>
                  <a:lstStyle/>
                  <a:p>
                    <a:pPr algn="l" rtl="0">
                      <a:defRPr sz="1000"/>
                    </a:pPr>
                    <a:r>
                      <a:rPr lang="en-US" sz="1200" b="0" i="0" u="none" strike="noStrike" baseline="0">
                        <a:solidFill>
                          <a:srgbClr val="333399"/>
                        </a:solidFill>
                        <a:latin typeface="Arial Cyr"/>
                        <a:cs typeface="Arial Cyr"/>
                      </a:rPr>
                      <a:t>r</a:t>
                    </a:r>
                  </a:p>
                </xdr:txBody>
              </xdr:sp>
            </xdr:grpSp>
            <xdr:sp macro="[0]!Макрос1б1" textlink="">
              <xdr:nvSpPr>
                <xdr:cNvPr id="31022" name="Text Box 1326">
                  <a:extLst>
                    <a:ext uri="{FF2B5EF4-FFF2-40B4-BE49-F238E27FC236}">
                      <a16:creationId xmlns:a16="http://schemas.microsoft.com/office/drawing/2014/main" id="{00000000-0008-0000-2000-00002E79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56" y="280"/>
                  <a:ext cx="48" cy="25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200" b="1" i="0" u="sng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Б - Б</a:t>
                  </a:r>
                </a:p>
              </xdr:txBody>
            </xdr:sp>
          </xdr:grpSp>
        </xdr:grpSp>
        <xdr:grpSp>
          <xdr:nvGrpSpPr>
            <xdr:cNvPr id="31023" name="Group 1327">
              <a:extLst>
                <a:ext uri="{FF2B5EF4-FFF2-40B4-BE49-F238E27FC236}">
                  <a16:creationId xmlns:a16="http://schemas.microsoft.com/office/drawing/2014/main" id="{00000000-0008-0000-2000-00002F7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6" y="877"/>
              <a:ext cx="131" cy="126"/>
              <a:chOff x="86" y="390"/>
              <a:chExt cx="131" cy="126"/>
            </a:xfrm>
          </xdr:grpSpPr>
          <xdr:grpSp>
            <xdr:nvGrpSpPr>
              <xdr:cNvPr id="31024" name="Group 1328">
                <a:extLst>
                  <a:ext uri="{FF2B5EF4-FFF2-40B4-BE49-F238E27FC236}">
                    <a16:creationId xmlns:a16="http://schemas.microsoft.com/office/drawing/2014/main" id="{00000000-0008-0000-2000-00003079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2" y="417"/>
                <a:ext cx="114" cy="99"/>
                <a:chOff x="129" y="361"/>
                <a:chExt cx="114" cy="99"/>
              </a:xfrm>
            </xdr:grpSpPr>
            <xdr:grpSp>
              <xdr:nvGrpSpPr>
                <xdr:cNvPr id="31025" name="Group 1329">
                  <a:extLst>
                    <a:ext uri="{FF2B5EF4-FFF2-40B4-BE49-F238E27FC236}">
                      <a16:creationId xmlns:a16="http://schemas.microsoft.com/office/drawing/2014/main" id="{00000000-0008-0000-2000-000031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70" y="389"/>
                  <a:ext cx="73" cy="70"/>
                  <a:chOff x="357" y="324"/>
                  <a:chExt cx="73" cy="70"/>
                </a:xfrm>
              </xdr:grpSpPr>
              <xdr:sp macro="[0]!Макрос1б1" textlink="">
                <xdr:nvSpPr>
                  <xdr:cNvPr id="31026" name="Freeform 1330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000-000032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357" y="324"/>
                    <a:ext cx="46" cy="70"/>
                  </a:xfrm>
                  <a:custGeom>
                    <a:avLst/>
                    <a:gdLst/>
                    <a:ahLst/>
                    <a:cxnLst>
                      <a:cxn ang="0">
                        <a:pos x="0" y="27"/>
                      </a:cxn>
                      <a:cxn ang="0">
                        <a:pos x="19" y="27"/>
                      </a:cxn>
                      <a:cxn ang="0">
                        <a:pos x="28" y="12"/>
                      </a:cxn>
                      <a:cxn ang="0">
                        <a:pos x="46" y="0"/>
                      </a:cxn>
                      <a:cxn ang="0">
                        <a:pos x="45" y="18"/>
                      </a:cxn>
                      <a:cxn ang="0">
                        <a:pos x="34" y="70"/>
                      </a:cxn>
                      <a:cxn ang="0">
                        <a:pos x="25" y="59"/>
                      </a:cxn>
                      <a:cxn ang="0">
                        <a:pos x="20" y="45"/>
                      </a:cxn>
                      <a:cxn ang="0">
                        <a:pos x="0" y="45"/>
                      </a:cxn>
                      <a:cxn ang="0">
                        <a:pos x="0" y="27"/>
                      </a:cxn>
                    </a:cxnLst>
                    <a:rect l="0" t="0" r="r" b="b"/>
                    <a:pathLst>
                      <a:path w="46" h="70">
                        <a:moveTo>
                          <a:pt x="0" y="27"/>
                        </a:moveTo>
                        <a:cubicBezTo>
                          <a:pt x="7" y="27"/>
                          <a:pt x="9" y="27"/>
                          <a:pt x="19" y="27"/>
                        </a:cubicBezTo>
                        <a:cubicBezTo>
                          <a:pt x="21" y="22"/>
                          <a:pt x="22" y="22"/>
                          <a:pt x="28" y="12"/>
                        </a:cubicBezTo>
                        <a:cubicBezTo>
                          <a:pt x="34" y="3"/>
                          <a:pt x="42" y="2"/>
                          <a:pt x="46" y="0"/>
                        </a:cubicBezTo>
                        <a:lnTo>
                          <a:pt x="45" y="18"/>
                        </a:lnTo>
                        <a:cubicBezTo>
                          <a:pt x="45" y="18"/>
                          <a:pt x="39" y="44"/>
                          <a:pt x="34" y="70"/>
                        </a:cubicBezTo>
                        <a:cubicBezTo>
                          <a:pt x="30" y="67"/>
                          <a:pt x="28" y="65"/>
                          <a:pt x="25" y="59"/>
                        </a:cubicBezTo>
                        <a:cubicBezTo>
                          <a:pt x="22" y="53"/>
                          <a:pt x="23" y="51"/>
                          <a:pt x="20" y="45"/>
                        </a:cubicBezTo>
                        <a:cubicBezTo>
                          <a:pt x="11" y="45"/>
                          <a:pt x="10" y="45"/>
                          <a:pt x="0" y="45"/>
                        </a:cubicBezTo>
                        <a:cubicBezTo>
                          <a:pt x="0" y="38"/>
                          <a:pt x="0" y="35"/>
                          <a:pt x="0" y="27"/>
                        </a:cubicBezTo>
                        <a:close/>
                      </a:path>
                    </a:pathLst>
                  </a:custGeom>
                  <a:noFill/>
                  <a:ln w="190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1б1" textlink="">
                <xdr:nvSpPr>
                  <xdr:cNvPr id="31027" name="Freeform 1331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000-00003379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357" y="324"/>
                    <a:ext cx="73" cy="70"/>
                  </a:xfrm>
                  <a:custGeom>
                    <a:avLst/>
                    <a:gdLst/>
                    <a:ahLst/>
                    <a:cxnLst>
                      <a:cxn ang="0">
                        <a:pos x="0" y="27"/>
                      </a:cxn>
                      <a:cxn ang="0">
                        <a:pos x="19" y="27"/>
                      </a:cxn>
                      <a:cxn ang="0">
                        <a:pos x="28" y="12"/>
                      </a:cxn>
                      <a:cxn ang="0">
                        <a:pos x="46" y="0"/>
                      </a:cxn>
                      <a:cxn ang="0">
                        <a:pos x="54" y="3"/>
                      </a:cxn>
                      <a:cxn ang="0">
                        <a:pos x="63" y="4"/>
                      </a:cxn>
                      <a:cxn ang="0">
                        <a:pos x="66" y="12"/>
                      </a:cxn>
                      <a:cxn ang="0">
                        <a:pos x="73" y="24"/>
                      </a:cxn>
                      <a:cxn ang="0">
                        <a:pos x="69" y="35"/>
                      </a:cxn>
                      <a:cxn ang="0">
                        <a:pos x="70" y="47"/>
                      </a:cxn>
                      <a:cxn ang="0">
                        <a:pos x="63" y="53"/>
                      </a:cxn>
                      <a:cxn ang="0">
                        <a:pos x="57" y="65"/>
                      </a:cxn>
                      <a:cxn ang="0">
                        <a:pos x="42" y="68"/>
                      </a:cxn>
                      <a:cxn ang="0">
                        <a:pos x="34" y="70"/>
                      </a:cxn>
                      <a:cxn ang="0">
                        <a:pos x="26" y="60"/>
                      </a:cxn>
                      <a:cxn ang="0">
                        <a:pos x="20" y="45"/>
                      </a:cxn>
                      <a:cxn ang="0">
                        <a:pos x="0" y="45"/>
                      </a:cxn>
                      <a:cxn ang="0">
                        <a:pos x="0" y="27"/>
                      </a:cxn>
                    </a:cxnLst>
                    <a:rect l="0" t="0" r="r" b="b"/>
                    <a:pathLst>
                      <a:path w="73" h="70">
                        <a:moveTo>
                          <a:pt x="0" y="27"/>
                        </a:moveTo>
                        <a:cubicBezTo>
                          <a:pt x="7" y="27"/>
                          <a:pt x="9" y="27"/>
                          <a:pt x="19" y="27"/>
                        </a:cubicBezTo>
                        <a:cubicBezTo>
                          <a:pt x="21" y="22"/>
                          <a:pt x="22" y="22"/>
                          <a:pt x="28" y="12"/>
                        </a:cubicBezTo>
                        <a:cubicBezTo>
                          <a:pt x="34" y="3"/>
                          <a:pt x="42" y="2"/>
                          <a:pt x="46" y="0"/>
                        </a:cubicBezTo>
                        <a:lnTo>
                          <a:pt x="54" y="3"/>
                        </a:lnTo>
                        <a:lnTo>
                          <a:pt x="63" y="4"/>
                        </a:lnTo>
                        <a:lnTo>
                          <a:pt x="66" y="12"/>
                        </a:lnTo>
                        <a:lnTo>
                          <a:pt x="73" y="24"/>
                        </a:lnTo>
                        <a:lnTo>
                          <a:pt x="69" y="35"/>
                        </a:lnTo>
                        <a:lnTo>
                          <a:pt x="70" y="47"/>
                        </a:lnTo>
                        <a:lnTo>
                          <a:pt x="63" y="53"/>
                        </a:lnTo>
                        <a:lnTo>
                          <a:pt x="57" y="65"/>
                        </a:lnTo>
                        <a:lnTo>
                          <a:pt x="42" y="68"/>
                        </a:lnTo>
                        <a:cubicBezTo>
                          <a:pt x="42" y="68"/>
                          <a:pt x="38" y="69"/>
                          <a:pt x="34" y="70"/>
                        </a:cubicBezTo>
                        <a:cubicBezTo>
                          <a:pt x="31" y="67"/>
                          <a:pt x="28" y="64"/>
                          <a:pt x="26" y="60"/>
                        </a:cubicBezTo>
                        <a:cubicBezTo>
                          <a:pt x="24" y="56"/>
                          <a:pt x="24" y="55"/>
                          <a:pt x="20" y="45"/>
                        </a:cubicBezTo>
                        <a:cubicBezTo>
                          <a:pt x="11" y="45"/>
                          <a:pt x="10" y="45"/>
                          <a:pt x="0" y="45"/>
                        </a:cubicBezTo>
                        <a:cubicBezTo>
                          <a:pt x="0" y="38"/>
                          <a:pt x="0" y="35"/>
                          <a:pt x="0" y="27"/>
                        </a:cubicBezTo>
                        <a:close/>
                      </a:path>
                    </a:pathLst>
                  </a:custGeom>
                  <a:pattFill prst="ltDn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63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028" name="Group 1332">
                  <a:extLst>
                    <a:ext uri="{FF2B5EF4-FFF2-40B4-BE49-F238E27FC236}">
                      <a16:creationId xmlns:a16="http://schemas.microsoft.com/office/drawing/2014/main" id="{00000000-0008-0000-2000-00003479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29" y="389"/>
                  <a:ext cx="38" cy="71"/>
                  <a:chOff x="157" y="171"/>
                  <a:chExt cx="38" cy="75"/>
                </a:xfrm>
              </xdr:grpSpPr>
              <xdr:sp macro="[0]!Макрос1б1" textlink="">
                <xdr:nvSpPr>
                  <xdr:cNvPr id="31029" name="Line 1333">
                    <a:extLst>
                      <a:ext uri="{FF2B5EF4-FFF2-40B4-BE49-F238E27FC236}">
                        <a16:creationId xmlns:a16="http://schemas.microsoft.com/office/drawing/2014/main" id="{00000000-0008-0000-2000-000035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57" y="199"/>
                    <a:ext cx="38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б1" textlink="">
                <xdr:nvSpPr>
                  <xdr:cNvPr id="31030" name="Line 1334">
                    <a:extLst>
                      <a:ext uri="{FF2B5EF4-FFF2-40B4-BE49-F238E27FC236}">
                        <a16:creationId xmlns:a16="http://schemas.microsoft.com/office/drawing/2014/main" id="{00000000-0008-0000-2000-000036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57" y="218"/>
                    <a:ext cx="38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б1" textlink="">
                <xdr:nvSpPr>
                  <xdr:cNvPr id="31031" name="Line 1335">
                    <a:extLst>
                      <a:ext uri="{FF2B5EF4-FFF2-40B4-BE49-F238E27FC236}">
                        <a16:creationId xmlns:a16="http://schemas.microsoft.com/office/drawing/2014/main" id="{00000000-0008-0000-2000-000037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69" y="199"/>
                    <a:ext cx="0" cy="1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1б1" textlink="">
                <xdr:nvSpPr>
                  <xdr:cNvPr id="31032" name="Line 1336">
                    <a:extLst>
                      <a:ext uri="{FF2B5EF4-FFF2-40B4-BE49-F238E27FC236}">
                        <a16:creationId xmlns:a16="http://schemas.microsoft.com/office/drawing/2014/main" id="{00000000-0008-0000-2000-000038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V="1">
                    <a:off x="169" y="171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  <xdr:sp macro="[0]!Макрос1б1" textlink="">
                <xdr:nvSpPr>
                  <xdr:cNvPr id="31033" name="Line 1337">
                    <a:extLst>
                      <a:ext uri="{FF2B5EF4-FFF2-40B4-BE49-F238E27FC236}">
                        <a16:creationId xmlns:a16="http://schemas.microsoft.com/office/drawing/2014/main" id="{00000000-0008-0000-2000-00003979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69" y="218"/>
                    <a:ext cx="0" cy="2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sp macro="[0]!Макрос1б1" textlink="">
              <xdr:nvSpPr>
                <xdr:cNvPr id="31034" name="Line 1338">
                  <a:extLst>
                    <a:ext uri="{FF2B5EF4-FFF2-40B4-BE49-F238E27FC236}">
                      <a16:creationId xmlns:a16="http://schemas.microsoft.com/office/drawing/2014/main" id="{00000000-0008-0000-2000-00003A79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161" y="388"/>
                  <a:ext cx="53" cy="0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/>
                  <a:tailEnd/>
                </a:ln>
              </xdr:spPr>
            </xdr:sp>
            <xdr:sp macro="[0]!Макрос1б1" textlink="">
              <xdr:nvSpPr>
                <xdr:cNvPr id="31035" name="Line 1339">
                  <a:extLst>
                    <a:ext uri="{FF2B5EF4-FFF2-40B4-BE49-F238E27FC236}">
                      <a16:creationId xmlns:a16="http://schemas.microsoft.com/office/drawing/2014/main" id="{00000000-0008-0000-2000-00003B79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144" y="388"/>
                  <a:ext cx="53" cy="0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/>
                  <a:tailEnd/>
                </a:ln>
              </xdr:spPr>
            </xdr:sp>
            <xdr:sp macro="[0]!Макрос1б1" textlink="">
              <xdr:nvSpPr>
                <xdr:cNvPr id="31036" name="Line 1340">
                  <a:extLst>
                    <a:ext uri="{FF2B5EF4-FFF2-40B4-BE49-F238E27FC236}">
                      <a16:creationId xmlns:a16="http://schemas.microsoft.com/office/drawing/2014/main" id="{00000000-0008-0000-2000-00003C79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179" y="364"/>
                  <a:ext cx="0" cy="17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/>
                  <a:tailEnd/>
                </a:ln>
              </xdr:spPr>
            </xdr:sp>
            <xdr:sp macro="[0]!Макрос1б1" textlink="">
              <xdr:nvSpPr>
                <xdr:cNvPr id="31037" name="Line 1341">
                  <a:extLst>
                    <a:ext uri="{FF2B5EF4-FFF2-40B4-BE49-F238E27FC236}">
                      <a16:creationId xmlns:a16="http://schemas.microsoft.com/office/drawing/2014/main" id="{00000000-0008-0000-2000-00003D79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 flipV="1">
                  <a:off x="201" y="359"/>
                  <a:ext cx="0" cy="27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 type="stealth" w="sm" len="lg"/>
                  <a:tailEnd/>
                </a:ln>
              </xdr:spPr>
            </xdr:sp>
            <xdr:sp macro="[0]!Макрос1б1" textlink="">
              <xdr:nvSpPr>
                <xdr:cNvPr id="31038" name="Line 1342">
                  <a:extLst>
                    <a:ext uri="{FF2B5EF4-FFF2-40B4-BE49-F238E27FC236}">
                      <a16:creationId xmlns:a16="http://schemas.microsoft.com/office/drawing/2014/main" id="{00000000-0008-0000-2000-00003E79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5400000">
                  <a:off x="157" y="359"/>
                  <a:ext cx="0" cy="27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 type="stealth" w="sm" len="lg"/>
                  <a:tailEnd/>
                </a:ln>
              </xdr:spPr>
            </xdr:sp>
          </xdr:grpSp>
          <xdr:grpSp>
            <xdr:nvGrpSpPr>
              <xdr:cNvPr id="31039" name="Group 1343">
                <a:extLst>
                  <a:ext uri="{FF2B5EF4-FFF2-40B4-BE49-F238E27FC236}">
                    <a16:creationId xmlns:a16="http://schemas.microsoft.com/office/drawing/2014/main" id="{00000000-0008-0000-2000-00003F79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6" y="390"/>
                <a:ext cx="131" cy="104"/>
                <a:chOff x="86" y="390"/>
                <a:chExt cx="131" cy="104"/>
              </a:xfrm>
            </xdr:grpSpPr>
            <xdr:sp macro="[0]!Макрос1б1" textlink="">
              <xdr:nvSpPr>
                <xdr:cNvPr id="31040" name="Text Box 1344">
                  <a:extLst>
                    <a:ext uri="{FF2B5EF4-FFF2-40B4-BE49-F238E27FC236}">
                      <a16:creationId xmlns:a16="http://schemas.microsoft.com/office/drawing/2014/main" id="{00000000-0008-0000-2000-00004079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70" y="390"/>
                  <a:ext cx="47" cy="25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7432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1" i="0" u="sng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B - B</a:t>
                  </a:r>
                </a:p>
              </xdr:txBody>
            </xdr:sp>
            <xdr:sp macro="[0]!Макрос1б1" textlink="">
              <xdr:nvSpPr>
                <xdr:cNvPr id="31041" name="Text Box 1345">
                  <a:extLst>
                    <a:ext uri="{FF2B5EF4-FFF2-40B4-BE49-F238E27FC236}">
                      <a16:creationId xmlns:a16="http://schemas.microsoft.com/office/drawing/2014/main" id="{00000000-0008-0000-2000-00004179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52" y="397"/>
                  <a:ext cx="24" cy="30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h</a:t>
                  </a:r>
                  <a:r>
                    <a:rPr lang="en-US" sz="1200" b="0" i="0" u="none" strike="noStrike" baseline="-2500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1</a:t>
                  </a:r>
                </a:p>
              </xdr:txBody>
            </xdr:sp>
            <xdr:sp macro="[0]!Макрос1б1" textlink="">
              <xdr:nvSpPr>
                <xdr:cNvPr id="31042" name="Text Box 1346">
                  <a:extLst>
                    <a:ext uri="{FF2B5EF4-FFF2-40B4-BE49-F238E27FC236}">
                      <a16:creationId xmlns:a16="http://schemas.microsoft.com/office/drawing/2014/main" id="{00000000-0008-0000-2000-00004279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86" y="471"/>
                  <a:ext cx="32" cy="23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vert="vert270" wrap="none" lIns="27432" tIns="22860" rIns="0" bIns="0" anchor="t" upright="1">
                  <a:spAutoFit/>
                </a:bodyPr>
                <a:lstStyle/>
                <a:p>
                  <a:pPr algn="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b</a:t>
                  </a:r>
                  <a:r>
                    <a:rPr lang="en-US" sz="1200" b="0" i="0" u="none" strike="noStrike" baseline="-25000">
                      <a:solidFill>
                        <a:srgbClr val="333399"/>
                      </a:solidFill>
                      <a:latin typeface="Arial Cyr"/>
                      <a:cs typeface="Arial Cyr"/>
                    </a:rPr>
                    <a:t>1</a:t>
                  </a:r>
                </a:p>
              </xdr:txBody>
            </xdr:sp>
          </xdr:grpSp>
        </xdr:grpSp>
        <xdr:grpSp>
          <xdr:nvGrpSpPr>
            <xdr:cNvPr id="31058" name="Group 1362">
              <a:extLst>
                <a:ext uri="{FF2B5EF4-FFF2-40B4-BE49-F238E27FC236}">
                  <a16:creationId xmlns:a16="http://schemas.microsoft.com/office/drawing/2014/main" id="{00000000-0008-0000-2000-0000527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98" y="671"/>
              <a:ext cx="36" cy="35"/>
              <a:chOff x="127" y="664"/>
              <a:chExt cx="36" cy="35"/>
            </a:xfrm>
          </xdr:grpSpPr>
          <xdr:sp macro="[0]!Макрос1б1" textlink="">
            <xdr:nvSpPr>
              <xdr:cNvPr id="31057" name="Oval 1361">
                <a:extLst>
                  <a:ext uri="{FF2B5EF4-FFF2-40B4-BE49-F238E27FC236}">
                    <a16:creationId xmlns:a16="http://schemas.microsoft.com/office/drawing/2014/main" id="{00000000-0008-0000-2000-00005179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27" y="664"/>
                <a:ext cx="35" cy="35"/>
              </a:xfrm>
              <a:prstGeom prst="ellipse">
                <a:avLst/>
              </a:prstGeom>
              <a:noFill/>
              <a:ln w="158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Макрос1б1" textlink="">
            <xdr:nvSpPr>
              <xdr:cNvPr id="31056" name="Text Box 1360">
                <a:extLst>
                  <a:ext uri="{FF2B5EF4-FFF2-40B4-BE49-F238E27FC236}">
                    <a16:creationId xmlns:a16="http://schemas.microsoft.com/office/drawing/2014/main" id="{00000000-0008-0000-2000-00005079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0" y="670"/>
                <a:ext cx="33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1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1б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19050</xdr:rowOff>
        </xdr:from>
        <xdr:to>
          <xdr:col>10</xdr:col>
          <xdr:colOff>161925</xdr:colOff>
          <xdr:row>0</xdr:row>
          <xdr:rowOff>142875</xdr:rowOff>
        </xdr:to>
        <xdr:sp macro="" textlink="">
          <xdr:nvSpPr>
            <xdr:cNvPr id="31437" name="Button 1741" hidden="1">
              <a:extLst>
                <a:ext uri="{63B3BB69-23CF-44E3-9099-C40C66FF867C}">
                  <a14:compatExt spid="_x0000_s31437"/>
                </a:ext>
                <a:ext uri="{FF2B5EF4-FFF2-40B4-BE49-F238E27FC236}">
                  <a16:creationId xmlns:a16="http://schemas.microsoft.com/office/drawing/2014/main" id="{00000000-0008-0000-2000-0000CD7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123825</xdr:rowOff>
        </xdr:from>
        <xdr:to>
          <xdr:col>4</xdr:col>
          <xdr:colOff>28575</xdr:colOff>
          <xdr:row>8</xdr:row>
          <xdr:rowOff>19050</xdr:rowOff>
        </xdr:to>
        <xdr:sp macro="" textlink="">
          <xdr:nvSpPr>
            <xdr:cNvPr id="31432" name="List Box 1736" hidden="1">
              <a:extLst>
                <a:ext uri="{63B3BB69-23CF-44E3-9099-C40C66FF867C}">
                  <a14:compatExt spid="_x0000_s31432"/>
                </a:ext>
                <a:ext uri="{FF2B5EF4-FFF2-40B4-BE49-F238E27FC236}">
                  <a16:creationId xmlns:a16="http://schemas.microsoft.com/office/drawing/2014/main" id="{00000000-0008-0000-2000-0000C87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</xdr:row>
          <xdr:rowOff>66675</xdr:rowOff>
        </xdr:from>
        <xdr:to>
          <xdr:col>4</xdr:col>
          <xdr:colOff>542925</xdr:colOff>
          <xdr:row>8</xdr:row>
          <xdr:rowOff>38100</xdr:rowOff>
        </xdr:to>
        <xdr:sp macro="" textlink="">
          <xdr:nvSpPr>
            <xdr:cNvPr id="31430" name="List Box 1734" hidden="1">
              <a:extLst>
                <a:ext uri="{63B3BB69-23CF-44E3-9099-C40C66FF867C}">
                  <a14:compatExt spid="_x0000_s31430"/>
                </a:ext>
                <a:ext uri="{FF2B5EF4-FFF2-40B4-BE49-F238E27FC236}">
                  <a16:creationId xmlns:a16="http://schemas.microsoft.com/office/drawing/2014/main" id="{00000000-0008-0000-2000-0000C67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2</xdr:col>
      <xdr:colOff>276225</xdr:colOff>
      <xdr:row>8</xdr:row>
      <xdr:rowOff>95250</xdr:rowOff>
    </xdr:to>
    <xdr:grpSp>
      <xdr:nvGrpSpPr>
        <xdr:cNvPr id="32456" name="Group 712">
          <a:extLst>
            <a:ext uri="{FF2B5EF4-FFF2-40B4-BE49-F238E27FC236}">
              <a16:creationId xmlns:a16="http://schemas.microsoft.com/office/drawing/2014/main" id="{00000000-0008-0000-2100-0000C87E0000}"/>
            </a:ext>
          </a:extLst>
        </xdr:cNvPr>
        <xdr:cNvGrpSpPr>
          <a:grpSpLocks/>
        </xdr:cNvGrpSpPr>
      </xdr:nvGrpSpPr>
      <xdr:grpSpPr bwMode="auto">
        <a:xfrm>
          <a:off x="9525" y="19050"/>
          <a:ext cx="1200150" cy="1552575"/>
          <a:chOff x="1" y="2"/>
          <a:chExt cx="126" cy="163"/>
        </a:xfrm>
      </xdr:grpSpPr>
      <xdr:sp macro="" textlink="">
        <xdr:nvSpPr>
          <xdr:cNvPr id="32455" name="Rectangle 711">
            <a:extLst>
              <a:ext uri="{FF2B5EF4-FFF2-40B4-BE49-F238E27FC236}">
                <a16:creationId xmlns:a16="http://schemas.microsoft.com/office/drawing/2014/main" id="{00000000-0008-0000-2100-0000C77E0000}"/>
              </a:ext>
            </a:extLst>
          </xdr:cNvPr>
          <xdr:cNvSpPr>
            <a:spLocks noChangeArrowheads="1"/>
          </xdr:cNvSpPr>
        </xdr:nvSpPr>
        <xdr:spPr bwMode="auto">
          <a:xfrm>
            <a:off x="1" y="2"/>
            <a:ext cx="126" cy="163"/>
          </a:xfrm>
          <a:prstGeom prst="rect">
            <a:avLst/>
          </a:prstGeom>
          <a:solidFill>
            <a:srgbClr val="00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910" name="Group 166">
            <a:extLst>
              <a:ext uri="{FF2B5EF4-FFF2-40B4-BE49-F238E27FC236}">
                <a16:creationId xmlns:a16="http://schemas.microsoft.com/office/drawing/2014/main" id="{00000000-0008-0000-2100-0000A67C0000}"/>
              </a:ext>
            </a:extLst>
          </xdr:cNvPr>
          <xdr:cNvGrpSpPr>
            <a:grpSpLocks/>
          </xdr:cNvGrpSpPr>
        </xdr:nvGrpSpPr>
        <xdr:grpSpPr bwMode="auto">
          <a:xfrm>
            <a:off x="5" y="84"/>
            <a:ext cx="122" cy="76"/>
            <a:chOff x="387" y="15"/>
            <a:chExt cx="127" cy="76"/>
          </a:xfrm>
        </xdr:grpSpPr>
        <xdr:sp macro="[0]!Макрос2б" textlink="">
          <xdr:nvSpPr>
            <xdr:cNvPr id="31911" name="Rectangle 167">
              <a:extLst>
                <a:ext uri="{FF2B5EF4-FFF2-40B4-BE49-F238E27FC236}">
                  <a16:creationId xmlns:a16="http://schemas.microsoft.com/office/drawing/2014/main" id="{00000000-0008-0000-2100-0000A77C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15"/>
              <a:ext cx="123" cy="76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31912" name="Group 168">
              <a:extLst>
                <a:ext uri="{FF2B5EF4-FFF2-40B4-BE49-F238E27FC236}">
                  <a16:creationId xmlns:a16="http://schemas.microsoft.com/office/drawing/2014/main" id="{00000000-0008-0000-2100-0000A87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92" y="19"/>
              <a:ext cx="122" cy="67"/>
              <a:chOff x="392" y="19"/>
              <a:chExt cx="122" cy="67"/>
            </a:xfrm>
          </xdr:grpSpPr>
          <xdr:grpSp>
            <xdr:nvGrpSpPr>
              <xdr:cNvPr id="31913" name="Group 169">
                <a:extLst>
                  <a:ext uri="{FF2B5EF4-FFF2-40B4-BE49-F238E27FC236}">
                    <a16:creationId xmlns:a16="http://schemas.microsoft.com/office/drawing/2014/main" id="{00000000-0008-0000-2100-0000A9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03" y="62"/>
                <a:ext cx="83" cy="24"/>
                <a:chOff x="1531" y="433"/>
                <a:chExt cx="353" cy="102"/>
              </a:xfrm>
            </xdr:grpSpPr>
            <xdr:sp macro="[0]!Макрос2б" textlink="">
              <xdr:nvSpPr>
                <xdr:cNvPr id="31914" name="Line 170">
                  <a:extLst>
                    <a:ext uri="{FF2B5EF4-FFF2-40B4-BE49-F238E27FC236}">
                      <a16:creationId xmlns:a16="http://schemas.microsoft.com/office/drawing/2014/main" id="{00000000-0008-0000-2100-0000AA7C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1531" y="484"/>
                  <a:ext cx="353" cy="0"/>
                </a:xfrm>
                <a:prstGeom prst="line">
                  <a:avLst/>
                </a:prstGeom>
                <a:noFill/>
                <a:ln w="9525">
                  <a:solidFill>
                    <a:srgbClr val="FF0000"/>
                  </a:solidFill>
                  <a:prstDash val="lgDashDot"/>
                  <a:round/>
                  <a:headEnd/>
                  <a:tailEnd/>
                </a:ln>
              </xdr:spPr>
            </xdr:sp>
            <xdr:grpSp>
              <xdr:nvGrpSpPr>
                <xdr:cNvPr id="31915" name="Group 171">
                  <a:extLst>
                    <a:ext uri="{FF2B5EF4-FFF2-40B4-BE49-F238E27FC236}">
                      <a16:creationId xmlns:a16="http://schemas.microsoft.com/office/drawing/2014/main" id="{00000000-0008-0000-2100-0000AB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535" y="433"/>
                  <a:ext cx="340" cy="102"/>
                  <a:chOff x="697" y="220"/>
                  <a:chExt cx="340" cy="104"/>
                </a:xfrm>
              </xdr:grpSpPr>
              <xdr:sp macro="[0]!Макрос2б" textlink="">
                <xdr:nvSpPr>
                  <xdr:cNvPr id="31916" name="Freeform 172">
                    <a:extLst>
                      <a:ext uri="{FF2B5EF4-FFF2-40B4-BE49-F238E27FC236}">
                        <a16:creationId xmlns:a16="http://schemas.microsoft.com/office/drawing/2014/main" id="{00000000-0008-0000-2100-0000AC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97" y="221"/>
                    <a:ext cx="106" cy="33"/>
                  </a:xfrm>
                  <a:custGeom>
                    <a:avLst/>
                    <a:gdLst/>
                    <a:ahLst/>
                    <a:cxnLst>
                      <a:cxn ang="0">
                        <a:pos x="0" y="33"/>
                      </a:cxn>
                      <a:cxn ang="0">
                        <a:pos x="46" y="2"/>
                      </a:cxn>
                      <a:cxn ang="0">
                        <a:pos x="83" y="22"/>
                      </a:cxn>
                      <a:cxn ang="0">
                        <a:pos x="106" y="12"/>
                      </a:cxn>
                    </a:cxnLst>
                    <a:rect l="0" t="0" r="r" b="b"/>
                    <a:pathLst>
                      <a:path w="106" h="33">
                        <a:moveTo>
                          <a:pt x="0" y="33"/>
                        </a:moveTo>
                        <a:cubicBezTo>
                          <a:pt x="9" y="25"/>
                          <a:pt x="32" y="4"/>
                          <a:pt x="46" y="2"/>
                        </a:cubicBezTo>
                        <a:cubicBezTo>
                          <a:pt x="60" y="0"/>
                          <a:pt x="73" y="20"/>
                          <a:pt x="83" y="22"/>
                        </a:cubicBezTo>
                        <a:cubicBezTo>
                          <a:pt x="93" y="24"/>
                          <a:pt x="102" y="14"/>
                          <a:pt x="106" y="1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17" name="Freeform 173">
                    <a:extLst>
                      <a:ext uri="{FF2B5EF4-FFF2-40B4-BE49-F238E27FC236}">
                        <a16:creationId xmlns:a16="http://schemas.microsoft.com/office/drawing/2014/main" id="{00000000-0008-0000-2100-0000AD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03" y="221"/>
                    <a:ext cx="45" cy="18"/>
                  </a:xfrm>
                  <a:custGeom>
                    <a:avLst/>
                    <a:gdLst/>
                    <a:ahLst/>
                    <a:cxnLst>
                      <a:cxn ang="0">
                        <a:pos x="0" y="18"/>
                      </a:cxn>
                      <a:cxn ang="0">
                        <a:pos x="23" y="2"/>
                      </a:cxn>
                      <a:cxn ang="0">
                        <a:pos x="45" y="2"/>
                      </a:cxn>
                    </a:cxnLst>
                    <a:rect l="0" t="0" r="r" b="b"/>
                    <a:pathLst>
                      <a:path w="45" h="18">
                        <a:moveTo>
                          <a:pt x="0" y="18"/>
                        </a:moveTo>
                        <a:cubicBezTo>
                          <a:pt x="6" y="12"/>
                          <a:pt x="16" y="5"/>
                          <a:pt x="23" y="2"/>
                        </a:cubicBezTo>
                        <a:cubicBezTo>
                          <a:pt x="34" y="0"/>
                          <a:pt x="35" y="2"/>
                          <a:pt x="45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18" name="Freeform 174">
                    <a:extLst>
                      <a:ext uri="{FF2B5EF4-FFF2-40B4-BE49-F238E27FC236}">
                        <a16:creationId xmlns:a16="http://schemas.microsoft.com/office/drawing/2014/main" id="{00000000-0008-0000-2100-0000AE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13" y="234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grpSp>
                <xdr:nvGrpSpPr>
                  <xdr:cNvPr id="31919" name="Group 175">
                    <a:extLst>
                      <a:ext uri="{FF2B5EF4-FFF2-40B4-BE49-F238E27FC236}">
                        <a16:creationId xmlns:a16="http://schemas.microsoft.com/office/drawing/2014/main" id="{00000000-0008-0000-2100-0000AF7C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64" y="220"/>
                    <a:ext cx="131" cy="47"/>
                    <a:chOff x="752" y="89"/>
                    <a:chExt cx="131" cy="47"/>
                  </a:xfrm>
                </xdr:grpSpPr>
                <xdr:sp macro="[0]!Макрос2б" textlink="">
                  <xdr:nvSpPr>
                    <xdr:cNvPr id="31920" name="Freeform 176">
                      <a:extLst>
                        <a:ext uri="{FF2B5EF4-FFF2-40B4-BE49-F238E27FC236}">
                          <a16:creationId xmlns:a16="http://schemas.microsoft.com/office/drawing/2014/main" id="{00000000-0008-0000-2100-0000B0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63" y="89"/>
                      <a:ext cx="120" cy="4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7"/>
                        </a:cxn>
                        <a:cxn ang="0">
                          <a:pos x="60" y="4"/>
                        </a:cxn>
                        <a:cxn ang="0">
                          <a:pos x="97" y="23"/>
                        </a:cxn>
                        <a:cxn ang="0">
                          <a:pos x="120" y="13"/>
                        </a:cxn>
                      </a:cxnLst>
                      <a:rect l="0" t="0" r="r" b="b"/>
                      <a:pathLst>
                        <a:path w="120" h="47">
                          <a:moveTo>
                            <a:pt x="0" y="47"/>
                          </a:moveTo>
                          <a:cubicBezTo>
                            <a:pt x="22" y="27"/>
                            <a:pt x="44" y="8"/>
                            <a:pt x="60" y="4"/>
                          </a:cubicBezTo>
                          <a:cubicBezTo>
                            <a:pt x="77" y="0"/>
                            <a:pt x="87" y="21"/>
                            <a:pt x="97" y="23"/>
                          </a:cubicBezTo>
                          <a:cubicBezTo>
                            <a:pt x="107" y="25"/>
                            <a:pt x="116" y="15"/>
                            <a:pt x="120" y="1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21" name="Freeform 177">
                      <a:extLst>
                        <a:ext uri="{FF2B5EF4-FFF2-40B4-BE49-F238E27FC236}">
                          <a16:creationId xmlns:a16="http://schemas.microsoft.com/office/drawing/2014/main" id="{00000000-0008-0000-2100-0000B1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52" y="90"/>
                      <a:ext cx="76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54" y="2"/>
                        </a:cxn>
                        <a:cxn ang="0">
                          <a:pos x="76" y="2"/>
                        </a:cxn>
                      </a:cxnLst>
                      <a:rect l="0" t="0" r="r" b="b"/>
                      <a:pathLst>
                        <a:path w="76" h="45">
                          <a:moveTo>
                            <a:pt x="0" y="45"/>
                          </a:moveTo>
                          <a:cubicBezTo>
                            <a:pt x="17" y="27"/>
                            <a:pt x="41" y="9"/>
                            <a:pt x="54" y="2"/>
                          </a:cubicBezTo>
                          <a:cubicBezTo>
                            <a:pt x="65" y="0"/>
                            <a:pt x="66" y="2"/>
                            <a:pt x="76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22" name="Freeform 178">
                      <a:extLst>
                        <a:ext uri="{FF2B5EF4-FFF2-40B4-BE49-F238E27FC236}">
                          <a16:creationId xmlns:a16="http://schemas.microsoft.com/office/drawing/2014/main" id="{00000000-0008-0000-2100-0000B2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93" y="103"/>
                      <a:ext cx="61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7"/>
                        </a:cxn>
                        <a:cxn ang="0">
                          <a:pos x="30" y="0"/>
                        </a:cxn>
                        <a:cxn ang="0">
                          <a:pos x="61" y="7"/>
                        </a:cxn>
                      </a:cxnLst>
                      <a:rect l="0" t="0" r="r" b="b"/>
                      <a:pathLst>
                        <a:path w="61" h="7">
                          <a:moveTo>
                            <a:pt x="0" y="7"/>
                          </a:moveTo>
                          <a:cubicBezTo>
                            <a:pt x="7" y="3"/>
                            <a:pt x="15" y="0"/>
                            <a:pt x="30" y="0"/>
                          </a:cubicBezTo>
                          <a:cubicBezTo>
                            <a:pt x="41" y="1"/>
                            <a:pt x="46" y="1"/>
                            <a:pt x="61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31923" name="Group 179">
                    <a:extLst>
                      <a:ext uri="{FF2B5EF4-FFF2-40B4-BE49-F238E27FC236}">
                        <a16:creationId xmlns:a16="http://schemas.microsoft.com/office/drawing/2014/main" id="{00000000-0008-0000-2100-0000B37C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857" y="220"/>
                    <a:ext cx="131" cy="47"/>
                    <a:chOff x="752" y="89"/>
                    <a:chExt cx="131" cy="47"/>
                  </a:xfrm>
                </xdr:grpSpPr>
                <xdr:sp macro="[0]!Макрос2б" textlink="">
                  <xdr:nvSpPr>
                    <xdr:cNvPr id="31924" name="Freeform 180">
                      <a:extLst>
                        <a:ext uri="{FF2B5EF4-FFF2-40B4-BE49-F238E27FC236}">
                          <a16:creationId xmlns:a16="http://schemas.microsoft.com/office/drawing/2014/main" id="{00000000-0008-0000-2100-0000B4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63" y="89"/>
                      <a:ext cx="120" cy="4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7"/>
                        </a:cxn>
                        <a:cxn ang="0">
                          <a:pos x="60" y="4"/>
                        </a:cxn>
                        <a:cxn ang="0">
                          <a:pos x="97" y="23"/>
                        </a:cxn>
                        <a:cxn ang="0">
                          <a:pos x="120" y="13"/>
                        </a:cxn>
                      </a:cxnLst>
                      <a:rect l="0" t="0" r="r" b="b"/>
                      <a:pathLst>
                        <a:path w="120" h="47">
                          <a:moveTo>
                            <a:pt x="0" y="47"/>
                          </a:moveTo>
                          <a:cubicBezTo>
                            <a:pt x="22" y="27"/>
                            <a:pt x="44" y="8"/>
                            <a:pt x="60" y="4"/>
                          </a:cubicBezTo>
                          <a:cubicBezTo>
                            <a:pt x="77" y="0"/>
                            <a:pt x="87" y="21"/>
                            <a:pt x="97" y="23"/>
                          </a:cubicBezTo>
                          <a:cubicBezTo>
                            <a:pt x="107" y="25"/>
                            <a:pt x="116" y="15"/>
                            <a:pt x="120" y="1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25" name="Freeform 181">
                      <a:extLst>
                        <a:ext uri="{FF2B5EF4-FFF2-40B4-BE49-F238E27FC236}">
                          <a16:creationId xmlns:a16="http://schemas.microsoft.com/office/drawing/2014/main" id="{00000000-0008-0000-2100-0000B5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52" y="90"/>
                      <a:ext cx="76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54" y="2"/>
                        </a:cxn>
                        <a:cxn ang="0">
                          <a:pos x="76" y="2"/>
                        </a:cxn>
                      </a:cxnLst>
                      <a:rect l="0" t="0" r="r" b="b"/>
                      <a:pathLst>
                        <a:path w="76" h="45">
                          <a:moveTo>
                            <a:pt x="0" y="45"/>
                          </a:moveTo>
                          <a:cubicBezTo>
                            <a:pt x="17" y="27"/>
                            <a:pt x="41" y="9"/>
                            <a:pt x="54" y="2"/>
                          </a:cubicBezTo>
                          <a:cubicBezTo>
                            <a:pt x="65" y="0"/>
                            <a:pt x="66" y="2"/>
                            <a:pt x="76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26" name="Freeform 182">
                      <a:extLst>
                        <a:ext uri="{FF2B5EF4-FFF2-40B4-BE49-F238E27FC236}">
                          <a16:creationId xmlns:a16="http://schemas.microsoft.com/office/drawing/2014/main" id="{00000000-0008-0000-2100-0000B6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93" y="103"/>
                      <a:ext cx="61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7"/>
                        </a:cxn>
                        <a:cxn ang="0">
                          <a:pos x="30" y="0"/>
                        </a:cxn>
                        <a:cxn ang="0">
                          <a:pos x="61" y="7"/>
                        </a:cxn>
                      </a:cxnLst>
                      <a:rect l="0" t="0" r="r" b="b"/>
                      <a:pathLst>
                        <a:path w="61" h="7">
                          <a:moveTo>
                            <a:pt x="0" y="7"/>
                          </a:moveTo>
                          <a:cubicBezTo>
                            <a:pt x="7" y="3"/>
                            <a:pt x="15" y="0"/>
                            <a:pt x="30" y="0"/>
                          </a:cubicBezTo>
                          <a:cubicBezTo>
                            <a:pt x="41" y="1"/>
                            <a:pt x="46" y="1"/>
                            <a:pt x="61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sp macro="[0]!Макрос2б" textlink="">
                <xdr:nvSpPr>
                  <xdr:cNvPr id="31927" name="Freeform 183">
                    <a:extLst>
                      <a:ext uri="{FF2B5EF4-FFF2-40B4-BE49-F238E27FC236}">
                        <a16:creationId xmlns:a16="http://schemas.microsoft.com/office/drawing/2014/main" id="{00000000-0008-0000-2100-0000B7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960" y="222"/>
                    <a:ext cx="71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60" y="1"/>
                      </a:cxn>
                      <a:cxn ang="0">
                        <a:pos x="71" y="3"/>
                      </a:cxn>
                    </a:cxnLst>
                    <a:rect l="0" t="0" r="r" b="b"/>
                    <a:pathLst>
                      <a:path w="71" h="45">
                        <a:moveTo>
                          <a:pt x="0" y="45"/>
                        </a:moveTo>
                        <a:cubicBezTo>
                          <a:pt x="29" y="20"/>
                          <a:pt x="46" y="6"/>
                          <a:pt x="60" y="1"/>
                        </a:cubicBezTo>
                        <a:cubicBezTo>
                          <a:pt x="69" y="0"/>
                          <a:pt x="66" y="1"/>
                          <a:pt x="71" y="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28" name="Freeform 184">
                    <a:extLst>
                      <a:ext uri="{FF2B5EF4-FFF2-40B4-BE49-F238E27FC236}">
                        <a16:creationId xmlns:a16="http://schemas.microsoft.com/office/drawing/2014/main" id="{00000000-0008-0000-2100-0000B8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949" y="221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29" name="Freeform 185">
                    <a:extLst>
                      <a:ext uri="{FF2B5EF4-FFF2-40B4-BE49-F238E27FC236}">
                        <a16:creationId xmlns:a16="http://schemas.microsoft.com/office/drawing/2014/main" id="{00000000-0008-0000-2100-0000B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991" y="233"/>
                    <a:ext cx="45" cy="8"/>
                  </a:xfrm>
                  <a:custGeom>
                    <a:avLst/>
                    <a:gdLst/>
                    <a:ahLst/>
                    <a:cxnLst>
                      <a:cxn ang="0">
                        <a:pos x="0" y="8"/>
                      </a:cxn>
                      <a:cxn ang="0">
                        <a:pos x="30" y="1"/>
                      </a:cxn>
                      <a:cxn ang="0">
                        <a:pos x="45" y="3"/>
                      </a:cxn>
                    </a:cxnLst>
                    <a:rect l="0" t="0" r="r" b="b"/>
                    <a:pathLst>
                      <a:path w="45" h="8">
                        <a:moveTo>
                          <a:pt x="0" y="8"/>
                        </a:moveTo>
                        <a:cubicBezTo>
                          <a:pt x="7" y="4"/>
                          <a:pt x="15" y="1"/>
                          <a:pt x="30" y="1"/>
                        </a:cubicBezTo>
                        <a:cubicBezTo>
                          <a:pt x="37" y="0"/>
                          <a:pt x="43" y="3"/>
                          <a:pt x="45" y="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grpSp>
                <xdr:nvGrpSpPr>
                  <xdr:cNvPr id="31930" name="Group 186">
                    <a:extLst>
                      <a:ext uri="{FF2B5EF4-FFF2-40B4-BE49-F238E27FC236}">
                        <a16:creationId xmlns:a16="http://schemas.microsoft.com/office/drawing/2014/main" id="{00000000-0008-0000-2100-0000BA7C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V="1">
                    <a:off x="702" y="277"/>
                    <a:ext cx="120" cy="47"/>
                    <a:chOff x="671" y="89"/>
                    <a:chExt cx="120" cy="47"/>
                  </a:xfrm>
                </xdr:grpSpPr>
                <xdr:sp macro="[0]!Макрос2б" textlink="">
                  <xdr:nvSpPr>
                    <xdr:cNvPr id="31931" name="Freeform 187">
                      <a:extLst>
                        <a:ext uri="{FF2B5EF4-FFF2-40B4-BE49-F238E27FC236}">
                          <a16:creationId xmlns:a16="http://schemas.microsoft.com/office/drawing/2014/main" id="{00000000-0008-0000-2100-0000BB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71" y="89"/>
                      <a:ext cx="120" cy="4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7"/>
                        </a:cxn>
                        <a:cxn ang="0">
                          <a:pos x="60" y="4"/>
                        </a:cxn>
                        <a:cxn ang="0">
                          <a:pos x="97" y="23"/>
                        </a:cxn>
                        <a:cxn ang="0">
                          <a:pos x="120" y="13"/>
                        </a:cxn>
                      </a:cxnLst>
                      <a:rect l="0" t="0" r="r" b="b"/>
                      <a:pathLst>
                        <a:path w="120" h="47">
                          <a:moveTo>
                            <a:pt x="0" y="47"/>
                          </a:moveTo>
                          <a:cubicBezTo>
                            <a:pt x="22" y="27"/>
                            <a:pt x="44" y="8"/>
                            <a:pt x="60" y="4"/>
                          </a:cubicBezTo>
                          <a:cubicBezTo>
                            <a:pt x="77" y="0"/>
                            <a:pt x="87" y="21"/>
                            <a:pt x="97" y="23"/>
                          </a:cubicBezTo>
                          <a:cubicBezTo>
                            <a:pt x="107" y="25"/>
                            <a:pt x="116" y="15"/>
                            <a:pt x="120" y="1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32" name="Freeform 188">
                      <a:extLst>
                        <a:ext uri="{FF2B5EF4-FFF2-40B4-BE49-F238E27FC236}">
                          <a16:creationId xmlns:a16="http://schemas.microsoft.com/office/drawing/2014/main" id="{00000000-0008-0000-2100-0000BC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72" y="90"/>
                      <a:ext cx="64" cy="33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33"/>
                        </a:cxn>
                        <a:cxn ang="0">
                          <a:pos x="42" y="2"/>
                        </a:cxn>
                        <a:cxn ang="0">
                          <a:pos x="64" y="2"/>
                        </a:cxn>
                      </a:cxnLst>
                      <a:rect l="0" t="0" r="r" b="b"/>
                      <a:pathLst>
                        <a:path w="64" h="33">
                          <a:moveTo>
                            <a:pt x="0" y="33"/>
                          </a:moveTo>
                          <a:cubicBezTo>
                            <a:pt x="7" y="28"/>
                            <a:pt x="31" y="7"/>
                            <a:pt x="42" y="2"/>
                          </a:cubicBezTo>
                          <a:cubicBezTo>
                            <a:pt x="53" y="0"/>
                            <a:pt x="54" y="2"/>
                            <a:pt x="64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33" name="Freeform 189">
                      <a:extLst>
                        <a:ext uri="{FF2B5EF4-FFF2-40B4-BE49-F238E27FC236}">
                          <a16:creationId xmlns:a16="http://schemas.microsoft.com/office/drawing/2014/main" id="{00000000-0008-0000-2100-0000BD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01" y="103"/>
                      <a:ext cx="61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7"/>
                        </a:cxn>
                        <a:cxn ang="0">
                          <a:pos x="30" y="0"/>
                        </a:cxn>
                        <a:cxn ang="0">
                          <a:pos x="61" y="7"/>
                        </a:cxn>
                      </a:cxnLst>
                      <a:rect l="0" t="0" r="r" b="b"/>
                      <a:pathLst>
                        <a:path w="61" h="7">
                          <a:moveTo>
                            <a:pt x="0" y="7"/>
                          </a:moveTo>
                          <a:cubicBezTo>
                            <a:pt x="7" y="3"/>
                            <a:pt x="15" y="0"/>
                            <a:pt x="30" y="0"/>
                          </a:cubicBezTo>
                          <a:cubicBezTo>
                            <a:pt x="41" y="1"/>
                            <a:pt x="46" y="1"/>
                            <a:pt x="61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31934" name="Group 190">
                    <a:extLst>
                      <a:ext uri="{FF2B5EF4-FFF2-40B4-BE49-F238E27FC236}">
                        <a16:creationId xmlns:a16="http://schemas.microsoft.com/office/drawing/2014/main" id="{00000000-0008-0000-2100-0000BE7C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V="1">
                    <a:off x="783" y="277"/>
                    <a:ext cx="131" cy="47"/>
                    <a:chOff x="752" y="89"/>
                    <a:chExt cx="131" cy="47"/>
                  </a:xfrm>
                </xdr:grpSpPr>
                <xdr:sp macro="[0]!Макрос2б" textlink="">
                  <xdr:nvSpPr>
                    <xdr:cNvPr id="31935" name="Freeform 191">
                      <a:extLst>
                        <a:ext uri="{FF2B5EF4-FFF2-40B4-BE49-F238E27FC236}">
                          <a16:creationId xmlns:a16="http://schemas.microsoft.com/office/drawing/2014/main" id="{00000000-0008-0000-2100-0000BF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63" y="89"/>
                      <a:ext cx="120" cy="4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7"/>
                        </a:cxn>
                        <a:cxn ang="0">
                          <a:pos x="60" y="4"/>
                        </a:cxn>
                        <a:cxn ang="0">
                          <a:pos x="97" y="23"/>
                        </a:cxn>
                        <a:cxn ang="0">
                          <a:pos x="120" y="13"/>
                        </a:cxn>
                      </a:cxnLst>
                      <a:rect l="0" t="0" r="r" b="b"/>
                      <a:pathLst>
                        <a:path w="120" h="47">
                          <a:moveTo>
                            <a:pt x="0" y="47"/>
                          </a:moveTo>
                          <a:cubicBezTo>
                            <a:pt x="22" y="27"/>
                            <a:pt x="44" y="8"/>
                            <a:pt x="60" y="4"/>
                          </a:cubicBezTo>
                          <a:cubicBezTo>
                            <a:pt x="77" y="0"/>
                            <a:pt x="87" y="21"/>
                            <a:pt x="97" y="23"/>
                          </a:cubicBezTo>
                          <a:cubicBezTo>
                            <a:pt x="107" y="25"/>
                            <a:pt x="116" y="15"/>
                            <a:pt x="120" y="1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36" name="Freeform 192">
                      <a:extLst>
                        <a:ext uri="{FF2B5EF4-FFF2-40B4-BE49-F238E27FC236}">
                          <a16:creationId xmlns:a16="http://schemas.microsoft.com/office/drawing/2014/main" id="{00000000-0008-0000-2100-0000C0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52" y="90"/>
                      <a:ext cx="76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54" y="2"/>
                        </a:cxn>
                        <a:cxn ang="0">
                          <a:pos x="76" y="2"/>
                        </a:cxn>
                      </a:cxnLst>
                      <a:rect l="0" t="0" r="r" b="b"/>
                      <a:pathLst>
                        <a:path w="76" h="45">
                          <a:moveTo>
                            <a:pt x="0" y="45"/>
                          </a:moveTo>
                          <a:cubicBezTo>
                            <a:pt x="17" y="27"/>
                            <a:pt x="41" y="9"/>
                            <a:pt x="54" y="2"/>
                          </a:cubicBezTo>
                          <a:cubicBezTo>
                            <a:pt x="65" y="0"/>
                            <a:pt x="66" y="2"/>
                            <a:pt x="76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37" name="Freeform 193">
                      <a:extLst>
                        <a:ext uri="{FF2B5EF4-FFF2-40B4-BE49-F238E27FC236}">
                          <a16:creationId xmlns:a16="http://schemas.microsoft.com/office/drawing/2014/main" id="{00000000-0008-0000-2100-0000C1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93" y="103"/>
                      <a:ext cx="61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7"/>
                        </a:cxn>
                        <a:cxn ang="0">
                          <a:pos x="30" y="0"/>
                        </a:cxn>
                        <a:cxn ang="0">
                          <a:pos x="61" y="7"/>
                        </a:cxn>
                      </a:cxnLst>
                      <a:rect l="0" t="0" r="r" b="b"/>
                      <a:pathLst>
                        <a:path w="61" h="7">
                          <a:moveTo>
                            <a:pt x="0" y="7"/>
                          </a:moveTo>
                          <a:cubicBezTo>
                            <a:pt x="7" y="3"/>
                            <a:pt x="15" y="0"/>
                            <a:pt x="30" y="0"/>
                          </a:cubicBezTo>
                          <a:cubicBezTo>
                            <a:pt x="41" y="1"/>
                            <a:pt x="46" y="1"/>
                            <a:pt x="61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31938" name="Group 194">
                    <a:extLst>
                      <a:ext uri="{FF2B5EF4-FFF2-40B4-BE49-F238E27FC236}">
                        <a16:creationId xmlns:a16="http://schemas.microsoft.com/office/drawing/2014/main" id="{00000000-0008-0000-2100-0000C27C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V="1">
                    <a:off x="876" y="277"/>
                    <a:ext cx="131" cy="47"/>
                    <a:chOff x="752" y="89"/>
                    <a:chExt cx="131" cy="47"/>
                  </a:xfrm>
                </xdr:grpSpPr>
                <xdr:sp macro="[0]!Макрос2б" textlink="">
                  <xdr:nvSpPr>
                    <xdr:cNvPr id="31939" name="Freeform 195">
                      <a:extLst>
                        <a:ext uri="{FF2B5EF4-FFF2-40B4-BE49-F238E27FC236}">
                          <a16:creationId xmlns:a16="http://schemas.microsoft.com/office/drawing/2014/main" id="{00000000-0008-0000-2100-0000C3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63" y="89"/>
                      <a:ext cx="120" cy="4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7"/>
                        </a:cxn>
                        <a:cxn ang="0">
                          <a:pos x="60" y="4"/>
                        </a:cxn>
                        <a:cxn ang="0">
                          <a:pos x="97" y="23"/>
                        </a:cxn>
                        <a:cxn ang="0">
                          <a:pos x="120" y="13"/>
                        </a:cxn>
                      </a:cxnLst>
                      <a:rect l="0" t="0" r="r" b="b"/>
                      <a:pathLst>
                        <a:path w="120" h="47">
                          <a:moveTo>
                            <a:pt x="0" y="47"/>
                          </a:moveTo>
                          <a:cubicBezTo>
                            <a:pt x="22" y="27"/>
                            <a:pt x="44" y="8"/>
                            <a:pt x="60" y="4"/>
                          </a:cubicBezTo>
                          <a:cubicBezTo>
                            <a:pt x="77" y="0"/>
                            <a:pt x="87" y="21"/>
                            <a:pt x="97" y="23"/>
                          </a:cubicBezTo>
                          <a:cubicBezTo>
                            <a:pt x="107" y="25"/>
                            <a:pt x="116" y="15"/>
                            <a:pt x="120" y="1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40" name="Freeform 196">
                      <a:extLst>
                        <a:ext uri="{FF2B5EF4-FFF2-40B4-BE49-F238E27FC236}">
                          <a16:creationId xmlns:a16="http://schemas.microsoft.com/office/drawing/2014/main" id="{00000000-0008-0000-2100-0000C4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52" y="90"/>
                      <a:ext cx="76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54" y="2"/>
                        </a:cxn>
                        <a:cxn ang="0">
                          <a:pos x="76" y="2"/>
                        </a:cxn>
                      </a:cxnLst>
                      <a:rect l="0" t="0" r="r" b="b"/>
                      <a:pathLst>
                        <a:path w="76" h="45">
                          <a:moveTo>
                            <a:pt x="0" y="45"/>
                          </a:moveTo>
                          <a:cubicBezTo>
                            <a:pt x="17" y="27"/>
                            <a:pt x="41" y="9"/>
                            <a:pt x="54" y="2"/>
                          </a:cubicBezTo>
                          <a:cubicBezTo>
                            <a:pt x="65" y="0"/>
                            <a:pt x="66" y="2"/>
                            <a:pt x="76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" textlink="">
                  <xdr:nvSpPr>
                    <xdr:cNvPr id="31941" name="Freeform 197">
                      <a:extLst>
                        <a:ext uri="{FF2B5EF4-FFF2-40B4-BE49-F238E27FC236}">
                          <a16:creationId xmlns:a16="http://schemas.microsoft.com/office/drawing/2014/main" id="{00000000-0008-0000-2100-0000C57C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93" y="103"/>
                      <a:ext cx="61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7"/>
                        </a:cxn>
                        <a:cxn ang="0">
                          <a:pos x="30" y="0"/>
                        </a:cxn>
                        <a:cxn ang="0">
                          <a:pos x="61" y="7"/>
                        </a:cxn>
                      </a:cxnLst>
                      <a:rect l="0" t="0" r="r" b="b"/>
                      <a:pathLst>
                        <a:path w="61" h="7">
                          <a:moveTo>
                            <a:pt x="0" y="7"/>
                          </a:moveTo>
                          <a:cubicBezTo>
                            <a:pt x="7" y="3"/>
                            <a:pt x="15" y="0"/>
                            <a:pt x="30" y="0"/>
                          </a:cubicBezTo>
                          <a:cubicBezTo>
                            <a:pt x="41" y="1"/>
                            <a:pt x="46" y="1"/>
                            <a:pt x="61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sp macro="[0]!Макрос2б" textlink="">
                <xdr:nvSpPr>
                  <xdr:cNvPr id="31942" name="Freeform 198">
                    <a:extLst>
                      <a:ext uri="{FF2B5EF4-FFF2-40B4-BE49-F238E27FC236}">
                        <a16:creationId xmlns:a16="http://schemas.microsoft.com/office/drawing/2014/main" id="{00000000-0008-0000-2100-0000C6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979" y="278"/>
                    <a:ext cx="52" cy="37"/>
                  </a:xfrm>
                  <a:custGeom>
                    <a:avLst/>
                    <a:gdLst/>
                    <a:ahLst/>
                    <a:cxnLst>
                      <a:cxn ang="0">
                        <a:pos x="0" y="0"/>
                      </a:cxn>
                      <a:cxn ang="0">
                        <a:pos x="52" y="37"/>
                      </a:cxn>
                    </a:cxnLst>
                    <a:rect l="0" t="0" r="r" b="b"/>
                    <a:pathLst>
                      <a:path w="52" h="37">
                        <a:moveTo>
                          <a:pt x="0" y="0"/>
                        </a:moveTo>
                        <a:cubicBezTo>
                          <a:pt x="29" y="25"/>
                          <a:pt x="38" y="32"/>
                          <a:pt x="52" y="3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43" name="Freeform 199">
                    <a:extLst>
                      <a:ext uri="{FF2B5EF4-FFF2-40B4-BE49-F238E27FC236}">
                        <a16:creationId xmlns:a16="http://schemas.microsoft.com/office/drawing/2014/main" id="{00000000-0008-0000-2100-0000C7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968" y="279"/>
                    <a:ext cx="66" cy="44"/>
                  </a:xfrm>
                  <a:custGeom>
                    <a:avLst/>
                    <a:gdLst/>
                    <a:ahLst/>
                    <a:cxnLst>
                      <a:cxn ang="0">
                        <a:pos x="0" y="0"/>
                      </a:cxn>
                      <a:cxn ang="0">
                        <a:pos x="55" y="42"/>
                      </a:cxn>
                      <a:cxn ang="0">
                        <a:pos x="65" y="43"/>
                      </a:cxn>
                    </a:cxnLst>
                    <a:rect l="0" t="0" r="r" b="b"/>
                    <a:pathLst>
                      <a:path w="66" h="44">
                        <a:moveTo>
                          <a:pt x="0" y="0"/>
                        </a:moveTo>
                        <a:cubicBezTo>
                          <a:pt x="17" y="18"/>
                          <a:pt x="42" y="35"/>
                          <a:pt x="55" y="42"/>
                        </a:cubicBezTo>
                        <a:cubicBezTo>
                          <a:pt x="66" y="44"/>
                          <a:pt x="55" y="42"/>
                          <a:pt x="65" y="4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44" name="Freeform 200">
                    <a:extLst>
                      <a:ext uri="{FF2B5EF4-FFF2-40B4-BE49-F238E27FC236}">
                        <a16:creationId xmlns:a16="http://schemas.microsoft.com/office/drawing/2014/main" id="{00000000-0008-0000-2100-0000C8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1010" y="303"/>
                    <a:ext cx="22" cy="7"/>
                  </a:xfrm>
                  <a:custGeom>
                    <a:avLst/>
                    <a:gdLst/>
                    <a:ahLst/>
                    <a:cxnLst>
                      <a:cxn ang="0">
                        <a:pos x="0" y="0"/>
                      </a:cxn>
                      <a:cxn ang="0">
                        <a:pos x="22" y="7"/>
                      </a:cxn>
                    </a:cxnLst>
                    <a:rect l="0" t="0" r="r" b="b"/>
                    <a:pathLst>
                      <a:path w="22" h="7">
                        <a:moveTo>
                          <a:pt x="0" y="0"/>
                        </a:moveTo>
                        <a:cubicBezTo>
                          <a:pt x="7" y="4"/>
                          <a:pt x="7" y="7"/>
                          <a:pt x="22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45" name="Freeform 201">
                    <a:extLst>
                      <a:ext uri="{FF2B5EF4-FFF2-40B4-BE49-F238E27FC236}">
                        <a16:creationId xmlns:a16="http://schemas.microsoft.com/office/drawing/2014/main" id="{00000000-0008-0000-2100-0000C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02" y="266"/>
                    <a:ext cx="331" cy="12"/>
                  </a:xfrm>
                  <a:custGeom>
                    <a:avLst/>
                    <a:gdLst/>
                    <a:ahLst/>
                    <a:cxnLst>
                      <a:cxn ang="0">
                        <a:pos x="331" y="12"/>
                      </a:cxn>
                      <a:cxn ang="0">
                        <a:pos x="0" y="12"/>
                      </a:cxn>
                      <a:cxn ang="0">
                        <a:pos x="1" y="0"/>
                      </a:cxn>
                      <a:cxn ang="0">
                        <a:pos x="327" y="0"/>
                      </a:cxn>
                      <a:cxn ang="0">
                        <a:pos x="331" y="12"/>
                      </a:cxn>
                    </a:cxnLst>
                    <a:rect l="0" t="0" r="r" b="b"/>
                    <a:pathLst>
                      <a:path w="331" h="12">
                        <a:moveTo>
                          <a:pt x="331" y="12"/>
                        </a:moveTo>
                        <a:cubicBezTo>
                          <a:pt x="274" y="12"/>
                          <a:pt x="61" y="12"/>
                          <a:pt x="0" y="12"/>
                        </a:cubicBezTo>
                        <a:cubicBezTo>
                          <a:pt x="0" y="7"/>
                          <a:pt x="1" y="6"/>
                          <a:pt x="1" y="0"/>
                        </a:cubicBezTo>
                        <a:cubicBezTo>
                          <a:pt x="177" y="0"/>
                          <a:pt x="267" y="0"/>
                          <a:pt x="327" y="0"/>
                        </a:cubicBezTo>
                        <a:cubicBezTo>
                          <a:pt x="328" y="5"/>
                          <a:pt x="328" y="4"/>
                          <a:pt x="331" y="12"/>
                        </a:cubicBezTo>
                        <a:close/>
                      </a:path>
                    </a:pathLst>
                  </a:custGeom>
                  <a:noFill/>
                  <a:ln w="9525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46" name="Freeform 202">
                    <a:extLst>
                      <a:ext uri="{FF2B5EF4-FFF2-40B4-BE49-F238E27FC236}">
                        <a16:creationId xmlns:a16="http://schemas.microsoft.com/office/drawing/2014/main" id="{00000000-0008-0000-2100-0000CA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03" y="303"/>
                    <a:ext cx="30" cy="11"/>
                  </a:xfrm>
                  <a:custGeom>
                    <a:avLst/>
                    <a:gdLst/>
                    <a:ahLst/>
                    <a:cxnLst>
                      <a:cxn ang="0">
                        <a:pos x="1" y="4"/>
                      </a:cxn>
                      <a:cxn ang="0">
                        <a:pos x="7" y="1"/>
                      </a:cxn>
                      <a:cxn ang="0">
                        <a:pos x="30" y="11"/>
                      </a:cxn>
                    </a:cxnLst>
                    <a:rect l="0" t="0" r="r" b="b"/>
                    <a:pathLst>
                      <a:path w="30" h="11">
                        <a:moveTo>
                          <a:pt x="1" y="4"/>
                        </a:moveTo>
                        <a:cubicBezTo>
                          <a:pt x="4" y="0"/>
                          <a:pt x="0" y="2"/>
                          <a:pt x="7" y="1"/>
                        </a:cubicBezTo>
                        <a:cubicBezTo>
                          <a:pt x="12" y="2"/>
                          <a:pt x="26" y="9"/>
                          <a:pt x="30" y="11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47" name="Freeform 203">
                    <a:extLst>
                      <a:ext uri="{FF2B5EF4-FFF2-40B4-BE49-F238E27FC236}">
                        <a16:creationId xmlns:a16="http://schemas.microsoft.com/office/drawing/2014/main" id="{00000000-0008-0000-2100-0000CB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97" y="239"/>
                    <a:ext cx="9" cy="69"/>
                  </a:xfrm>
                  <a:custGeom>
                    <a:avLst/>
                    <a:gdLst/>
                    <a:ahLst/>
                    <a:cxnLst>
                      <a:cxn ang="0">
                        <a:pos x="6" y="0"/>
                      </a:cxn>
                      <a:cxn ang="0">
                        <a:pos x="0" y="18"/>
                      </a:cxn>
                      <a:cxn ang="0">
                        <a:pos x="6" y="28"/>
                      </a:cxn>
                      <a:cxn ang="0">
                        <a:pos x="4" y="37"/>
                      </a:cxn>
                      <a:cxn ang="0">
                        <a:pos x="9" y="57"/>
                      </a:cxn>
                      <a:cxn ang="0">
                        <a:pos x="6" y="69"/>
                      </a:cxn>
                    </a:cxnLst>
                    <a:rect l="0" t="0" r="r" b="b"/>
                    <a:pathLst>
                      <a:path w="9" h="69">
                        <a:moveTo>
                          <a:pt x="6" y="0"/>
                        </a:moveTo>
                        <a:cubicBezTo>
                          <a:pt x="3" y="6"/>
                          <a:pt x="0" y="13"/>
                          <a:pt x="0" y="18"/>
                        </a:cubicBezTo>
                        <a:cubicBezTo>
                          <a:pt x="0" y="23"/>
                          <a:pt x="5" y="25"/>
                          <a:pt x="6" y="28"/>
                        </a:cubicBezTo>
                        <a:cubicBezTo>
                          <a:pt x="7" y="31"/>
                          <a:pt x="4" y="32"/>
                          <a:pt x="4" y="37"/>
                        </a:cubicBezTo>
                        <a:cubicBezTo>
                          <a:pt x="4" y="42"/>
                          <a:pt x="9" y="52"/>
                          <a:pt x="9" y="57"/>
                        </a:cubicBezTo>
                        <a:cubicBezTo>
                          <a:pt x="9" y="62"/>
                          <a:pt x="7" y="67"/>
                          <a:pt x="6" y="69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б" textlink="">
                <xdr:nvSpPr>
                  <xdr:cNvPr id="31948" name="Freeform 204">
                    <a:extLst>
                      <a:ext uri="{FF2B5EF4-FFF2-40B4-BE49-F238E27FC236}">
                        <a16:creationId xmlns:a16="http://schemas.microsoft.com/office/drawing/2014/main" id="{00000000-0008-0000-2100-0000CC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1028" y="225"/>
                    <a:ext cx="9" cy="97"/>
                  </a:xfrm>
                  <a:custGeom>
                    <a:avLst/>
                    <a:gdLst/>
                    <a:ahLst/>
                    <a:cxnLst>
                      <a:cxn ang="0">
                        <a:pos x="2" y="0"/>
                      </a:cxn>
                      <a:cxn ang="0">
                        <a:pos x="9" y="13"/>
                      </a:cxn>
                      <a:cxn ang="0">
                        <a:pos x="4" y="29"/>
                      </a:cxn>
                      <a:cxn ang="0">
                        <a:pos x="0" y="41"/>
                      </a:cxn>
                      <a:cxn ang="0">
                        <a:pos x="5" y="53"/>
                      </a:cxn>
                      <a:cxn ang="0">
                        <a:pos x="3" y="65"/>
                      </a:cxn>
                      <a:cxn ang="0">
                        <a:pos x="6" y="72"/>
                      </a:cxn>
                      <a:cxn ang="0">
                        <a:pos x="3" y="83"/>
                      </a:cxn>
                      <a:cxn ang="0">
                        <a:pos x="4" y="97"/>
                      </a:cxn>
                    </a:cxnLst>
                    <a:rect l="0" t="0" r="r" b="b"/>
                    <a:pathLst>
                      <a:path w="9" h="97">
                        <a:moveTo>
                          <a:pt x="2" y="0"/>
                        </a:moveTo>
                        <a:cubicBezTo>
                          <a:pt x="5" y="4"/>
                          <a:pt x="9" y="8"/>
                          <a:pt x="9" y="13"/>
                        </a:cubicBezTo>
                        <a:cubicBezTo>
                          <a:pt x="9" y="18"/>
                          <a:pt x="5" y="24"/>
                          <a:pt x="4" y="29"/>
                        </a:cubicBezTo>
                        <a:cubicBezTo>
                          <a:pt x="3" y="34"/>
                          <a:pt x="0" y="37"/>
                          <a:pt x="0" y="41"/>
                        </a:cubicBezTo>
                        <a:cubicBezTo>
                          <a:pt x="0" y="45"/>
                          <a:pt x="4" y="49"/>
                          <a:pt x="5" y="53"/>
                        </a:cubicBezTo>
                        <a:cubicBezTo>
                          <a:pt x="6" y="57"/>
                          <a:pt x="3" y="62"/>
                          <a:pt x="3" y="65"/>
                        </a:cubicBezTo>
                        <a:cubicBezTo>
                          <a:pt x="3" y="68"/>
                          <a:pt x="6" y="69"/>
                          <a:pt x="6" y="72"/>
                        </a:cubicBezTo>
                        <a:cubicBezTo>
                          <a:pt x="6" y="75"/>
                          <a:pt x="3" y="79"/>
                          <a:pt x="3" y="83"/>
                        </a:cubicBezTo>
                        <a:cubicBezTo>
                          <a:pt x="3" y="87"/>
                          <a:pt x="3" y="92"/>
                          <a:pt x="4" y="9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1949" name="Group 205">
                <a:extLst>
                  <a:ext uri="{FF2B5EF4-FFF2-40B4-BE49-F238E27FC236}">
                    <a16:creationId xmlns:a16="http://schemas.microsoft.com/office/drawing/2014/main" id="{00000000-0008-0000-2100-0000CD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92" y="21"/>
                <a:ext cx="34" cy="31"/>
                <a:chOff x="392" y="19"/>
                <a:chExt cx="34" cy="31"/>
              </a:xfrm>
            </xdr:grpSpPr>
            <xdr:sp macro="[0]!Макрос2б" textlink="">
              <xdr:nvSpPr>
                <xdr:cNvPr id="31950" name="Oval 206">
                  <a:extLst>
                    <a:ext uri="{FF2B5EF4-FFF2-40B4-BE49-F238E27FC236}">
                      <a16:creationId xmlns:a16="http://schemas.microsoft.com/office/drawing/2014/main" id="{00000000-0008-0000-2100-0000CE7C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392" y="19"/>
                  <a:ext cx="32" cy="31"/>
                </a:xfrm>
                <a:prstGeom prst="ellipse">
                  <a:avLst/>
                </a:prstGeom>
                <a:noFill/>
                <a:ln w="1587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б" textlink="">
              <xdr:nvSpPr>
                <xdr:cNvPr id="31951" name="Text Box 207">
                  <a:extLst>
                    <a:ext uri="{FF2B5EF4-FFF2-40B4-BE49-F238E27FC236}">
                      <a16:creationId xmlns:a16="http://schemas.microsoft.com/office/drawing/2014/main" id="{00000000-0008-0000-2100-0000CF7C0000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393" y="24"/>
                  <a:ext cx="33" cy="24"/>
                </a:xfrm>
                <a:prstGeom prst="rect">
                  <a:avLst/>
                </a:prstGeom>
                <a:noFill/>
                <a:ln w="9525">
                  <a:noFill/>
                  <a:miter lim="800000"/>
                  <a:headEnd/>
                  <a:tailEnd/>
                </a:ln>
              </xdr:spPr>
              <xdr:txBody>
                <a:bodyPr wrap="none" lIns="27432" tIns="22860" rIns="0" bIns="0" anchor="t" upright="1">
                  <a:spAutoFit/>
                </a:bodyPr>
                <a:lstStyle/>
                <a:p>
                  <a:pPr algn="l" rtl="0">
                    <a:defRPr sz="1000"/>
                  </a:pPr>
                  <a:r>
                    <a:rPr lang="ru-RU" sz="1200" b="1" i="1" u="none" strike="noStrike" baseline="0">
                      <a:solidFill>
                        <a:srgbClr val="000000"/>
                      </a:solidFill>
                      <a:latin typeface="Arial Cyr"/>
                      <a:cs typeface="Arial Cyr"/>
                    </a:rPr>
                    <a:t>2б</a:t>
                  </a:r>
                </a:p>
              </xdr:txBody>
            </xdr:sp>
          </xdr:grpSp>
          <xdr:sp macro="[0]!Макрос2б" textlink="">
            <xdr:nvSpPr>
              <xdr:cNvPr id="31952" name="Text Box 208">
                <a:extLst>
                  <a:ext uri="{FF2B5EF4-FFF2-40B4-BE49-F238E27FC236}">
                    <a16:creationId xmlns:a16="http://schemas.microsoft.com/office/drawing/2014/main" id="{00000000-0008-0000-2100-0000D07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429" y="19"/>
                <a:ext cx="85" cy="46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 Cyr"/>
                    <a:cs typeface="Times New Roman Cyr"/>
                  </a:rPr>
                  <a:t>A-IV; A-V;</a:t>
                </a:r>
              </a:p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 Cyr"/>
                    <a:cs typeface="Times New Roman Cyr"/>
                  </a:rPr>
                  <a:t>     A-VI</a:t>
                </a:r>
              </a:p>
            </xdr:txBody>
          </xdr:sp>
        </xdr:grpSp>
      </xdr:grpSp>
    </xdr:grpSp>
    <xdr:clientData/>
  </xdr:twoCellAnchor>
  <xdr:twoCellAnchor editAs="oneCell">
    <xdr:from>
      <xdr:col>0</xdr:col>
      <xdr:colOff>66675</xdr:colOff>
      <xdr:row>8</xdr:row>
      <xdr:rowOff>114300</xdr:rowOff>
    </xdr:from>
    <xdr:to>
      <xdr:col>2</xdr:col>
      <xdr:colOff>200025</xdr:colOff>
      <xdr:row>9</xdr:row>
      <xdr:rowOff>581025</xdr:rowOff>
    </xdr:to>
    <xdr:grpSp>
      <xdr:nvGrpSpPr>
        <xdr:cNvPr id="31745" name="Group 1">
          <a:extLst>
            <a:ext uri="{FF2B5EF4-FFF2-40B4-BE49-F238E27FC236}">
              <a16:creationId xmlns:a16="http://schemas.microsoft.com/office/drawing/2014/main" id="{00000000-0008-0000-2100-0000017C0000}"/>
            </a:ext>
          </a:extLst>
        </xdr:cNvPr>
        <xdr:cNvGrpSpPr>
          <a:grpSpLocks/>
        </xdr:cNvGrpSpPr>
      </xdr:nvGrpSpPr>
      <xdr:grpSpPr bwMode="auto">
        <a:xfrm>
          <a:off x="66675" y="1590675"/>
          <a:ext cx="1066800" cy="638175"/>
          <a:chOff x="759" y="21"/>
          <a:chExt cx="112" cy="67"/>
        </a:xfrm>
      </xdr:grpSpPr>
      <xdr:sp macro="[0]!Арматура1" textlink="">
        <xdr:nvSpPr>
          <xdr:cNvPr id="31746" name="Rectangle 2">
            <a:extLst>
              <a:ext uri="{FF2B5EF4-FFF2-40B4-BE49-F238E27FC236}">
                <a16:creationId xmlns:a16="http://schemas.microsoft.com/office/drawing/2014/main" id="{00000000-0008-0000-2100-0000027C0000}"/>
              </a:ext>
            </a:extLst>
          </xdr:cNvPr>
          <xdr:cNvSpPr>
            <a:spLocks noChangeArrowheads="1"/>
          </xdr:cNvSpPr>
        </xdr:nvSpPr>
        <xdr:spPr bwMode="auto">
          <a:xfrm>
            <a:off x="759" y="21"/>
            <a:ext cx="112" cy="6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747" name="Group 3">
            <a:extLst>
              <a:ext uri="{FF2B5EF4-FFF2-40B4-BE49-F238E27FC236}">
                <a16:creationId xmlns:a16="http://schemas.microsoft.com/office/drawing/2014/main" id="{00000000-0008-0000-2100-0000037C0000}"/>
              </a:ext>
            </a:extLst>
          </xdr:cNvPr>
          <xdr:cNvGrpSpPr>
            <a:grpSpLocks/>
          </xdr:cNvGrpSpPr>
        </xdr:nvGrpSpPr>
        <xdr:grpSpPr bwMode="auto">
          <a:xfrm>
            <a:off x="782" y="56"/>
            <a:ext cx="81" cy="26"/>
            <a:chOff x="399" y="65"/>
            <a:chExt cx="334" cy="103"/>
          </a:xfrm>
        </xdr:grpSpPr>
        <xdr:grpSp>
          <xdr:nvGrpSpPr>
            <xdr:cNvPr id="31748" name="Group 4">
              <a:extLst>
                <a:ext uri="{FF2B5EF4-FFF2-40B4-BE49-F238E27FC236}">
                  <a16:creationId xmlns:a16="http://schemas.microsoft.com/office/drawing/2014/main" id="{00000000-0008-0000-2100-0000047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03" y="65"/>
              <a:ext cx="314" cy="103"/>
              <a:chOff x="425" y="52"/>
              <a:chExt cx="314" cy="103"/>
            </a:xfrm>
          </xdr:grpSpPr>
          <xdr:sp macro="[0]!Арматура1" textlink="">
            <xdr:nvSpPr>
              <xdr:cNvPr id="31749" name="Freeform 5">
                <a:extLst>
                  <a:ext uri="{FF2B5EF4-FFF2-40B4-BE49-F238E27FC236}">
                    <a16:creationId xmlns:a16="http://schemas.microsoft.com/office/drawing/2014/main" id="{00000000-0008-0000-2100-0000057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5" y="52"/>
                <a:ext cx="304" cy="103"/>
              </a:xfrm>
              <a:custGeom>
                <a:avLst/>
                <a:gdLst/>
                <a:ahLst/>
                <a:cxnLst>
                  <a:cxn ang="0">
                    <a:pos x="0" y="0"/>
                  </a:cxn>
                  <a:cxn ang="0">
                    <a:pos x="296" y="0"/>
                  </a:cxn>
                  <a:cxn ang="0">
                    <a:pos x="296" y="22"/>
                  </a:cxn>
                  <a:cxn ang="0">
                    <a:pos x="290" y="40"/>
                  </a:cxn>
                  <a:cxn ang="0">
                    <a:pos x="297" y="54"/>
                  </a:cxn>
                  <a:cxn ang="0">
                    <a:pos x="304" y="71"/>
                  </a:cxn>
                  <a:cxn ang="0">
                    <a:pos x="301" y="83"/>
                  </a:cxn>
                  <a:cxn ang="0">
                    <a:pos x="294" y="91"/>
                  </a:cxn>
                  <a:cxn ang="0">
                    <a:pos x="294" y="103"/>
                  </a:cxn>
                  <a:cxn ang="0">
                    <a:pos x="6" y="103"/>
                  </a:cxn>
                  <a:cxn ang="0">
                    <a:pos x="6" y="89"/>
                  </a:cxn>
                  <a:cxn ang="0">
                    <a:pos x="8" y="80"/>
                  </a:cxn>
                  <a:cxn ang="0">
                    <a:pos x="12" y="69"/>
                  </a:cxn>
                  <a:cxn ang="0">
                    <a:pos x="1" y="59"/>
                  </a:cxn>
                  <a:cxn ang="0">
                    <a:pos x="1" y="39"/>
                  </a:cxn>
                  <a:cxn ang="0">
                    <a:pos x="0" y="23"/>
                  </a:cxn>
                  <a:cxn ang="0">
                    <a:pos x="0" y="10"/>
                  </a:cxn>
                  <a:cxn ang="0">
                    <a:pos x="0" y="0"/>
                  </a:cxn>
                </a:cxnLst>
                <a:rect l="0" t="0" r="r" b="b"/>
                <a:pathLst>
                  <a:path w="304" h="103">
                    <a:moveTo>
                      <a:pt x="0" y="0"/>
                    </a:moveTo>
                    <a:cubicBezTo>
                      <a:pt x="10" y="0"/>
                      <a:pt x="295" y="0"/>
                      <a:pt x="296" y="0"/>
                    </a:cubicBezTo>
                    <a:cubicBezTo>
                      <a:pt x="296" y="19"/>
                      <a:pt x="296" y="11"/>
                      <a:pt x="296" y="22"/>
                    </a:cubicBezTo>
                    <a:cubicBezTo>
                      <a:pt x="297" y="29"/>
                      <a:pt x="293" y="27"/>
                      <a:pt x="290" y="40"/>
                    </a:cubicBezTo>
                    <a:cubicBezTo>
                      <a:pt x="292" y="45"/>
                      <a:pt x="291" y="45"/>
                      <a:pt x="297" y="54"/>
                    </a:cubicBezTo>
                    <a:cubicBezTo>
                      <a:pt x="297" y="60"/>
                      <a:pt x="304" y="55"/>
                      <a:pt x="304" y="71"/>
                    </a:cubicBezTo>
                    <a:cubicBezTo>
                      <a:pt x="300" y="79"/>
                      <a:pt x="300" y="76"/>
                      <a:pt x="301" y="83"/>
                    </a:cubicBezTo>
                    <a:cubicBezTo>
                      <a:pt x="292" y="89"/>
                      <a:pt x="292" y="83"/>
                      <a:pt x="294" y="91"/>
                    </a:cubicBezTo>
                    <a:cubicBezTo>
                      <a:pt x="293" y="99"/>
                      <a:pt x="294" y="93"/>
                      <a:pt x="294" y="103"/>
                    </a:cubicBezTo>
                    <a:cubicBezTo>
                      <a:pt x="272" y="103"/>
                      <a:pt x="56" y="103"/>
                      <a:pt x="6" y="103"/>
                    </a:cubicBezTo>
                    <a:cubicBezTo>
                      <a:pt x="6" y="93"/>
                      <a:pt x="6" y="93"/>
                      <a:pt x="6" y="89"/>
                    </a:cubicBezTo>
                    <a:cubicBezTo>
                      <a:pt x="6" y="85"/>
                      <a:pt x="7" y="83"/>
                      <a:pt x="8" y="80"/>
                    </a:cubicBezTo>
                    <a:cubicBezTo>
                      <a:pt x="12" y="74"/>
                      <a:pt x="9" y="75"/>
                      <a:pt x="12" y="69"/>
                    </a:cubicBezTo>
                    <a:cubicBezTo>
                      <a:pt x="18" y="59"/>
                      <a:pt x="1" y="59"/>
                      <a:pt x="1" y="59"/>
                    </a:cubicBezTo>
                    <a:cubicBezTo>
                      <a:pt x="1" y="49"/>
                      <a:pt x="9" y="44"/>
                      <a:pt x="1" y="39"/>
                    </a:cubicBezTo>
                    <a:cubicBezTo>
                      <a:pt x="0" y="31"/>
                      <a:pt x="4" y="25"/>
                      <a:pt x="0" y="23"/>
                    </a:cubicBezTo>
                    <a:cubicBezTo>
                      <a:pt x="0" y="16"/>
                      <a:pt x="0" y="10"/>
                      <a:pt x="0" y="10"/>
                    </a:cubicBezTo>
                    <a:cubicBezTo>
                      <a:pt x="0" y="6"/>
                      <a:pt x="0" y="0"/>
                      <a:pt x="0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w="9525" cap="flat" cmpd="sng">
                <a:noFill/>
                <a:prstDash val="solid"/>
                <a:round/>
                <a:headEnd/>
                <a:tailEnd/>
              </a:ln>
            </xdr:spPr>
          </xdr:sp>
          <xdr:grpSp>
            <xdr:nvGrpSpPr>
              <xdr:cNvPr id="31750" name="Group 6">
                <a:extLst>
                  <a:ext uri="{FF2B5EF4-FFF2-40B4-BE49-F238E27FC236}">
                    <a16:creationId xmlns:a16="http://schemas.microsoft.com/office/drawing/2014/main" id="{00000000-0008-0000-2100-000006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25" y="52"/>
                <a:ext cx="313" cy="102"/>
                <a:chOff x="425" y="52"/>
                <a:chExt cx="313" cy="102"/>
              </a:xfrm>
            </xdr:grpSpPr>
            <xdr:grpSp>
              <xdr:nvGrpSpPr>
                <xdr:cNvPr id="31751" name="Group 7">
                  <a:extLst>
                    <a:ext uri="{FF2B5EF4-FFF2-40B4-BE49-F238E27FC236}">
                      <a16:creationId xmlns:a16="http://schemas.microsoft.com/office/drawing/2014/main" id="{00000000-0008-0000-2100-000007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35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52" name="Arc 8">
                    <a:extLst>
                      <a:ext uri="{FF2B5EF4-FFF2-40B4-BE49-F238E27FC236}">
                        <a16:creationId xmlns:a16="http://schemas.microsoft.com/office/drawing/2014/main" id="{00000000-0008-0000-2100-000008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53" name="Arc 9">
                    <a:extLst>
                      <a:ext uri="{FF2B5EF4-FFF2-40B4-BE49-F238E27FC236}">
                        <a16:creationId xmlns:a16="http://schemas.microsoft.com/office/drawing/2014/main" id="{00000000-0008-0000-2100-00000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54" name="Arc 10">
                    <a:extLst>
                      <a:ext uri="{FF2B5EF4-FFF2-40B4-BE49-F238E27FC236}">
                        <a16:creationId xmlns:a16="http://schemas.microsoft.com/office/drawing/2014/main" id="{00000000-0008-0000-2100-00000A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55" name="Group 11">
                  <a:extLst>
                    <a:ext uri="{FF2B5EF4-FFF2-40B4-BE49-F238E27FC236}">
                      <a16:creationId xmlns:a16="http://schemas.microsoft.com/office/drawing/2014/main" id="{00000000-0008-0000-2100-00000B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83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56" name="Arc 12">
                    <a:extLst>
                      <a:ext uri="{FF2B5EF4-FFF2-40B4-BE49-F238E27FC236}">
                        <a16:creationId xmlns:a16="http://schemas.microsoft.com/office/drawing/2014/main" id="{00000000-0008-0000-2100-00000C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57" name="Arc 13">
                    <a:extLst>
                      <a:ext uri="{FF2B5EF4-FFF2-40B4-BE49-F238E27FC236}">
                        <a16:creationId xmlns:a16="http://schemas.microsoft.com/office/drawing/2014/main" id="{00000000-0008-0000-2100-00000D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58" name="Arc 14">
                    <a:extLst>
                      <a:ext uri="{FF2B5EF4-FFF2-40B4-BE49-F238E27FC236}">
                        <a16:creationId xmlns:a16="http://schemas.microsoft.com/office/drawing/2014/main" id="{00000000-0008-0000-2100-00000E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59" name="Group 15">
                  <a:extLst>
                    <a:ext uri="{FF2B5EF4-FFF2-40B4-BE49-F238E27FC236}">
                      <a16:creationId xmlns:a16="http://schemas.microsoft.com/office/drawing/2014/main" id="{00000000-0008-0000-2100-00000F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31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60" name="Arc 16">
                    <a:extLst>
                      <a:ext uri="{FF2B5EF4-FFF2-40B4-BE49-F238E27FC236}">
                        <a16:creationId xmlns:a16="http://schemas.microsoft.com/office/drawing/2014/main" id="{00000000-0008-0000-2100-000010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61" name="Arc 17">
                    <a:extLst>
                      <a:ext uri="{FF2B5EF4-FFF2-40B4-BE49-F238E27FC236}">
                        <a16:creationId xmlns:a16="http://schemas.microsoft.com/office/drawing/2014/main" id="{00000000-0008-0000-2100-000011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62" name="Arc 18">
                    <a:extLst>
                      <a:ext uri="{FF2B5EF4-FFF2-40B4-BE49-F238E27FC236}">
                        <a16:creationId xmlns:a16="http://schemas.microsoft.com/office/drawing/2014/main" id="{00000000-0008-0000-2100-000012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63" name="Group 19">
                  <a:extLst>
                    <a:ext uri="{FF2B5EF4-FFF2-40B4-BE49-F238E27FC236}">
                      <a16:creationId xmlns:a16="http://schemas.microsoft.com/office/drawing/2014/main" id="{00000000-0008-0000-2100-000013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79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64" name="Arc 20">
                    <a:extLst>
                      <a:ext uri="{FF2B5EF4-FFF2-40B4-BE49-F238E27FC236}">
                        <a16:creationId xmlns:a16="http://schemas.microsoft.com/office/drawing/2014/main" id="{00000000-0008-0000-2100-000014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65" name="Arc 21">
                    <a:extLst>
                      <a:ext uri="{FF2B5EF4-FFF2-40B4-BE49-F238E27FC236}">
                        <a16:creationId xmlns:a16="http://schemas.microsoft.com/office/drawing/2014/main" id="{00000000-0008-0000-2100-000015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66" name="Arc 22">
                    <a:extLst>
                      <a:ext uri="{FF2B5EF4-FFF2-40B4-BE49-F238E27FC236}">
                        <a16:creationId xmlns:a16="http://schemas.microsoft.com/office/drawing/2014/main" id="{00000000-0008-0000-2100-000016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67" name="Group 23">
                  <a:extLst>
                    <a:ext uri="{FF2B5EF4-FFF2-40B4-BE49-F238E27FC236}">
                      <a16:creationId xmlns:a16="http://schemas.microsoft.com/office/drawing/2014/main" id="{00000000-0008-0000-2100-000017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27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68" name="Arc 24">
                    <a:extLst>
                      <a:ext uri="{FF2B5EF4-FFF2-40B4-BE49-F238E27FC236}">
                        <a16:creationId xmlns:a16="http://schemas.microsoft.com/office/drawing/2014/main" id="{00000000-0008-0000-2100-000018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69" name="Arc 25">
                    <a:extLst>
                      <a:ext uri="{FF2B5EF4-FFF2-40B4-BE49-F238E27FC236}">
                        <a16:creationId xmlns:a16="http://schemas.microsoft.com/office/drawing/2014/main" id="{00000000-0008-0000-2100-00001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70" name="Arc 26">
                    <a:extLst>
                      <a:ext uri="{FF2B5EF4-FFF2-40B4-BE49-F238E27FC236}">
                        <a16:creationId xmlns:a16="http://schemas.microsoft.com/office/drawing/2014/main" id="{00000000-0008-0000-2100-00001A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71" name="Group 27">
                  <a:extLst>
                    <a:ext uri="{FF2B5EF4-FFF2-40B4-BE49-F238E27FC236}">
                      <a16:creationId xmlns:a16="http://schemas.microsoft.com/office/drawing/2014/main" id="{00000000-0008-0000-2100-00001B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75" y="5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72" name="Arc 28">
                    <a:extLst>
                      <a:ext uri="{FF2B5EF4-FFF2-40B4-BE49-F238E27FC236}">
                        <a16:creationId xmlns:a16="http://schemas.microsoft.com/office/drawing/2014/main" id="{00000000-0008-0000-2100-00001C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73" name="Arc 29">
                    <a:extLst>
                      <a:ext uri="{FF2B5EF4-FFF2-40B4-BE49-F238E27FC236}">
                        <a16:creationId xmlns:a16="http://schemas.microsoft.com/office/drawing/2014/main" id="{00000000-0008-0000-2100-00001D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74" name="Arc 30">
                    <a:extLst>
                      <a:ext uri="{FF2B5EF4-FFF2-40B4-BE49-F238E27FC236}">
                        <a16:creationId xmlns:a16="http://schemas.microsoft.com/office/drawing/2014/main" id="{00000000-0008-0000-2100-00001E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75" name="Group 31">
                  <a:extLst>
                    <a:ext uri="{FF2B5EF4-FFF2-40B4-BE49-F238E27FC236}">
                      <a16:creationId xmlns:a16="http://schemas.microsoft.com/office/drawing/2014/main" id="{00000000-0008-0000-2100-00001F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682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76" name="Arc 32">
                    <a:extLst>
                      <a:ext uri="{FF2B5EF4-FFF2-40B4-BE49-F238E27FC236}">
                        <a16:creationId xmlns:a16="http://schemas.microsoft.com/office/drawing/2014/main" id="{00000000-0008-0000-2100-000020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77" name="Arc 33">
                    <a:extLst>
                      <a:ext uri="{FF2B5EF4-FFF2-40B4-BE49-F238E27FC236}">
                        <a16:creationId xmlns:a16="http://schemas.microsoft.com/office/drawing/2014/main" id="{00000000-0008-0000-2100-000021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78" name="Arc 34">
                    <a:extLst>
                      <a:ext uri="{FF2B5EF4-FFF2-40B4-BE49-F238E27FC236}">
                        <a16:creationId xmlns:a16="http://schemas.microsoft.com/office/drawing/2014/main" id="{00000000-0008-0000-2100-000022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79" name="Group 35">
                  <a:extLst>
                    <a:ext uri="{FF2B5EF4-FFF2-40B4-BE49-F238E27FC236}">
                      <a16:creationId xmlns:a16="http://schemas.microsoft.com/office/drawing/2014/main" id="{00000000-0008-0000-2100-000023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634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80" name="Arc 36">
                    <a:extLst>
                      <a:ext uri="{FF2B5EF4-FFF2-40B4-BE49-F238E27FC236}">
                        <a16:creationId xmlns:a16="http://schemas.microsoft.com/office/drawing/2014/main" id="{00000000-0008-0000-2100-000024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81" name="Arc 37">
                    <a:extLst>
                      <a:ext uri="{FF2B5EF4-FFF2-40B4-BE49-F238E27FC236}">
                        <a16:creationId xmlns:a16="http://schemas.microsoft.com/office/drawing/2014/main" id="{00000000-0008-0000-2100-000025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82" name="Arc 38">
                    <a:extLst>
                      <a:ext uri="{FF2B5EF4-FFF2-40B4-BE49-F238E27FC236}">
                        <a16:creationId xmlns:a16="http://schemas.microsoft.com/office/drawing/2014/main" id="{00000000-0008-0000-2100-000026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83" name="Group 39">
                  <a:extLst>
                    <a:ext uri="{FF2B5EF4-FFF2-40B4-BE49-F238E27FC236}">
                      <a16:creationId xmlns:a16="http://schemas.microsoft.com/office/drawing/2014/main" id="{00000000-0008-0000-2100-000027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586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84" name="Arc 40">
                    <a:extLst>
                      <a:ext uri="{FF2B5EF4-FFF2-40B4-BE49-F238E27FC236}">
                        <a16:creationId xmlns:a16="http://schemas.microsoft.com/office/drawing/2014/main" id="{00000000-0008-0000-2100-000028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85" name="Arc 41">
                    <a:extLst>
                      <a:ext uri="{FF2B5EF4-FFF2-40B4-BE49-F238E27FC236}">
                        <a16:creationId xmlns:a16="http://schemas.microsoft.com/office/drawing/2014/main" id="{00000000-0008-0000-2100-00002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86" name="Arc 42">
                    <a:extLst>
                      <a:ext uri="{FF2B5EF4-FFF2-40B4-BE49-F238E27FC236}">
                        <a16:creationId xmlns:a16="http://schemas.microsoft.com/office/drawing/2014/main" id="{00000000-0008-0000-2100-00002A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87" name="Group 43">
                  <a:extLst>
                    <a:ext uri="{FF2B5EF4-FFF2-40B4-BE49-F238E27FC236}">
                      <a16:creationId xmlns:a16="http://schemas.microsoft.com/office/drawing/2014/main" id="{00000000-0008-0000-2100-00002B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538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88" name="Arc 44">
                    <a:extLst>
                      <a:ext uri="{FF2B5EF4-FFF2-40B4-BE49-F238E27FC236}">
                        <a16:creationId xmlns:a16="http://schemas.microsoft.com/office/drawing/2014/main" id="{00000000-0008-0000-2100-00002C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89" name="Arc 45">
                    <a:extLst>
                      <a:ext uri="{FF2B5EF4-FFF2-40B4-BE49-F238E27FC236}">
                        <a16:creationId xmlns:a16="http://schemas.microsoft.com/office/drawing/2014/main" id="{00000000-0008-0000-2100-00002D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90" name="Arc 46">
                    <a:extLst>
                      <a:ext uri="{FF2B5EF4-FFF2-40B4-BE49-F238E27FC236}">
                        <a16:creationId xmlns:a16="http://schemas.microsoft.com/office/drawing/2014/main" id="{00000000-0008-0000-2100-00002E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91" name="Group 47">
                  <a:extLst>
                    <a:ext uri="{FF2B5EF4-FFF2-40B4-BE49-F238E27FC236}">
                      <a16:creationId xmlns:a16="http://schemas.microsoft.com/office/drawing/2014/main" id="{00000000-0008-0000-2100-00002F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490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92" name="Arc 48">
                    <a:extLst>
                      <a:ext uri="{FF2B5EF4-FFF2-40B4-BE49-F238E27FC236}">
                        <a16:creationId xmlns:a16="http://schemas.microsoft.com/office/drawing/2014/main" id="{00000000-0008-0000-2100-000030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93" name="Arc 49">
                    <a:extLst>
                      <a:ext uri="{FF2B5EF4-FFF2-40B4-BE49-F238E27FC236}">
                        <a16:creationId xmlns:a16="http://schemas.microsoft.com/office/drawing/2014/main" id="{00000000-0008-0000-2100-000031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94" name="Arc 50">
                    <a:extLst>
                      <a:ext uri="{FF2B5EF4-FFF2-40B4-BE49-F238E27FC236}">
                        <a16:creationId xmlns:a16="http://schemas.microsoft.com/office/drawing/2014/main" id="{00000000-0008-0000-2100-000032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795" name="Group 51">
                  <a:extLst>
                    <a:ext uri="{FF2B5EF4-FFF2-40B4-BE49-F238E27FC236}">
                      <a16:creationId xmlns:a16="http://schemas.microsoft.com/office/drawing/2014/main" id="{00000000-0008-0000-2100-000033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442" y="95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796" name="Arc 52">
                    <a:extLst>
                      <a:ext uri="{FF2B5EF4-FFF2-40B4-BE49-F238E27FC236}">
                        <a16:creationId xmlns:a16="http://schemas.microsoft.com/office/drawing/2014/main" id="{00000000-0008-0000-2100-000034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97" name="Arc 53">
                    <a:extLst>
                      <a:ext uri="{FF2B5EF4-FFF2-40B4-BE49-F238E27FC236}">
                        <a16:creationId xmlns:a16="http://schemas.microsoft.com/office/drawing/2014/main" id="{00000000-0008-0000-2100-000035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798" name="Arc 54">
                    <a:extLst>
                      <a:ext uri="{FF2B5EF4-FFF2-40B4-BE49-F238E27FC236}">
                        <a16:creationId xmlns:a16="http://schemas.microsoft.com/office/drawing/2014/main" id="{00000000-0008-0000-2100-000036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Арматура1" textlink="">
              <xdr:nvSpPr>
                <xdr:cNvPr id="31799" name="Freeform 55">
                  <a:extLst>
                    <a:ext uri="{FF2B5EF4-FFF2-40B4-BE49-F238E27FC236}">
                      <a16:creationId xmlns:a16="http://schemas.microsoft.com/office/drawing/2014/main" id="{00000000-0008-0000-2100-000037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5" y="94"/>
                  <a:ext cx="312" cy="19"/>
                </a:xfrm>
                <a:custGeom>
                  <a:avLst/>
                  <a:gdLst/>
                  <a:ahLst/>
                  <a:cxnLst>
                    <a:cxn ang="0">
                      <a:pos x="310" y="18"/>
                    </a:cxn>
                    <a:cxn ang="0">
                      <a:pos x="12" y="18"/>
                    </a:cxn>
                    <a:cxn ang="0">
                      <a:pos x="12" y="8"/>
                    </a:cxn>
                    <a:cxn ang="0">
                      <a:pos x="10" y="0"/>
                    </a:cxn>
                    <a:cxn ang="0">
                      <a:pos x="306" y="0"/>
                    </a:cxn>
                    <a:cxn ang="0">
                      <a:pos x="305" y="9"/>
                    </a:cxn>
                    <a:cxn ang="0">
                      <a:pos x="310" y="18"/>
                    </a:cxn>
                  </a:cxnLst>
                  <a:rect l="0" t="0" r="r" b="b"/>
                  <a:pathLst>
                    <a:path w="312" h="18">
                      <a:moveTo>
                        <a:pt x="310" y="18"/>
                      </a:moveTo>
                      <a:cubicBezTo>
                        <a:pt x="264" y="18"/>
                        <a:pt x="60" y="18"/>
                        <a:pt x="12" y="18"/>
                      </a:cubicBezTo>
                      <a:cubicBezTo>
                        <a:pt x="9" y="11"/>
                        <a:pt x="0" y="16"/>
                        <a:pt x="12" y="8"/>
                      </a:cubicBezTo>
                      <a:cubicBezTo>
                        <a:pt x="3" y="5"/>
                        <a:pt x="5" y="7"/>
                        <a:pt x="10" y="0"/>
                      </a:cubicBezTo>
                      <a:cubicBezTo>
                        <a:pt x="150" y="0"/>
                        <a:pt x="258" y="0"/>
                        <a:pt x="306" y="0"/>
                      </a:cubicBezTo>
                      <a:cubicBezTo>
                        <a:pt x="312" y="5"/>
                        <a:pt x="306" y="6"/>
                        <a:pt x="305" y="9"/>
                      </a:cubicBezTo>
                      <a:cubicBezTo>
                        <a:pt x="303" y="12"/>
                        <a:pt x="310" y="12"/>
                        <a:pt x="310" y="18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</xdr:grpSp>
        </xdr:grpSp>
        <xdr:sp macro="[0]!Арматура1" textlink="">
          <xdr:nvSpPr>
            <xdr:cNvPr id="31800" name="Line 56">
              <a:extLst>
                <a:ext uri="{FF2B5EF4-FFF2-40B4-BE49-F238E27FC236}">
                  <a16:creationId xmlns:a16="http://schemas.microsoft.com/office/drawing/2014/main" id="{00000000-0008-0000-2100-0000387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99" y="117"/>
              <a:ext cx="334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"/>
              <a:round/>
              <a:headEnd/>
              <a:tailEnd/>
            </a:ln>
          </xdr:spPr>
        </xdr:sp>
      </xdr:grpSp>
      <xdr:grpSp>
        <xdr:nvGrpSpPr>
          <xdr:cNvPr id="31801" name="Group 57">
            <a:extLst>
              <a:ext uri="{FF2B5EF4-FFF2-40B4-BE49-F238E27FC236}">
                <a16:creationId xmlns:a16="http://schemas.microsoft.com/office/drawing/2014/main" id="{00000000-0008-0000-2100-0000397C0000}"/>
              </a:ext>
            </a:extLst>
          </xdr:cNvPr>
          <xdr:cNvGrpSpPr>
            <a:grpSpLocks/>
          </xdr:cNvGrpSpPr>
        </xdr:nvGrpSpPr>
        <xdr:grpSpPr bwMode="auto">
          <a:xfrm>
            <a:off x="767" y="27"/>
            <a:ext cx="32" cy="29"/>
            <a:chOff x="767" y="27"/>
            <a:chExt cx="32" cy="29"/>
          </a:xfrm>
        </xdr:grpSpPr>
        <xdr:sp macro="[0]!Арматура1" textlink="">
          <xdr:nvSpPr>
            <xdr:cNvPr id="31802" name="Oval 58">
              <a:extLst>
                <a:ext uri="{FF2B5EF4-FFF2-40B4-BE49-F238E27FC236}">
                  <a16:creationId xmlns:a16="http://schemas.microsoft.com/office/drawing/2014/main" id="{00000000-0008-0000-2100-00003A7C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67" y="27"/>
              <a:ext cx="29" cy="29"/>
            </a:xfrm>
            <a:prstGeom prst="ellipse">
              <a:avLst/>
            </a:prstGeom>
            <a:noFill/>
            <a:ln w="15875">
              <a:solidFill>
                <a:srgbClr val="000000"/>
              </a:solidFill>
              <a:round/>
              <a:headEnd/>
              <a:tailEnd/>
            </a:ln>
          </xdr:spPr>
        </xdr:sp>
        <xdr:sp macro="[0]!Арматура1" textlink="">
          <xdr:nvSpPr>
            <xdr:cNvPr id="31803" name="Text Box 59">
              <a:extLst>
                <a:ext uri="{FF2B5EF4-FFF2-40B4-BE49-F238E27FC236}">
                  <a16:creationId xmlns:a16="http://schemas.microsoft.com/office/drawing/2014/main" id="{00000000-0008-0000-2100-00003B7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68" y="31"/>
              <a:ext cx="31" cy="24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27432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1a</a:t>
              </a:r>
            </a:p>
          </xdr:txBody>
        </xdr:sp>
      </xdr:grpSp>
      <xdr:sp macro="[0]!Арматура1" textlink="">
        <xdr:nvSpPr>
          <xdr:cNvPr id="31804" name="Text Box 60">
            <a:extLst>
              <a:ext uri="{FF2B5EF4-FFF2-40B4-BE49-F238E27FC236}">
                <a16:creationId xmlns:a16="http://schemas.microsoft.com/office/drawing/2014/main" id="{00000000-0008-0000-2100-00003C7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4" y="21"/>
            <a:ext cx="50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32004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Courier New Cyr"/>
                <a:cs typeface="Courier New Cyr"/>
              </a:rPr>
              <a:t>A-II</a:t>
            </a:r>
          </a:p>
        </xdr:txBody>
      </xdr:sp>
    </xdr:grpSp>
    <xdr:clientData fPrintsWithSheet="0"/>
  </xdr:twoCellAnchor>
  <xdr:twoCellAnchor editAs="oneCell">
    <xdr:from>
      <xdr:col>0</xdr:col>
      <xdr:colOff>19050</xdr:colOff>
      <xdr:row>10</xdr:row>
      <xdr:rowOff>9525</xdr:rowOff>
    </xdr:from>
    <xdr:to>
      <xdr:col>2</xdr:col>
      <xdr:colOff>314325</xdr:colOff>
      <xdr:row>14</xdr:row>
      <xdr:rowOff>104775</xdr:rowOff>
    </xdr:to>
    <xdr:grpSp>
      <xdr:nvGrpSpPr>
        <xdr:cNvPr id="31805" name="Group 61">
          <a:extLst>
            <a:ext uri="{FF2B5EF4-FFF2-40B4-BE49-F238E27FC236}">
              <a16:creationId xmlns:a16="http://schemas.microsoft.com/office/drawing/2014/main" id="{00000000-0008-0000-2100-00003D7C0000}"/>
            </a:ext>
          </a:extLst>
        </xdr:cNvPr>
        <xdr:cNvGrpSpPr>
          <a:grpSpLocks/>
        </xdr:cNvGrpSpPr>
      </xdr:nvGrpSpPr>
      <xdr:grpSpPr bwMode="auto">
        <a:xfrm>
          <a:off x="19050" y="2305050"/>
          <a:ext cx="1228725" cy="704850"/>
          <a:chOff x="918" y="18"/>
          <a:chExt cx="130" cy="74"/>
        </a:xfrm>
      </xdr:grpSpPr>
      <xdr:sp macro="[0]!Арматура1" textlink="">
        <xdr:nvSpPr>
          <xdr:cNvPr id="31806" name="Rectangle 62">
            <a:extLst>
              <a:ext uri="{FF2B5EF4-FFF2-40B4-BE49-F238E27FC236}">
                <a16:creationId xmlns:a16="http://schemas.microsoft.com/office/drawing/2014/main" id="{00000000-0008-0000-2100-00003E7C0000}"/>
              </a:ext>
            </a:extLst>
          </xdr:cNvPr>
          <xdr:cNvSpPr>
            <a:spLocks noChangeArrowheads="1"/>
          </xdr:cNvSpPr>
        </xdr:nvSpPr>
        <xdr:spPr bwMode="auto">
          <a:xfrm>
            <a:off x="918" y="18"/>
            <a:ext cx="129" cy="7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807" name="Group 63">
            <a:extLst>
              <a:ext uri="{FF2B5EF4-FFF2-40B4-BE49-F238E27FC236}">
                <a16:creationId xmlns:a16="http://schemas.microsoft.com/office/drawing/2014/main" id="{00000000-0008-0000-2100-00003F7C0000}"/>
              </a:ext>
            </a:extLst>
          </xdr:cNvPr>
          <xdr:cNvGrpSpPr>
            <a:grpSpLocks/>
          </xdr:cNvGrpSpPr>
        </xdr:nvGrpSpPr>
        <xdr:grpSpPr bwMode="auto">
          <a:xfrm flipV="1">
            <a:off x="938" y="62"/>
            <a:ext cx="89" cy="24"/>
            <a:chOff x="276" y="277"/>
            <a:chExt cx="317" cy="102"/>
          </a:xfrm>
        </xdr:grpSpPr>
        <xdr:grpSp>
          <xdr:nvGrpSpPr>
            <xdr:cNvPr id="31808" name="Group 64">
              <a:extLst>
                <a:ext uri="{FF2B5EF4-FFF2-40B4-BE49-F238E27FC236}">
                  <a16:creationId xmlns:a16="http://schemas.microsoft.com/office/drawing/2014/main" id="{00000000-0008-0000-2100-0000407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82" y="277"/>
              <a:ext cx="307" cy="102"/>
              <a:chOff x="86" y="187"/>
              <a:chExt cx="307" cy="102"/>
            </a:xfrm>
          </xdr:grpSpPr>
          <xdr:sp macro="[0]!Арматура1" textlink="">
            <xdr:nvSpPr>
              <xdr:cNvPr id="31809" name="Freeform 65">
                <a:extLst>
                  <a:ext uri="{FF2B5EF4-FFF2-40B4-BE49-F238E27FC236}">
                    <a16:creationId xmlns:a16="http://schemas.microsoft.com/office/drawing/2014/main" id="{00000000-0008-0000-2100-0000417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87"/>
                <a:ext cx="302" cy="102"/>
              </a:xfrm>
              <a:custGeom>
                <a:avLst/>
                <a:gdLst/>
                <a:ahLst/>
                <a:cxnLst>
                  <a:cxn ang="0">
                    <a:pos x="7" y="0"/>
                  </a:cxn>
                  <a:cxn ang="0">
                    <a:pos x="298" y="1"/>
                  </a:cxn>
                  <a:cxn ang="0">
                    <a:pos x="295" y="21"/>
                  </a:cxn>
                  <a:cxn ang="0">
                    <a:pos x="286" y="41"/>
                  </a:cxn>
                  <a:cxn ang="0">
                    <a:pos x="293" y="57"/>
                  </a:cxn>
                  <a:cxn ang="0">
                    <a:pos x="297" y="72"/>
                  </a:cxn>
                  <a:cxn ang="0">
                    <a:pos x="302" y="84"/>
                  </a:cxn>
                  <a:cxn ang="0">
                    <a:pos x="298" y="93"/>
                  </a:cxn>
                  <a:cxn ang="0">
                    <a:pos x="296" y="104"/>
                  </a:cxn>
                  <a:cxn ang="0">
                    <a:pos x="13" y="104"/>
                  </a:cxn>
                  <a:cxn ang="0">
                    <a:pos x="13" y="92"/>
                  </a:cxn>
                  <a:cxn ang="0">
                    <a:pos x="10" y="81"/>
                  </a:cxn>
                  <a:cxn ang="0">
                    <a:pos x="10" y="71"/>
                  </a:cxn>
                  <a:cxn ang="0">
                    <a:pos x="1" y="59"/>
                  </a:cxn>
                  <a:cxn ang="0">
                    <a:pos x="1" y="36"/>
                  </a:cxn>
                  <a:cxn ang="0">
                    <a:pos x="4" y="23"/>
                  </a:cxn>
                  <a:cxn ang="0">
                    <a:pos x="8" y="10"/>
                  </a:cxn>
                  <a:cxn ang="0">
                    <a:pos x="7" y="0"/>
                  </a:cxn>
                </a:cxnLst>
                <a:rect l="0" t="0" r="r" b="b"/>
                <a:pathLst>
                  <a:path w="302" h="104">
                    <a:moveTo>
                      <a:pt x="7" y="0"/>
                    </a:moveTo>
                    <a:cubicBezTo>
                      <a:pt x="17" y="0"/>
                      <a:pt x="297" y="1"/>
                      <a:pt x="298" y="1"/>
                    </a:cubicBezTo>
                    <a:cubicBezTo>
                      <a:pt x="298" y="20"/>
                      <a:pt x="295" y="10"/>
                      <a:pt x="295" y="21"/>
                    </a:cubicBezTo>
                    <a:cubicBezTo>
                      <a:pt x="288" y="29"/>
                      <a:pt x="289" y="28"/>
                      <a:pt x="286" y="41"/>
                    </a:cubicBezTo>
                    <a:cubicBezTo>
                      <a:pt x="288" y="46"/>
                      <a:pt x="292" y="48"/>
                      <a:pt x="293" y="57"/>
                    </a:cubicBezTo>
                    <a:cubicBezTo>
                      <a:pt x="292" y="64"/>
                      <a:pt x="294" y="64"/>
                      <a:pt x="297" y="72"/>
                    </a:cubicBezTo>
                    <a:cubicBezTo>
                      <a:pt x="300" y="80"/>
                      <a:pt x="299" y="77"/>
                      <a:pt x="302" y="84"/>
                    </a:cubicBezTo>
                    <a:cubicBezTo>
                      <a:pt x="301" y="94"/>
                      <a:pt x="302" y="89"/>
                      <a:pt x="298" y="93"/>
                    </a:cubicBezTo>
                    <a:cubicBezTo>
                      <a:pt x="297" y="101"/>
                      <a:pt x="296" y="94"/>
                      <a:pt x="296" y="104"/>
                    </a:cubicBezTo>
                    <a:cubicBezTo>
                      <a:pt x="273" y="104"/>
                      <a:pt x="64" y="104"/>
                      <a:pt x="13" y="104"/>
                    </a:cubicBezTo>
                    <a:cubicBezTo>
                      <a:pt x="13" y="94"/>
                      <a:pt x="13" y="96"/>
                      <a:pt x="13" y="92"/>
                    </a:cubicBezTo>
                    <a:cubicBezTo>
                      <a:pt x="13" y="88"/>
                      <a:pt x="10" y="84"/>
                      <a:pt x="10" y="81"/>
                    </a:cubicBezTo>
                    <a:cubicBezTo>
                      <a:pt x="14" y="75"/>
                      <a:pt x="7" y="77"/>
                      <a:pt x="10" y="71"/>
                    </a:cubicBezTo>
                    <a:cubicBezTo>
                      <a:pt x="13" y="62"/>
                      <a:pt x="1" y="59"/>
                      <a:pt x="1" y="59"/>
                    </a:cubicBezTo>
                    <a:cubicBezTo>
                      <a:pt x="1" y="49"/>
                      <a:pt x="2" y="44"/>
                      <a:pt x="1" y="36"/>
                    </a:cubicBezTo>
                    <a:cubicBezTo>
                      <a:pt x="0" y="28"/>
                      <a:pt x="8" y="25"/>
                      <a:pt x="4" y="23"/>
                    </a:cubicBezTo>
                    <a:cubicBezTo>
                      <a:pt x="8" y="15"/>
                      <a:pt x="8" y="10"/>
                      <a:pt x="8" y="10"/>
                    </a:cubicBezTo>
                    <a:cubicBezTo>
                      <a:pt x="8" y="6"/>
                      <a:pt x="7" y="0"/>
                      <a:pt x="7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w="9525" cap="flat" cmpd="sng">
                <a:noFill/>
                <a:prstDash val="solid"/>
                <a:round/>
                <a:headEnd/>
                <a:tailEnd/>
              </a:ln>
            </xdr:spPr>
          </xdr:sp>
          <xdr:grpSp>
            <xdr:nvGrpSpPr>
              <xdr:cNvPr id="31810" name="Group 66">
                <a:extLst>
                  <a:ext uri="{FF2B5EF4-FFF2-40B4-BE49-F238E27FC236}">
                    <a16:creationId xmlns:a16="http://schemas.microsoft.com/office/drawing/2014/main" id="{00000000-0008-0000-2100-0000427C0000}"/>
                  </a:ext>
                </a:extLst>
              </xdr:cNvPr>
              <xdr:cNvGrpSpPr>
                <a:grpSpLocks/>
              </xdr:cNvGrpSpPr>
            </xdr:nvGrpSpPr>
            <xdr:grpSpPr bwMode="auto">
              <a:xfrm flipV="1">
                <a:off x="103" y="231"/>
                <a:ext cx="56" cy="58"/>
                <a:chOff x="345" y="51"/>
                <a:chExt cx="56" cy="59"/>
              </a:xfrm>
            </xdr:grpSpPr>
            <xdr:sp macro="[0]!Арматура1" textlink="">
              <xdr:nvSpPr>
                <xdr:cNvPr id="31811" name="Arc 67">
                  <a:extLst>
                    <a:ext uri="{FF2B5EF4-FFF2-40B4-BE49-F238E27FC236}">
                      <a16:creationId xmlns:a16="http://schemas.microsoft.com/office/drawing/2014/main" id="{00000000-0008-0000-2100-000043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52" y="44"/>
                  <a:ext cx="42" cy="56"/>
                </a:xfrm>
                <a:custGeom>
                  <a:avLst/>
                  <a:gdLst>
                    <a:gd name="G0" fmla="+- 305 0 0"/>
                    <a:gd name="G1" fmla="+- 21600 0 0"/>
                    <a:gd name="G2" fmla="+- 21600 0 0"/>
                    <a:gd name="T0" fmla="*/ 0 w 21905"/>
                    <a:gd name="T1" fmla="*/ 2 h 38798"/>
                    <a:gd name="T2" fmla="*/ 13373 w 21905"/>
                    <a:gd name="T3" fmla="*/ 38798 h 38798"/>
                    <a:gd name="T4" fmla="*/ 305 w 21905"/>
                    <a:gd name="T5" fmla="*/ 21600 h 3879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905" h="38798" fill="none" extrusionOk="0">
                      <a:moveTo>
                        <a:pt x="0" y="2"/>
                      </a:moveTo>
                      <a:cubicBezTo>
                        <a:pt x="101" y="0"/>
                        <a:pt x="203" y="-1"/>
                        <a:pt x="305" y="0"/>
                      </a:cubicBezTo>
                      <a:cubicBezTo>
                        <a:pt x="12234" y="0"/>
                        <a:pt x="21905" y="9670"/>
                        <a:pt x="21905" y="21600"/>
                      </a:cubicBezTo>
                      <a:cubicBezTo>
                        <a:pt x="21905" y="28351"/>
                        <a:pt x="18748" y="34713"/>
                        <a:pt x="13373" y="38798"/>
                      </a:cubicBezTo>
                    </a:path>
                    <a:path w="21905" h="38798" stroke="0" extrusionOk="0">
                      <a:moveTo>
                        <a:pt x="0" y="2"/>
                      </a:moveTo>
                      <a:cubicBezTo>
                        <a:pt x="101" y="0"/>
                        <a:pt x="203" y="-1"/>
                        <a:pt x="305" y="0"/>
                      </a:cubicBezTo>
                      <a:cubicBezTo>
                        <a:pt x="12234" y="0"/>
                        <a:pt x="21905" y="9670"/>
                        <a:pt x="21905" y="21600"/>
                      </a:cubicBezTo>
                      <a:cubicBezTo>
                        <a:pt x="21905" y="28351"/>
                        <a:pt x="18748" y="34713"/>
                        <a:pt x="13373" y="38798"/>
                      </a:cubicBezTo>
                      <a:lnTo>
                        <a:pt x="305" y="21600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1" textlink="">
              <xdr:nvSpPr>
                <xdr:cNvPr id="31812" name="Arc 68">
                  <a:extLst>
                    <a:ext uri="{FF2B5EF4-FFF2-40B4-BE49-F238E27FC236}">
                      <a16:creationId xmlns:a16="http://schemas.microsoft.com/office/drawing/2014/main" id="{00000000-0008-0000-2100-000044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46" y="58"/>
                  <a:ext cx="44" cy="31"/>
                </a:xfrm>
                <a:custGeom>
                  <a:avLst/>
                  <a:gdLst>
                    <a:gd name="G0" fmla="+- 0 0 0"/>
                    <a:gd name="G1" fmla="+- 21541 0 0"/>
                    <a:gd name="G2" fmla="+- 21600 0 0"/>
                    <a:gd name="T0" fmla="*/ 1594 w 21296"/>
                    <a:gd name="T1" fmla="*/ 0 h 21541"/>
                    <a:gd name="T2" fmla="*/ 21296 w 21296"/>
                    <a:gd name="T3" fmla="*/ 17927 h 21541"/>
                    <a:gd name="T4" fmla="*/ 0 w 21296"/>
                    <a:gd name="T5" fmla="*/ 21541 h 215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296" h="21541" fill="none" extrusionOk="0">
                      <a:moveTo>
                        <a:pt x="1594" y="-1"/>
                      </a:moveTo>
                      <a:cubicBezTo>
                        <a:pt x="11502" y="733"/>
                        <a:pt x="19633" y="8131"/>
                        <a:pt x="21295" y="17927"/>
                      </a:cubicBezTo>
                    </a:path>
                    <a:path w="21296" h="21541" stroke="0" extrusionOk="0">
                      <a:moveTo>
                        <a:pt x="1594" y="-1"/>
                      </a:moveTo>
                      <a:cubicBezTo>
                        <a:pt x="11502" y="733"/>
                        <a:pt x="19633" y="8131"/>
                        <a:pt x="21295" y="17927"/>
                      </a:cubicBezTo>
                      <a:lnTo>
                        <a:pt x="0" y="21541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1" textlink="">
              <xdr:nvSpPr>
                <xdr:cNvPr id="31813" name="Arc 69">
                  <a:extLst>
                    <a:ext uri="{FF2B5EF4-FFF2-40B4-BE49-F238E27FC236}">
                      <a16:creationId xmlns:a16="http://schemas.microsoft.com/office/drawing/2014/main" id="{00000000-0008-0000-2100-000045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53" y="63"/>
                  <a:ext cx="47" cy="48"/>
                </a:xfrm>
                <a:custGeom>
                  <a:avLst/>
                  <a:gdLst>
                    <a:gd name="G0" fmla="+- 0 0 0"/>
                    <a:gd name="G1" fmla="+- 19985 0 0"/>
                    <a:gd name="G2" fmla="+- 21600 0 0"/>
                    <a:gd name="T0" fmla="*/ 8194 w 21600"/>
                    <a:gd name="T1" fmla="*/ 0 h 30084"/>
                    <a:gd name="T2" fmla="*/ 19094 w 21600"/>
                    <a:gd name="T3" fmla="*/ 30084 h 30084"/>
                    <a:gd name="T4" fmla="*/ 0 w 21600"/>
                    <a:gd name="T5" fmla="*/ 19985 h 3008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600" h="30084" fill="none" extrusionOk="0">
                      <a:moveTo>
                        <a:pt x="8194" y="-1"/>
                      </a:moveTo>
                      <a:cubicBezTo>
                        <a:pt x="16303" y="3324"/>
                        <a:pt x="21600" y="11220"/>
                        <a:pt x="21600" y="19985"/>
                      </a:cubicBezTo>
                      <a:cubicBezTo>
                        <a:pt x="21600" y="23505"/>
                        <a:pt x="20739" y="26972"/>
                        <a:pt x="19093" y="30083"/>
                      </a:cubicBezTo>
                    </a:path>
                    <a:path w="21600" h="30084" stroke="0" extrusionOk="0">
                      <a:moveTo>
                        <a:pt x="8194" y="-1"/>
                      </a:moveTo>
                      <a:cubicBezTo>
                        <a:pt x="16303" y="3324"/>
                        <a:pt x="21600" y="11220"/>
                        <a:pt x="21600" y="19985"/>
                      </a:cubicBezTo>
                      <a:cubicBezTo>
                        <a:pt x="21600" y="23505"/>
                        <a:pt x="20739" y="26972"/>
                        <a:pt x="19093" y="30083"/>
                      </a:cubicBezTo>
                      <a:lnTo>
                        <a:pt x="0" y="19985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1814" name="Group 70">
                <a:extLst>
                  <a:ext uri="{FF2B5EF4-FFF2-40B4-BE49-F238E27FC236}">
                    <a16:creationId xmlns:a16="http://schemas.microsoft.com/office/drawing/2014/main" id="{00000000-0008-0000-2100-000046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94" y="188"/>
                <a:ext cx="56" cy="57"/>
                <a:chOff x="345" y="51"/>
                <a:chExt cx="56" cy="59"/>
              </a:xfrm>
            </xdr:grpSpPr>
            <xdr:sp macro="[0]!Арматура1" textlink="">
              <xdr:nvSpPr>
                <xdr:cNvPr id="31815" name="Arc 71">
                  <a:extLst>
                    <a:ext uri="{FF2B5EF4-FFF2-40B4-BE49-F238E27FC236}">
                      <a16:creationId xmlns:a16="http://schemas.microsoft.com/office/drawing/2014/main" id="{00000000-0008-0000-2100-000047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52" y="44"/>
                  <a:ext cx="42" cy="56"/>
                </a:xfrm>
                <a:custGeom>
                  <a:avLst/>
                  <a:gdLst>
                    <a:gd name="G0" fmla="+- 305 0 0"/>
                    <a:gd name="G1" fmla="+- 21600 0 0"/>
                    <a:gd name="G2" fmla="+- 21600 0 0"/>
                    <a:gd name="T0" fmla="*/ 0 w 21905"/>
                    <a:gd name="T1" fmla="*/ 2 h 38798"/>
                    <a:gd name="T2" fmla="*/ 13373 w 21905"/>
                    <a:gd name="T3" fmla="*/ 38798 h 38798"/>
                    <a:gd name="T4" fmla="*/ 305 w 21905"/>
                    <a:gd name="T5" fmla="*/ 21600 h 3879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905" h="38798" fill="none" extrusionOk="0">
                      <a:moveTo>
                        <a:pt x="0" y="2"/>
                      </a:moveTo>
                      <a:cubicBezTo>
                        <a:pt x="101" y="0"/>
                        <a:pt x="203" y="-1"/>
                        <a:pt x="305" y="0"/>
                      </a:cubicBezTo>
                      <a:cubicBezTo>
                        <a:pt x="12234" y="0"/>
                        <a:pt x="21905" y="9670"/>
                        <a:pt x="21905" y="21600"/>
                      </a:cubicBezTo>
                      <a:cubicBezTo>
                        <a:pt x="21905" y="28351"/>
                        <a:pt x="18748" y="34713"/>
                        <a:pt x="13373" y="38798"/>
                      </a:cubicBezTo>
                    </a:path>
                    <a:path w="21905" h="38798" stroke="0" extrusionOk="0">
                      <a:moveTo>
                        <a:pt x="0" y="2"/>
                      </a:moveTo>
                      <a:cubicBezTo>
                        <a:pt x="101" y="0"/>
                        <a:pt x="203" y="-1"/>
                        <a:pt x="305" y="0"/>
                      </a:cubicBezTo>
                      <a:cubicBezTo>
                        <a:pt x="12234" y="0"/>
                        <a:pt x="21905" y="9670"/>
                        <a:pt x="21905" y="21600"/>
                      </a:cubicBezTo>
                      <a:cubicBezTo>
                        <a:pt x="21905" y="28351"/>
                        <a:pt x="18748" y="34713"/>
                        <a:pt x="13373" y="38798"/>
                      </a:cubicBezTo>
                      <a:lnTo>
                        <a:pt x="305" y="21600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1" textlink="">
              <xdr:nvSpPr>
                <xdr:cNvPr id="31816" name="Arc 72">
                  <a:extLst>
                    <a:ext uri="{FF2B5EF4-FFF2-40B4-BE49-F238E27FC236}">
                      <a16:creationId xmlns:a16="http://schemas.microsoft.com/office/drawing/2014/main" id="{00000000-0008-0000-2100-000048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46" y="58"/>
                  <a:ext cx="44" cy="31"/>
                </a:xfrm>
                <a:custGeom>
                  <a:avLst/>
                  <a:gdLst>
                    <a:gd name="G0" fmla="+- 0 0 0"/>
                    <a:gd name="G1" fmla="+- 21541 0 0"/>
                    <a:gd name="G2" fmla="+- 21600 0 0"/>
                    <a:gd name="T0" fmla="*/ 1594 w 21296"/>
                    <a:gd name="T1" fmla="*/ 0 h 21541"/>
                    <a:gd name="T2" fmla="*/ 21296 w 21296"/>
                    <a:gd name="T3" fmla="*/ 17927 h 21541"/>
                    <a:gd name="T4" fmla="*/ 0 w 21296"/>
                    <a:gd name="T5" fmla="*/ 21541 h 215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296" h="21541" fill="none" extrusionOk="0">
                      <a:moveTo>
                        <a:pt x="1594" y="-1"/>
                      </a:moveTo>
                      <a:cubicBezTo>
                        <a:pt x="11502" y="733"/>
                        <a:pt x="19633" y="8131"/>
                        <a:pt x="21295" y="17927"/>
                      </a:cubicBezTo>
                    </a:path>
                    <a:path w="21296" h="21541" stroke="0" extrusionOk="0">
                      <a:moveTo>
                        <a:pt x="1594" y="-1"/>
                      </a:moveTo>
                      <a:cubicBezTo>
                        <a:pt x="11502" y="733"/>
                        <a:pt x="19633" y="8131"/>
                        <a:pt x="21295" y="17927"/>
                      </a:cubicBezTo>
                      <a:lnTo>
                        <a:pt x="0" y="21541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Арматура1" textlink="">
              <xdr:nvSpPr>
                <xdr:cNvPr id="31817" name="Arc 73">
                  <a:extLst>
                    <a:ext uri="{FF2B5EF4-FFF2-40B4-BE49-F238E27FC236}">
                      <a16:creationId xmlns:a16="http://schemas.microsoft.com/office/drawing/2014/main" id="{00000000-0008-0000-2100-000049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rot="5400000" flipH="1" flipV="1">
                  <a:off x="353" y="63"/>
                  <a:ext cx="47" cy="48"/>
                </a:xfrm>
                <a:custGeom>
                  <a:avLst/>
                  <a:gdLst>
                    <a:gd name="G0" fmla="+- 0 0 0"/>
                    <a:gd name="G1" fmla="+- 19985 0 0"/>
                    <a:gd name="G2" fmla="+- 21600 0 0"/>
                    <a:gd name="T0" fmla="*/ 8194 w 21600"/>
                    <a:gd name="T1" fmla="*/ 0 h 30084"/>
                    <a:gd name="T2" fmla="*/ 19094 w 21600"/>
                    <a:gd name="T3" fmla="*/ 30084 h 30084"/>
                    <a:gd name="T4" fmla="*/ 0 w 21600"/>
                    <a:gd name="T5" fmla="*/ 19985 h 3008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</a:cxnLst>
                  <a:rect l="0" t="0" r="r" b="b"/>
                  <a:pathLst>
                    <a:path w="21600" h="30084" fill="none" extrusionOk="0">
                      <a:moveTo>
                        <a:pt x="8194" y="-1"/>
                      </a:moveTo>
                      <a:cubicBezTo>
                        <a:pt x="16303" y="3324"/>
                        <a:pt x="21600" y="11220"/>
                        <a:pt x="21600" y="19985"/>
                      </a:cubicBezTo>
                      <a:cubicBezTo>
                        <a:pt x="21600" y="23505"/>
                        <a:pt x="20739" y="26972"/>
                        <a:pt x="19093" y="30083"/>
                      </a:cubicBezTo>
                    </a:path>
                    <a:path w="21600" h="30084" stroke="0" extrusionOk="0">
                      <a:moveTo>
                        <a:pt x="8194" y="-1"/>
                      </a:moveTo>
                      <a:cubicBezTo>
                        <a:pt x="16303" y="3324"/>
                        <a:pt x="21600" y="11220"/>
                        <a:pt x="21600" y="19985"/>
                      </a:cubicBezTo>
                      <a:cubicBezTo>
                        <a:pt x="21600" y="23505"/>
                        <a:pt x="20739" y="26972"/>
                        <a:pt x="19093" y="30083"/>
                      </a:cubicBezTo>
                      <a:lnTo>
                        <a:pt x="0" y="19985"/>
                      </a:lnTo>
                      <a:close/>
                    </a:path>
                  </a:pathLst>
                </a:custGeom>
                <a:solidFill>
                  <a:srgbClr val="FFFFFF"/>
                </a:solidFill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31818" name="Group 74">
                <a:extLst>
                  <a:ext uri="{FF2B5EF4-FFF2-40B4-BE49-F238E27FC236}">
                    <a16:creationId xmlns:a16="http://schemas.microsoft.com/office/drawing/2014/main" id="{00000000-0008-0000-2100-00004A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40" y="188"/>
                <a:ext cx="65" cy="101"/>
                <a:chOff x="94" y="188"/>
                <a:chExt cx="65" cy="103"/>
              </a:xfrm>
            </xdr:grpSpPr>
            <xdr:grpSp>
              <xdr:nvGrpSpPr>
                <xdr:cNvPr id="31819" name="Group 75">
                  <a:extLst>
                    <a:ext uri="{FF2B5EF4-FFF2-40B4-BE49-F238E27FC236}">
                      <a16:creationId xmlns:a16="http://schemas.microsoft.com/office/drawing/2014/main" id="{00000000-0008-0000-2100-00004B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20" name="Arc 76">
                    <a:extLst>
                      <a:ext uri="{FF2B5EF4-FFF2-40B4-BE49-F238E27FC236}">
                        <a16:creationId xmlns:a16="http://schemas.microsoft.com/office/drawing/2014/main" id="{00000000-0008-0000-2100-00004C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21" name="Arc 77">
                    <a:extLst>
                      <a:ext uri="{FF2B5EF4-FFF2-40B4-BE49-F238E27FC236}">
                        <a16:creationId xmlns:a16="http://schemas.microsoft.com/office/drawing/2014/main" id="{00000000-0008-0000-2100-00004D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22" name="Arc 78">
                    <a:extLst>
                      <a:ext uri="{FF2B5EF4-FFF2-40B4-BE49-F238E27FC236}">
                        <a16:creationId xmlns:a16="http://schemas.microsoft.com/office/drawing/2014/main" id="{00000000-0008-0000-2100-00004E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823" name="Group 79">
                  <a:extLst>
                    <a:ext uri="{FF2B5EF4-FFF2-40B4-BE49-F238E27FC236}">
                      <a16:creationId xmlns:a16="http://schemas.microsoft.com/office/drawing/2014/main" id="{00000000-0008-0000-2100-00004F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24" name="Arc 80">
                    <a:extLst>
                      <a:ext uri="{FF2B5EF4-FFF2-40B4-BE49-F238E27FC236}">
                        <a16:creationId xmlns:a16="http://schemas.microsoft.com/office/drawing/2014/main" id="{00000000-0008-0000-2100-000050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25" name="Arc 81">
                    <a:extLst>
                      <a:ext uri="{FF2B5EF4-FFF2-40B4-BE49-F238E27FC236}">
                        <a16:creationId xmlns:a16="http://schemas.microsoft.com/office/drawing/2014/main" id="{00000000-0008-0000-2100-000051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26" name="Arc 82">
                    <a:extLst>
                      <a:ext uri="{FF2B5EF4-FFF2-40B4-BE49-F238E27FC236}">
                        <a16:creationId xmlns:a16="http://schemas.microsoft.com/office/drawing/2014/main" id="{00000000-0008-0000-2100-000052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1827" name="Group 83">
                <a:extLst>
                  <a:ext uri="{FF2B5EF4-FFF2-40B4-BE49-F238E27FC236}">
                    <a16:creationId xmlns:a16="http://schemas.microsoft.com/office/drawing/2014/main" id="{00000000-0008-0000-2100-000053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87" y="188"/>
                <a:ext cx="65" cy="101"/>
                <a:chOff x="94" y="188"/>
                <a:chExt cx="65" cy="103"/>
              </a:xfrm>
            </xdr:grpSpPr>
            <xdr:grpSp>
              <xdr:nvGrpSpPr>
                <xdr:cNvPr id="31828" name="Group 84">
                  <a:extLst>
                    <a:ext uri="{FF2B5EF4-FFF2-40B4-BE49-F238E27FC236}">
                      <a16:creationId xmlns:a16="http://schemas.microsoft.com/office/drawing/2014/main" id="{00000000-0008-0000-2100-000054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29" name="Arc 85">
                    <a:extLst>
                      <a:ext uri="{FF2B5EF4-FFF2-40B4-BE49-F238E27FC236}">
                        <a16:creationId xmlns:a16="http://schemas.microsoft.com/office/drawing/2014/main" id="{00000000-0008-0000-2100-000055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30" name="Arc 86">
                    <a:extLst>
                      <a:ext uri="{FF2B5EF4-FFF2-40B4-BE49-F238E27FC236}">
                        <a16:creationId xmlns:a16="http://schemas.microsoft.com/office/drawing/2014/main" id="{00000000-0008-0000-2100-000056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31" name="Arc 87">
                    <a:extLst>
                      <a:ext uri="{FF2B5EF4-FFF2-40B4-BE49-F238E27FC236}">
                        <a16:creationId xmlns:a16="http://schemas.microsoft.com/office/drawing/2014/main" id="{00000000-0008-0000-2100-000057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832" name="Group 88">
                  <a:extLst>
                    <a:ext uri="{FF2B5EF4-FFF2-40B4-BE49-F238E27FC236}">
                      <a16:creationId xmlns:a16="http://schemas.microsoft.com/office/drawing/2014/main" id="{00000000-0008-0000-2100-000058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33" name="Arc 89">
                    <a:extLst>
                      <a:ext uri="{FF2B5EF4-FFF2-40B4-BE49-F238E27FC236}">
                        <a16:creationId xmlns:a16="http://schemas.microsoft.com/office/drawing/2014/main" id="{00000000-0008-0000-2100-00005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34" name="Arc 90">
                    <a:extLst>
                      <a:ext uri="{FF2B5EF4-FFF2-40B4-BE49-F238E27FC236}">
                        <a16:creationId xmlns:a16="http://schemas.microsoft.com/office/drawing/2014/main" id="{00000000-0008-0000-2100-00005A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35" name="Arc 91">
                    <a:extLst>
                      <a:ext uri="{FF2B5EF4-FFF2-40B4-BE49-F238E27FC236}">
                        <a16:creationId xmlns:a16="http://schemas.microsoft.com/office/drawing/2014/main" id="{00000000-0008-0000-2100-00005B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1836" name="Group 92">
                <a:extLst>
                  <a:ext uri="{FF2B5EF4-FFF2-40B4-BE49-F238E27FC236}">
                    <a16:creationId xmlns:a16="http://schemas.microsoft.com/office/drawing/2014/main" id="{00000000-0008-0000-2100-00005C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234" y="188"/>
                <a:ext cx="65" cy="101"/>
                <a:chOff x="94" y="188"/>
                <a:chExt cx="65" cy="103"/>
              </a:xfrm>
            </xdr:grpSpPr>
            <xdr:grpSp>
              <xdr:nvGrpSpPr>
                <xdr:cNvPr id="31837" name="Group 93">
                  <a:extLst>
                    <a:ext uri="{FF2B5EF4-FFF2-40B4-BE49-F238E27FC236}">
                      <a16:creationId xmlns:a16="http://schemas.microsoft.com/office/drawing/2014/main" id="{00000000-0008-0000-2100-00005D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38" name="Arc 94">
                    <a:extLst>
                      <a:ext uri="{FF2B5EF4-FFF2-40B4-BE49-F238E27FC236}">
                        <a16:creationId xmlns:a16="http://schemas.microsoft.com/office/drawing/2014/main" id="{00000000-0008-0000-2100-00005E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39" name="Arc 95">
                    <a:extLst>
                      <a:ext uri="{FF2B5EF4-FFF2-40B4-BE49-F238E27FC236}">
                        <a16:creationId xmlns:a16="http://schemas.microsoft.com/office/drawing/2014/main" id="{00000000-0008-0000-2100-00005F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40" name="Arc 96">
                    <a:extLst>
                      <a:ext uri="{FF2B5EF4-FFF2-40B4-BE49-F238E27FC236}">
                        <a16:creationId xmlns:a16="http://schemas.microsoft.com/office/drawing/2014/main" id="{00000000-0008-0000-2100-000060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841" name="Group 97">
                  <a:extLst>
                    <a:ext uri="{FF2B5EF4-FFF2-40B4-BE49-F238E27FC236}">
                      <a16:creationId xmlns:a16="http://schemas.microsoft.com/office/drawing/2014/main" id="{00000000-0008-0000-2100-000061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42" name="Arc 98">
                    <a:extLst>
                      <a:ext uri="{FF2B5EF4-FFF2-40B4-BE49-F238E27FC236}">
                        <a16:creationId xmlns:a16="http://schemas.microsoft.com/office/drawing/2014/main" id="{00000000-0008-0000-2100-000062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43" name="Arc 99">
                    <a:extLst>
                      <a:ext uri="{FF2B5EF4-FFF2-40B4-BE49-F238E27FC236}">
                        <a16:creationId xmlns:a16="http://schemas.microsoft.com/office/drawing/2014/main" id="{00000000-0008-0000-2100-000063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44" name="Arc 100">
                    <a:extLst>
                      <a:ext uri="{FF2B5EF4-FFF2-40B4-BE49-F238E27FC236}">
                        <a16:creationId xmlns:a16="http://schemas.microsoft.com/office/drawing/2014/main" id="{00000000-0008-0000-2100-000064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1845" name="Group 101">
                <a:extLst>
                  <a:ext uri="{FF2B5EF4-FFF2-40B4-BE49-F238E27FC236}">
                    <a16:creationId xmlns:a16="http://schemas.microsoft.com/office/drawing/2014/main" id="{00000000-0008-0000-2100-000065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281" y="188"/>
                <a:ext cx="65" cy="101"/>
                <a:chOff x="94" y="188"/>
                <a:chExt cx="65" cy="103"/>
              </a:xfrm>
            </xdr:grpSpPr>
            <xdr:grpSp>
              <xdr:nvGrpSpPr>
                <xdr:cNvPr id="31846" name="Group 102">
                  <a:extLst>
                    <a:ext uri="{FF2B5EF4-FFF2-40B4-BE49-F238E27FC236}">
                      <a16:creationId xmlns:a16="http://schemas.microsoft.com/office/drawing/2014/main" id="{00000000-0008-0000-2100-000066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47" name="Arc 103">
                    <a:extLst>
                      <a:ext uri="{FF2B5EF4-FFF2-40B4-BE49-F238E27FC236}">
                        <a16:creationId xmlns:a16="http://schemas.microsoft.com/office/drawing/2014/main" id="{00000000-0008-0000-2100-000067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48" name="Arc 104">
                    <a:extLst>
                      <a:ext uri="{FF2B5EF4-FFF2-40B4-BE49-F238E27FC236}">
                        <a16:creationId xmlns:a16="http://schemas.microsoft.com/office/drawing/2014/main" id="{00000000-0008-0000-2100-000068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49" name="Arc 105">
                    <a:extLst>
                      <a:ext uri="{FF2B5EF4-FFF2-40B4-BE49-F238E27FC236}">
                        <a16:creationId xmlns:a16="http://schemas.microsoft.com/office/drawing/2014/main" id="{00000000-0008-0000-2100-00006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850" name="Group 106">
                  <a:extLst>
                    <a:ext uri="{FF2B5EF4-FFF2-40B4-BE49-F238E27FC236}">
                      <a16:creationId xmlns:a16="http://schemas.microsoft.com/office/drawing/2014/main" id="{00000000-0008-0000-2100-00006A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51" name="Arc 107">
                    <a:extLst>
                      <a:ext uri="{FF2B5EF4-FFF2-40B4-BE49-F238E27FC236}">
                        <a16:creationId xmlns:a16="http://schemas.microsoft.com/office/drawing/2014/main" id="{00000000-0008-0000-2100-00006B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52" name="Arc 108">
                    <a:extLst>
                      <a:ext uri="{FF2B5EF4-FFF2-40B4-BE49-F238E27FC236}">
                        <a16:creationId xmlns:a16="http://schemas.microsoft.com/office/drawing/2014/main" id="{00000000-0008-0000-2100-00006C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53" name="Arc 109">
                    <a:extLst>
                      <a:ext uri="{FF2B5EF4-FFF2-40B4-BE49-F238E27FC236}">
                        <a16:creationId xmlns:a16="http://schemas.microsoft.com/office/drawing/2014/main" id="{00000000-0008-0000-2100-00006D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grpSp>
            <xdr:nvGrpSpPr>
              <xdr:cNvPr id="31854" name="Group 110">
                <a:extLst>
                  <a:ext uri="{FF2B5EF4-FFF2-40B4-BE49-F238E27FC236}">
                    <a16:creationId xmlns:a16="http://schemas.microsoft.com/office/drawing/2014/main" id="{00000000-0008-0000-2100-00006E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28" y="188"/>
                <a:ext cx="65" cy="101"/>
                <a:chOff x="94" y="188"/>
                <a:chExt cx="65" cy="103"/>
              </a:xfrm>
            </xdr:grpSpPr>
            <xdr:grpSp>
              <xdr:nvGrpSpPr>
                <xdr:cNvPr id="31855" name="Group 111">
                  <a:extLst>
                    <a:ext uri="{FF2B5EF4-FFF2-40B4-BE49-F238E27FC236}">
                      <a16:creationId xmlns:a16="http://schemas.microsoft.com/office/drawing/2014/main" id="{00000000-0008-0000-2100-00006F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V="1">
                  <a:off x="103" y="232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56" name="Arc 112">
                    <a:extLst>
                      <a:ext uri="{FF2B5EF4-FFF2-40B4-BE49-F238E27FC236}">
                        <a16:creationId xmlns:a16="http://schemas.microsoft.com/office/drawing/2014/main" id="{00000000-0008-0000-2100-000070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57" name="Arc 113">
                    <a:extLst>
                      <a:ext uri="{FF2B5EF4-FFF2-40B4-BE49-F238E27FC236}">
                        <a16:creationId xmlns:a16="http://schemas.microsoft.com/office/drawing/2014/main" id="{00000000-0008-0000-2100-000071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58" name="Arc 114">
                    <a:extLst>
                      <a:ext uri="{FF2B5EF4-FFF2-40B4-BE49-F238E27FC236}">
                        <a16:creationId xmlns:a16="http://schemas.microsoft.com/office/drawing/2014/main" id="{00000000-0008-0000-2100-000072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859" name="Group 115">
                  <a:extLst>
                    <a:ext uri="{FF2B5EF4-FFF2-40B4-BE49-F238E27FC236}">
                      <a16:creationId xmlns:a16="http://schemas.microsoft.com/office/drawing/2014/main" id="{00000000-0008-0000-2100-000073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94" y="188"/>
                  <a:ext cx="56" cy="59"/>
                  <a:chOff x="345" y="51"/>
                  <a:chExt cx="56" cy="59"/>
                </a:xfrm>
              </xdr:grpSpPr>
              <xdr:sp macro="[0]!Арматура1" textlink="">
                <xdr:nvSpPr>
                  <xdr:cNvPr id="31860" name="Arc 116">
                    <a:extLst>
                      <a:ext uri="{FF2B5EF4-FFF2-40B4-BE49-F238E27FC236}">
                        <a16:creationId xmlns:a16="http://schemas.microsoft.com/office/drawing/2014/main" id="{00000000-0008-0000-2100-000074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2" y="44"/>
                    <a:ext cx="42" cy="56"/>
                  </a:xfrm>
                  <a:custGeom>
                    <a:avLst/>
                    <a:gdLst>
                      <a:gd name="G0" fmla="+- 305 0 0"/>
                      <a:gd name="G1" fmla="+- 21600 0 0"/>
                      <a:gd name="G2" fmla="+- 21600 0 0"/>
                      <a:gd name="T0" fmla="*/ 0 w 21905"/>
                      <a:gd name="T1" fmla="*/ 2 h 38798"/>
                      <a:gd name="T2" fmla="*/ 13373 w 21905"/>
                      <a:gd name="T3" fmla="*/ 38798 h 38798"/>
                      <a:gd name="T4" fmla="*/ 305 w 21905"/>
                      <a:gd name="T5" fmla="*/ 21600 h 38798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905" h="38798" fill="none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</a:path>
                      <a:path w="21905" h="38798" stroke="0" extrusionOk="0">
                        <a:moveTo>
                          <a:pt x="0" y="2"/>
                        </a:moveTo>
                        <a:cubicBezTo>
                          <a:pt x="101" y="0"/>
                          <a:pt x="203" y="-1"/>
                          <a:pt x="305" y="0"/>
                        </a:cubicBezTo>
                        <a:cubicBezTo>
                          <a:pt x="12234" y="0"/>
                          <a:pt x="21905" y="9670"/>
                          <a:pt x="21905" y="21600"/>
                        </a:cubicBezTo>
                        <a:cubicBezTo>
                          <a:pt x="21905" y="28351"/>
                          <a:pt x="18748" y="34713"/>
                          <a:pt x="13373" y="38798"/>
                        </a:cubicBezTo>
                        <a:lnTo>
                          <a:pt x="305" y="21600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61" name="Arc 117">
                    <a:extLst>
                      <a:ext uri="{FF2B5EF4-FFF2-40B4-BE49-F238E27FC236}">
                        <a16:creationId xmlns:a16="http://schemas.microsoft.com/office/drawing/2014/main" id="{00000000-0008-0000-2100-000075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46" y="58"/>
                    <a:ext cx="44" cy="31"/>
                  </a:xfrm>
                  <a:custGeom>
                    <a:avLst/>
                    <a:gdLst>
                      <a:gd name="G0" fmla="+- 0 0 0"/>
                      <a:gd name="G1" fmla="+- 21541 0 0"/>
                      <a:gd name="G2" fmla="+- 21600 0 0"/>
                      <a:gd name="T0" fmla="*/ 1594 w 21296"/>
                      <a:gd name="T1" fmla="*/ 0 h 21541"/>
                      <a:gd name="T2" fmla="*/ 21296 w 21296"/>
                      <a:gd name="T3" fmla="*/ 17927 h 21541"/>
                      <a:gd name="T4" fmla="*/ 0 w 21296"/>
                      <a:gd name="T5" fmla="*/ 21541 h 21541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296" h="21541" fill="none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</a:path>
                      <a:path w="21296" h="21541" stroke="0" extrusionOk="0">
                        <a:moveTo>
                          <a:pt x="1594" y="-1"/>
                        </a:moveTo>
                        <a:cubicBezTo>
                          <a:pt x="11502" y="733"/>
                          <a:pt x="19633" y="8131"/>
                          <a:pt x="21295" y="17927"/>
                        </a:cubicBezTo>
                        <a:lnTo>
                          <a:pt x="0" y="21541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Арматура1" textlink="">
                <xdr:nvSpPr>
                  <xdr:cNvPr id="31862" name="Arc 118">
                    <a:extLst>
                      <a:ext uri="{FF2B5EF4-FFF2-40B4-BE49-F238E27FC236}">
                        <a16:creationId xmlns:a16="http://schemas.microsoft.com/office/drawing/2014/main" id="{00000000-0008-0000-2100-000076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 rot="5400000" flipH="1" flipV="1">
                    <a:off x="353" y="63"/>
                    <a:ext cx="47" cy="48"/>
                  </a:xfrm>
                  <a:custGeom>
                    <a:avLst/>
                    <a:gdLst>
                      <a:gd name="G0" fmla="+- 0 0 0"/>
                      <a:gd name="G1" fmla="+- 19985 0 0"/>
                      <a:gd name="G2" fmla="+- 21600 0 0"/>
                      <a:gd name="T0" fmla="*/ 8194 w 21600"/>
                      <a:gd name="T1" fmla="*/ 0 h 30084"/>
                      <a:gd name="T2" fmla="*/ 19094 w 21600"/>
                      <a:gd name="T3" fmla="*/ 30084 h 30084"/>
                      <a:gd name="T4" fmla="*/ 0 w 21600"/>
                      <a:gd name="T5" fmla="*/ 19985 h 30084"/>
                    </a:gdLst>
                    <a:ahLst/>
                    <a:cxnLst>
                      <a:cxn ang="0">
                        <a:pos x="T0" y="T1"/>
                      </a:cxn>
                      <a:cxn ang="0">
                        <a:pos x="T2" y="T3"/>
                      </a:cxn>
                      <a:cxn ang="0">
                        <a:pos x="T4" y="T5"/>
                      </a:cxn>
                    </a:cxnLst>
                    <a:rect l="0" t="0" r="r" b="b"/>
                    <a:pathLst>
                      <a:path w="21600" h="30084" fill="none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</a:path>
                      <a:path w="21600" h="30084" stroke="0" extrusionOk="0">
                        <a:moveTo>
                          <a:pt x="8194" y="-1"/>
                        </a:moveTo>
                        <a:cubicBezTo>
                          <a:pt x="16303" y="3324"/>
                          <a:pt x="21600" y="11220"/>
                          <a:pt x="21600" y="19985"/>
                        </a:cubicBezTo>
                        <a:cubicBezTo>
                          <a:pt x="21600" y="23505"/>
                          <a:pt x="20739" y="26972"/>
                          <a:pt x="19093" y="30083"/>
                        </a:cubicBezTo>
                        <a:lnTo>
                          <a:pt x="0" y="19985"/>
                        </a:lnTo>
                        <a:close/>
                      </a:path>
                    </a:pathLst>
                  </a:custGeom>
                  <a:solidFill>
                    <a:srgbClr val="FFFFFF"/>
                  </a:solidFill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  <xdr:sp macro="[0]!Арматура1" textlink="">
            <xdr:nvSpPr>
              <xdr:cNvPr id="31863" name="Freeform 119">
                <a:extLst>
                  <a:ext uri="{FF2B5EF4-FFF2-40B4-BE49-F238E27FC236}">
                    <a16:creationId xmlns:a16="http://schemas.microsoft.com/office/drawing/2014/main" id="{00000000-0008-0000-2100-0000777C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" y="229"/>
                <a:ext cx="301" cy="21"/>
              </a:xfrm>
              <a:custGeom>
                <a:avLst/>
                <a:gdLst/>
                <a:ahLst/>
                <a:cxnLst>
                  <a:cxn ang="0">
                    <a:pos x="296" y="19"/>
                  </a:cxn>
                  <a:cxn ang="0">
                    <a:pos x="12" y="19"/>
                  </a:cxn>
                  <a:cxn ang="0">
                    <a:pos x="12" y="12"/>
                  </a:cxn>
                  <a:cxn ang="0">
                    <a:pos x="8" y="0"/>
                  </a:cxn>
                  <a:cxn ang="0">
                    <a:pos x="295" y="0"/>
                  </a:cxn>
                  <a:cxn ang="0">
                    <a:pos x="297" y="10"/>
                  </a:cxn>
                  <a:cxn ang="0">
                    <a:pos x="296" y="19"/>
                  </a:cxn>
                </a:cxnLst>
                <a:rect l="0" t="0" r="r" b="b"/>
                <a:pathLst>
                  <a:path w="301" h="21">
                    <a:moveTo>
                      <a:pt x="296" y="19"/>
                    </a:moveTo>
                    <a:cubicBezTo>
                      <a:pt x="250" y="19"/>
                      <a:pt x="60" y="19"/>
                      <a:pt x="12" y="19"/>
                    </a:cubicBezTo>
                    <a:cubicBezTo>
                      <a:pt x="9" y="12"/>
                      <a:pt x="0" y="21"/>
                      <a:pt x="12" y="12"/>
                    </a:cubicBezTo>
                    <a:cubicBezTo>
                      <a:pt x="3" y="9"/>
                      <a:pt x="9" y="9"/>
                      <a:pt x="8" y="0"/>
                    </a:cubicBezTo>
                    <a:cubicBezTo>
                      <a:pt x="148" y="0"/>
                      <a:pt x="247" y="0"/>
                      <a:pt x="295" y="0"/>
                    </a:cubicBezTo>
                    <a:cubicBezTo>
                      <a:pt x="301" y="5"/>
                      <a:pt x="298" y="6"/>
                      <a:pt x="297" y="10"/>
                    </a:cubicBezTo>
                    <a:cubicBezTo>
                      <a:pt x="295" y="13"/>
                      <a:pt x="296" y="13"/>
                      <a:pt x="296" y="19"/>
                    </a:cubicBezTo>
                    <a:close/>
                  </a:path>
                </a:pathLst>
              </a:custGeom>
              <a:solidFill>
                <a:srgbClr val="FFFFFF"/>
              </a:solidFill>
              <a:ln w="9525" cap="flat" cmpd="sng">
                <a:solidFill>
                  <a:srgbClr val="000000"/>
                </a:solidFill>
                <a:prstDash val="solid"/>
                <a:round/>
                <a:headEnd/>
                <a:tailEnd/>
              </a:ln>
            </xdr:spPr>
          </xdr:sp>
        </xdr:grpSp>
        <xdr:sp macro="[0]!Арматура1" textlink="">
          <xdr:nvSpPr>
            <xdr:cNvPr id="31864" name="Line 120">
              <a:extLst>
                <a:ext uri="{FF2B5EF4-FFF2-40B4-BE49-F238E27FC236}">
                  <a16:creationId xmlns:a16="http://schemas.microsoft.com/office/drawing/2014/main" id="{00000000-0008-0000-2100-0000787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6" y="328"/>
              <a:ext cx="317" cy="0"/>
            </a:xfrm>
            <a:prstGeom prst="line">
              <a:avLst/>
            </a:prstGeom>
            <a:noFill/>
            <a:ln w="9525">
              <a:solidFill>
                <a:srgbClr val="FF0000"/>
              </a:solidFill>
              <a:prstDash val="lgDashDot"/>
              <a:round/>
              <a:headEnd/>
              <a:tailEnd/>
            </a:ln>
          </xdr:spPr>
        </xdr:sp>
      </xdr:grpSp>
      <xdr:sp macro="[0]!Арматура1" textlink="">
        <xdr:nvSpPr>
          <xdr:cNvPr id="31865" name="Oval 121">
            <a:extLst>
              <a:ext uri="{FF2B5EF4-FFF2-40B4-BE49-F238E27FC236}">
                <a16:creationId xmlns:a16="http://schemas.microsoft.com/office/drawing/2014/main" id="{00000000-0008-0000-2100-0000797C0000}"/>
              </a:ext>
            </a:extLst>
          </xdr:cNvPr>
          <xdr:cNvSpPr>
            <a:spLocks noChangeArrowheads="1"/>
          </xdr:cNvSpPr>
        </xdr:nvSpPr>
        <xdr:spPr bwMode="auto">
          <a:xfrm>
            <a:off x="923" y="24"/>
            <a:ext cx="31" cy="31"/>
          </a:xfrm>
          <a:prstGeom prst="ellipse">
            <a:avLst/>
          </a:prstGeom>
          <a:noFill/>
          <a:ln w="15875">
            <a:solidFill>
              <a:srgbClr val="000000"/>
            </a:solidFill>
            <a:round/>
            <a:headEnd/>
            <a:tailEnd/>
          </a:ln>
        </xdr:spPr>
      </xdr:sp>
      <xdr:sp macro="[0]!Арматура1" textlink="">
        <xdr:nvSpPr>
          <xdr:cNvPr id="31866" name="Text Box 122">
            <a:extLst>
              <a:ext uri="{FF2B5EF4-FFF2-40B4-BE49-F238E27FC236}">
                <a16:creationId xmlns:a16="http://schemas.microsoft.com/office/drawing/2014/main" id="{00000000-0008-0000-2100-00007A7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25" y="28"/>
            <a:ext cx="32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ru-RU" sz="1200" b="1" i="1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1б</a:t>
            </a:r>
          </a:p>
        </xdr:txBody>
      </xdr:sp>
      <xdr:sp macro="[0]!Арматура1" textlink="">
        <xdr:nvSpPr>
          <xdr:cNvPr id="31867" name="Text Box 123">
            <a:extLst>
              <a:ext uri="{FF2B5EF4-FFF2-40B4-BE49-F238E27FC236}">
                <a16:creationId xmlns:a16="http://schemas.microsoft.com/office/drawing/2014/main" id="{00000000-0008-0000-2100-00007B7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59" y="21"/>
            <a:ext cx="89" cy="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1" i="0" u="none" strike="noStrike" baseline="0">
                <a:solidFill>
                  <a:srgbClr val="000000"/>
                </a:solidFill>
                <a:latin typeface="Times New Roman Cyr"/>
                <a:cs typeface="Times New Roman Cyr"/>
              </a:rPr>
              <a:t>A-III; A-IV;</a:t>
            </a:r>
          </a:p>
          <a:p>
            <a:pPr algn="l" rtl="0">
              <a:defRPr sz="1000"/>
            </a:pPr>
            <a:r>
              <a:rPr lang="en-US" sz="1100" b="1" i="0" u="none" strike="noStrike" baseline="0">
                <a:solidFill>
                  <a:srgbClr val="000000"/>
                </a:solidFill>
                <a:latin typeface="Times New Roman Cyr"/>
                <a:cs typeface="Times New Roman Cyr"/>
              </a:rPr>
              <a:t>A-V;   A-VI.</a:t>
            </a:r>
          </a:p>
        </xdr:txBody>
      </xdr:sp>
    </xdr:grpSp>
    <xdr:clientData fPrintsWithSheet="0"/>
  </xdr:twoCellAnchor>
  <xdr:twoCellAnchor editAs="oneCell">
    <xdr:from>
      <xdr:col>0</xdr:col>
      <xdr:colOff>104775</xdr:colOff>
      <xdr:row>0</xdr:row>
      <xdr:rowOff>66675</xdr:rowOff>
    </xdr:from>
    <xdr:to>
      <xdr:col>2</xdr:col>
      <xdr:colOff>171450</xdr:colOff>
      <xdr:row>3</xdr:row>
      <xdr:rowOff>114300</xdr:rowOff>
    </xdr:to>
    <xdr:grpSp>
      <xdr:nvGrpSpPr>
        <xdr:cNvPr id="31868" name="Group 124">
          <a:extLst>
            <a:ext uri="{FF2B5EF4-FFF2-40B4-BE49-F238E27FC236}">
              <a16:creationId xmlns:a16="http://schemas.microsoft.com/office/drawing/2014/main" id="{00000000-0008-0000-2100-00007C7C0000}"/>
            </a:ext>
          </a:extLst>
        </xdr:cNvPr>
        <xdr:cNvGrpSpPr>
          <a:grpSpLocks/>
        </xdr:cNvGrpSpPr>
      </xdr:nvGrpSpPr>
      <xdr:grpSpPr bwMode="auto">
        <a:xfrm>
          <a:off x="104775" y="66675"/>
          <a:ext cx="1000125" cy="676275"/>
          <a:chOff x="566" y="17"/>
          <a:chExt cx="105" cy="71"/>
        </a:xfrm>
      </xdr:grpSpPr>
      <xdr:sp macro="[0]!Макрос2а" textlink="">
        <xdr:nvSpPr>
          <xdr:cNvPr id="31869" name="Rectangle 125">
            <a:extLst>
              <a:ext uri="{FF2B5EF4-FFF2-40B4-BE49-F238E27FC236}">
                <a16:creationId xmlns:a16="http://schemas.microsoft.com/office/drawing/2014/main" id="{00000000-0008-0000-2100-00007D7C0000}"/>
              </a:ext>
            </a:extLst>
          </xdr:cNvPr>
          <xdr:cNvSpPr>
            <a:spLocks noChangeArrowheads="1"/>
          </xdr:cNvSpPr>
        </xdr:nvSpPr>
        <xdr:spPr bwMode="auto">
          <a:xfrm>
            <a:off x="566" y="17"/>
            <a:ext cx="105" cy="7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870" name="Group 126">
            <a:extLst>
              <a:ext uri="{FF2B5EF4-FFF2-40B4-BE49-F238E27FC236}">
                <a16:creationId xmlns:a16="http://schemas.microsoft.com/office/drawing/2014/main" id="{00000000-0008-0000-2100-00007E7C0000}"/>
              </a:ext>
            </a:extLst>
          </xdr:cNvPr>
          <xdr:cNvGrpSpPr>
            <a:grpSpLocks/>
          </xdr:cNvGrpSpPr>
        </xdr:nvGrpSpPr>
        <xdr:grpSpPr bwMode="auto">
          <a:xfrm>
            <a:off x="574" y="20"/>
            <a:ext cx="92" cy="63"/>
            <a:chOff x="574" y="20"/>
            <a:chExt cx="92" cy="63"/>
          </a:xfrm>
        </xdr:grpSpPr>
        <xdr:grpSp>
          <xdr:nvGrpSpPr>
            <xdr:cNvPr id="31871" name="Group 127">
              <a:extLst>
                <a:ext uri="{FF2B5EF4-FFF2-40B4-BE49-F238E27FC236}">
                  <a16:creationId xmlns:a16="http://schemas.microsoft.com/office/drawing/2014/main" id="{00000000-0008-0000-2100-00007F7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74" y="57"/>
              <a:ext cx="92" cy="26"/>
              <a:chOff x="1070" y="82"/>
              <a:chExt cx="379" cy="106"/>
            </a:xfrm>
          </xdr:grpSpPr>
          <xdr:grpSp>
            <xdr:nvGrpSpPr>
              <xdr:cNvPr id="31872" name="Group 128">
                <a:extLst>
                  <a:ext uri="{FF2B5EF4-FFF2-40B4-BE49-F238E27FC236}">
                    <a16:creationId xmlns:a16="http://schemas.microsoft.com/office/drawing/2014/main" id="{00000000-0008-0000-2100-000080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90" y="82"/>
                <a:ext cx="338" cy="106"/>
                <a:chOff x="689" y="91"/>
                <a:chExt cx="338" cy="106"/>
              </a:xfrm>
            </xdr:grpSpPr>
            <xdr:sp macro="[0]!Макрос2а" textlink="">
              <xdr:nvSpPr>
                <xdr:cNvPr id="31873" name="Freeform 129">
                  <a:extLst>
                    <a:ext uri="{FF2B5EF4-FFF2-40B4-BE49-F238E27FC236}">
                      <a16:creationId xmlns:a16="http://schemas.microsoft.com/office/drawing/2014/main" id="{00000000-0008-0000-2100-000081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93"/>
                  <a:ext cx="101" cy="27"/>
                </a:xfrm>
                <a:custGeom>
                  <a:avLst/>
                  <a:gdLst/>
                  <a:ahLst/>
                  <a:cxnLst>
                    <a:cxn ang="0">
                      <a:pos x="0" y="27"/>
                    </a:cxn>
                    <a:cxn ang="0">
                      <a:pos x="42" y="1"/>
                    </a:cxn>
                    <a:cxn ang="0">
                      <a:pos x="78" y="21"/>
                    </a:cxn>
                    <a:cxn ang="0">
                      <a:pos x="101" y="11"/>
                    </a:cxn>
                  </a:cxnLst>
                  <a:rect l="0" t="0" r="r" b="b"/>
                  <a:pathLst>
                    <a:path w="101" h="27">
                      <a:moveTo>
                        <a:pt x="0" y="27"/>
                      </a:moveTo>
                      <a:cubicBezTo>
                        <a:pt x="10" y="20"/>
                        <a:pt x="29" y="2"/>
                        <a:pt x="42" y="1"/>
                      </a:cubicBezTo>
                      <a:cubicBezTo>
                        <a:pt x="55" y="0"/>
                        <a:pt x="68" y="19"/>
                        <a:pt x="78" y="21"/>
                      </a:cubicBezTo>
                      <a:cubicBezTo>
                        <a:pt x="88" y="23"/>
                        <a:pt x="97" y="13"/>
                        <a:pt x="101" y="11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874" name="Freeform 130">
                  <a:extLst>
                    <a:ext uri="{FF2B5EF4-FFF2-40B4-BE49-F238E27FC236}">
                      <a16:creationId xmlns:a16="http://schemas.microsoft.com/office/drawing/2014/main" id="{00000000-0008-0000-2100-000082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0" y="92"/>
                  <a:ext cx="47" cy="19"/>
                </a:xfrm>
                <a:custGeom>
                  <a:avLst/>
                  <a:gdLst/>
                  <a:ahLst/>
                  <a:cxnLst>
                    <a:cxn ang="0">
                      <a:pos x="0" y="19"/>
                    </a:cxn>
                    <a:cxn ang="0">
                      <a:pos x="25" y="2"/>
                    </a:cxn>
                    <a:cxn ang="0">
                      <a:pos x="47" y="2"/>
                    </a:cxn>
                  </a:cxnLst>
                  <a:rect l="0" t="0" r="r" b="b"/>
                  <a:pathLst>
                    <a:path w="47" h="19">
                      <a:moveTo>
                        <a:pt x="0" y="19"/>
                      </a:moveTo>
                      <a:cubicBezTo>
                        <a:pt x="4" y="16"/>
                        <a:pt x="17" y="5"/>
                        <a:pt x="25" y="2"/>
                      </a:cubicBezTo>
                      <a:cubicBezTo>
                        <a:pt x="36" y="0"/>
                        <a:pt x="37" y="2"/>
                        <a:pt x="47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875" name="Freeform 131">
                  <a:extLst>
                    <a:ext uri="{FF2B5EF4-FFF2-40B4-BE49-F238E27FC236}">
                      <a16:creationId xmlns:a16="http://schemas.microsoft.com/office/drawing/2014/main" id="{00000000-0008-0000-2100-000083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2" y="105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grpSp>
              <xdr:nvGrpSpPr>
                <xdr:cNvPr id="31876" name="Group 132">
                  <a:extLst>
                    <a:ext uri="{FF2B5EF4-FFF2-40B4-BE49-F238E27FC236}">
                      <a16:creationId xmlns:a16="http://schemas.microsoft.com/office/drawing/2014/main" id="{00000000-0008-0000-2100-000084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53" y="91"/>
                  <a:ext cx="131" cy="47"/>
                  <a:chOff x="752" y="89"/>
                  <a:chExt cx="131" cy="47"/>
                </a:xfrm>
              </xdr:grpSpPr>
              <xdr:sp macro="[0]!Макрос2а" textlink="">
                <xdr:nvSpPr>
                  <xdr:cNvPr id="31877" name="Freeform 133">
                    <a:extLst>
                      <a:ext uri="{FF2B5EF4-FFF2-40B4-BE49-F238E27FC236}">
                        <a16:creationId xmlns:a16="http://schemas.microsoft.com/office/drawing/2014/main" id="{00000000-0008-0000-2100-000085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а" textlink="">
                <xdr:nvSpPr>
                  <xdr:cNvPr id="31878" name="Freeform 134">
                    <a:extLst>
                      <a:ext uri="{FF2B5EF4-FFF2-40B4-BE49-F238E27FC236}">
                        <a16:creationId xmlns:a16="http://schemas.microsoft.com/office/drawing/2014/main" id="{00000000-0008-0000-2100-000086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а" textlink="">
                <xdr:nvSpPr>
                  <xdr:cNvPr id="31879" name="Freeform 135">
                    <a:extLst>
                      <a:ext uri="{FF2B5EF4-FFF2-40B4-BE49-F238E27FC236}">
                        <a16:creationId xmlns:a16="http://schemas.microsoft.com/office/drawing/2014/main" id="{00000000-0008-0000-2100-000087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880" name="Group 136">
                  <a:extLst>
                    <a:ext uri="{FF2B5EF4-FFF2-40B4-BE49-F238E27FC236}">
                      <a16:creationId xmlns:a16="http://schemas.microsoft.com/office/drawing/2014/main" id="{00000000-0008-0000-2100-000088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846" y="91"/>
                  <a:ext cx="131" cy="47"/>
                  <a:chOff x="752" y="89"/>
                  <a:chExt cx="131" cy="47"/>
                </a:xfrm>
              </xdr:grpSpPr>
              <xdr:sp macro="[0]!Макрос2а" textlink="">
                <xdr:nvSpPr>
                  <xdr:cNvPr id="31881" name="Freeform 137">
                    <a:extLst>
                      <a:ext uri="{FF2B5EF4-FFF2-40B4-BE49-F238E27FC236}">
                        <a16:creationId xmlns:a16="http://schemas.microsoft.com/office/drawing/2014/main" id="{00000000-0008-0000-2100-00008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а" textlink="">
                <xdr:nvSpPr>
                  <xdr:cNvPr id="31882" name="Freeform 138">
                    <a:extLst>
                      <a:ext uri="{FF2B5EF4-FFF2-40B4-BE49-F238E27FC236}">
                        <a16:creationId xmlns:a16="http://schemas.microsoft.com/office/drawing/2014/main" id="{00000000-0008-0000-2100-00008A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а" textlink="">
                <xdr:nvSpPr>
                  <xdr:cNvPr id="31883" name="Freeform 139">
                    <a:extLst>
                      <a:ext uri="{FF2B5EF4-FFF2-40B4-BE49-F238E27FC236}">
                        <a16:creationId xmlns:a16="http://schemas.microsoft.com/office/drawing/2014/main" id="{00000000-0008-0000-2100-00008B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Макрос2а" textlink="">
              <xdr:nvSpPr>
                <xdr:cNvPr id="31884" name="Freeform 140">
                  <a:extLst>
                    <a:ext uri="{FF2B5EF4-FFF2-40B4-BE49-F238E27FC236}">
                      <a16:creationId xmlns:a16="http://schemas.microsoft.com/office/drawing/2014/main" id="{00000000-0008-0000-2100-00008C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93"/>
                  <a:ext cx="75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60" y="1"/>
                    </a:cxn>
                    <a:cxn ang="0">
                      <a:pos x="75" y="4"/>
                    </a:cxn>
                  </a:cxnLst>
                  <a:rect l="0" t="0" r="r" b="b"/>
                  <a:pathLst>
                    <a:path w="75" h="45">
                      <a:moveTo>
                        <a:pt x="0" y="45"/>
                      </a:moveTo>
                      <a:cubicBezTo>
                        <a:pt x="29" y="20"/>
                        <a:pt x="46" y="6"/>
                        <a:pt x="60" y="1"/>
                      </a:cubicBezTo>
                      <a:cubicBezTo>
                        <a:pt x="69" y="0"/>
                        <a:pt x="70" y="2"/>
                        <a:pt x="75" y="4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885" name="Freeform 141">
                  <a:extLst>
                    <a:ext uri="{FF2B5EF4-FFF2-40B4-BE49-F238E27FC236}">
                      <a16:creationId xmlns:a16="http://schemas.microsoft.com/office/drawing/2014/main" id="{00000000-0008-0000-2100-00008D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8" y="92"/>
                  <a:ext cx="76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54" y="2"/>
                    </a:cxn>
                    <a:cxn ang="0">
                      <a:pos x="76" y="2"/>
                    </a:cxn>
                  </a:cxnLst>
                  <a:rect l="0" t="0" r="r" b="b"/>
                  <a:pathLst>
                    <a:path w="76" h="45">
                      <a:moveTo>
                        <a:pt x="0" y="45"/>
                      </a:moveTo>
                      <a:cubicBezTo>
                        <a:pt x="17" y="27"/>
                        <a:pt x="41" y="9"/>
                        <a:pt x="54" y="2"/>
                      </a:cubicBezTo>
                      <a:cubicBezTo>
                        <a:pt x="65" y="0"/>
                        <a:pt x="66" y="2"/>
                        <a:pt x="76" y="2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886" name="Freeform 142">
                  <a:extLst>
                    <a:ext uri="{FF2B5EF4-FFF2-40B4-BE49-F238E27FC236}">
                      <a16:creationId xmlns:a16="http://schemas.microsoft.com/office/drawing/2014/main" id="{00000000-0008-0000-2100-00008E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04"/>
                  <a:ext cx="45" cy="8"/>
                </a:xfrm>
                <a:custGeom>
                  <a:avLst/>
                  <a:gdLst/>
                  <a:ahLst/>
                  <a:cxnLst>
                    <a:cxn ang="0">
                      <a:pos x="0" y="8"/>
                    </a:cxn>
                    <a:cxn ang="0">
                      <a:pos x="30" y="1"/>
                    </a:cxn>
                    <a:cxn ang="0">
                      <a:pos x="45" y="3"/>
                    </a:cxn>
                  </a:cxnLst>
                  <a:rect l="0" t="0" r="r" b="b"/>
                  <a:pathLst>
                    <a:path w="45" h="8">
                      <a:moveTo>
                        <a:pt x="0" y="8"/>
                      </a:moveTo>
                      <a:cubicBezTo>
                        <a:pt x="7" y="4"/>
                        <a:pt x="15" y="1"/>
                        <a:pt x="30" y="1"/>
                      </a:cubicBezTo>
                      <a:cubicBezTo>
                        <a:pt x="37" y="0"/>
                        <a:pt x="43" y="3"/>
                        <a:pt x="45" y="3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887" name="Freeform 143">
                  <a:extLst>
                    <a:ext uri="{FF2B5EF4-FFF2-40B4-BE49-F238E27FC236}">
                      <a16:creationId xmlns:a16="http://schemas.microsoft.com/office/drawing/2014/main" id="{00000000-0008-0000-2100-00008F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1" y="166"/>
                  <a:ext cx="103" cy="30"/>
                </a:xfrm>
                <a:custGeom>
                  <a:avLst/>
                  <a:gdLst/>
                  <a:ahLst/>
                  <a:cxnLst>
                    <a:cxn ang="0">
                      <a:pos x="103" y="0"/>
                    </a:cxn>
                    <a:cxn ang="0">
                      <a:pos x="60" y="28"/>
                    </a:cxn>
                    <a:cxn ang="0">
                      <a:pos x="23" y="9"/>
                    </a:cxn>
                    <a:cxn ang="0">
                      <a:pos x="0" y="19"/>
                    </a:cxn>
                  </a:cxnLst>
                  <a:rect l="0" t="0" r="r" b="b"/>
                  <a:pathLst>
                    <a:path w="103" h="30">
                      <a:moveTo>
                        <a:pt x="103" y="0"/>
                      </a:moveTo>
                      <a:cubicBezTo>
                        <a:pt x="96" y="5"/>
                        <a:pt x="73" y="26"/>
                        <a:pt x="60" y="28"/>
                      </a:cubicBezTo>
                      <a:cubicBezTo>
                        <a:pt x="47" y="30"/>
                        <a:pt x="33" y="11"/>
                        <a:pt x="23" y="9"/>
                      </a:cubicBezTo>
                      <a:cubicBezTo>
                        <a:pt x="13" y="7"/>
                        <a:pt x="4" y="17"/>
                        <a:pt x="0" y="19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888" name="Freeform 144">
                  <a:extLst>
                    <a:ext uri="{FF2B5EF4-FFF2-40B4-BE49-F238E27FC236}">
                      <a16:creationId xmlns:a16="http://schemas.microsoft.com/office/drawing/2014/main" id="{00000000-0008-0000-2100-000090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7" y="175"/>
                  <a:ext cx="48" cy="20"/>
                </a:xfrm>
                <a:custGeom>
                  <a:avLst/>
                  <a:gdLst/>
                  <a:ahLst/>
                  <a:cxnLst>
                    <a:cxn ang="0">
                      <a:pos x="48" y="0"/>
                    </a:cxn>
                    <a:cxn ang="0">
                      <a:pos x="22" y="18"/>
                    </a:cxn>
                    <a:cxn ang="0">
                      <a:pos x="0" y="19"/>
                    </a:cxn>
                  </a:cxnLst>
                  <a:rect l="0" t="0" r="r" b="b"/>
                  <a:pathLst>
                    <a:path w="48" h="20">
                      <a:moveTo>
                        <a:pt x="48" y="0"/>
                      </a:moveTo>
                      <a:cubicBezTo>
                        <a:pt x="44" y="3"/>
                        <a:pt x="30" y="15"/>
                        <a:pt x="22" y="18"/>
                      </a:cubicBezTo>
                      <a:cubicBezTo>
                        <a:pt x="11" y="20"/>
                        <a:pt x="10" y="19"/>
                        <a:pt x="0" y="19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889" name="Freeform 145">
                  <a:extLst>
                    <a:ext uri="{FF2B5EF4-FFF2-40B4-BE49-F238E27FC236}">
                      <a16:creationId xmlns:a16="http://schemas.microsoft.com/office/drawing/2014/main" id="{00000000-0008-0000-2100-000091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flipH="1" flipV="1">
                  <a:off x="950" y="177"/>
                  <a:ext cx="61" cy="7"/>
                </a:xfrm>
                <a:custGeom>
                  <a:avLst/>
                  <a:gdLst/>
                  <a:ahLst/>
                  <a:cxnLst>
                    <a:cxn ang="0">
                      <a:pos x="0" y="7"/>
                    </a:cxn>
                    <a:cxn ang="0">
                      <a:pos x="30" y="0"/>
                    </a:cxn>
                    <a:cxn ang="0">
                      <a:pos x="61" y="7"/>
                    </a:cxn>
                  </a:cxnLst>
                  <a:rect l="0" t="0" r="r" b="b"/>
                  <a:pathLst>
                    <a:path w="61" h="7">
                      <a:moveTo>
                        <a:pt x="0" y="7"/>
                      </a:moveTo>
                      <a:cubicBezTo>
                        <a:pt x="7" y="3"/>
                        <a:pt x="15" y="0"/>
                        <a:pt x="30" y="0"/>
                      </a:cubicBezTo>
                      <a:cubicBezTo>
                        <a:pt x="41" y="1"/>
                        <a:pt x="46" y="1"/>
                        <a:pt x="61" y="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grpSp>
              <xdr:nvGrpSpPr>
                <xdr:cNvPr id="31890" name="Group 146">
                  <a:extLst>
                    <a:ext uri="{FF2B5EF4-FFF2-40B4-BE49-F238E27FC236}">
                      <a16:creationId xmlns:a16="http://schemas.microsoft.com/office/drawing/2014/main" id="{00000000-0008-0000-2100-000092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829" y="150"/>
                  <a:ext cx="131" cy="47"/>
                  <a:chOff x="752" y="89"/>
                  <a:chExt cx="131" cy="47"/>
                </a:xfrm>
              </xdr:grpSpPr>
              <xdr:sp macro="[0]!Макрос2а" textlink="">
                <xdr:nvSpPr>
                  <xdr:cNvPr id="31891" name="Freeform 147">
                    <a:extLst>
                      <a:ext uri="{FF2B5EF4-FFF2-40B4-BE49-F238E27FC236}">
                        <a16:creationId xmlns:a16="http://schemas.microsoft.com/office/drawing/2014/main" id="{00000000-0008-0000-2100-000093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а" textlink="">
                <xdr:nvSpPr>
                  <xdr:cNvPr id="31892" name="Freeform 148">
                    <a:extLst>
                      <a:ext uri="{FF2B5EF4-FFF2-40B4-BE49-F238E27FC236}">
                        <a16:creationId xmlns:a16="http://schemas.microsoft.com/office/drawing/2014/main" id="{00000000-0008-0000-2100-000094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а" textlink="">
                <xdr:nvSpPr>
                  <xdr:cNvPr id="31893" name="Freeform 149">
                    <a:extLst>
                      <a:ext uri="{FF2B5EF4-FFF2-40B4-BE49-F238E27FC236}">
                        <a16:creationId xmlns:a16="http://schemas.microsoft.com/office/drawing/2014/main" id="{00000000-0008-0000-2100-000095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894" name="Group 150">
                  <a:extLst>
                    <a:ext uri="{FF2B5EF4-FFF2-40B4-BE49-F238E27FC236}">
                      <a16:creationId xmlns:a16="http://schemas.microsoft.com/office/drawing/2014/main" id="{00000000-0008-0000-2100-000096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 flipH="1" flipV="1">
                  <a:off x="736" y="150"/>
                  <a:ext cx="131" cy="47"/>
                  <a:chOff x="752" y="89"/>
                  <a:chExt cx="131" cy="47"/>
                </a:xfrm>
              </xdr:grpSpPr>
              <xdr:sp macro="[0]!Макрос2а" textlink="">
                <xdr:nvSpPr>
                  <xdr:cNvPr id="31895" name="Freeform 151">
                    <a:extLst>
                      <a:ext uri="{FF2B5EF4-FFF2-40B4-BE49-F238E27FC236}">
                        <a16:creationId xmlns:a16="http://schemas.microsoft.com/office/drawing/2014/main" id="{00000000-0008-0000-2100-000097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63" y="89"/>
                    <a:ext cx="120" cy="47"/>
                  </a:xfrm>
                  <a:custGeom>
                    <a:avLst/>
                    <a:gdLst/>
                    <a:ahLst/>
                    <a:cxnLst>
                      <a:cxn ang="0">
                        <a:pos x="0" y="47"/>
                      </a:cxn>
                      <a:cxn ang="0">
                        <a:pos x="60" y="4"/>
                      </a:cxn>
                      <a:cxn ang="0">
                        <a:pos x="97" y="23"/>
                      </a:cxn>
                      <a:cxn ang="0">
                        <a:pos x="120" y="13"/>
                      </a:cxn>
                    </a:cxnLst>
                    <a:rect l="0" t="0" r="r" b="b"/>
                    <a:pathLst>
                      <a:path w="120" h="47">
                        <a:moveTo>
                          <a:pt x="0" y="47"/>
                        </a:moveTo>
                        <a:cubicBezTo>
                          <a:pt x="22" y="27"/>
                          <a:pt x="44" y="8"/>
                          <a:pt x="60" y="4"/>
                        </a:cubicBezTo>
                        <a:cubicBezTo>
                          <a:pt x="77" y="0"/>
                          <a:pt x="87" y="21"/>
                          <a:pt x="97" y="23"/>
                        </a:cubicBezTo>
                        <a:cubicBezTo>
                          <a:pt x="107" y="25"/>
                          <a:pt x="116" y="15"/>
                          <a:pt x="120" y="13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а" textlink="">
                <xdr:nvSpPr>
                  <xdr:cNvPr id="31896" name="Freeform 152">
                    <a:extLst>
                      <a:ext uri="{FF2B5EF4-FFF2-40B4-BE49-F238E27FC236}">
                        <a16:creationId xmlns:a16="http://schemas.microsoft.com/office/drawing/2014/main" id="{00000000-0008-0000-2100-000098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52" y="90"/>
                    <a:ext cx="76" cy="45"/>
                  </a:xfrm>
                  <a:custGeom>
                    <a:avLst/>
                    <a:gdLst/>
                    <a:ahLst/>
                    <a:cxnLst>
                      <a:cxn ang="0">
                        <a:pos x="0" y="45"/>
                      </a:cxn>
                      <a:cxn ang="0">
                        <a:pos x="54" y="2"/>
                      </a:cxn>
                      <a:cxn ang="0">
                        <a:pos x="76" y="2"/>
                      </a:cxn>
                    </a:cxnLst>
                    <a:rect l="0" t="0" r="r" b="b"/>
                    <a:pathLst>
                      <a:path w="76" h="45">
                        <a:moveTo>
                          <a:pt x="0" y="45"/>
                        </a:moveTo>
                        <a:cubicBezTo>
                          <a:pt x="17" y="27"/>
                          <a:pt x="41" y="9"/>
                          <a:pt x="54" y="2"/>
                        </a:cubicBezTo>
                        <a:cubicBezTo>
                          <a:pt x="65" y="0"/>
                          <a:pt x="66" y="2"/>
                          <a:pt x="76" y="2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[0]!Макрос2а" textlink="">
                <xdr:nvSpPr>
                  <xdr:cNvPr id="31897" name="Freeform 153">
                    <a:extLst>
                      <a:ext uri="{FF2B5EF4-FFF2-40B4-BE49-F238E27FC236}">
                        <a16:creationId xmlns:a16="http://schemas.microsoft.com/office/drawing/2014/main" id="{00000000-0008-0000-2100-000099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93" y="103"/>
                    <a:ext cx="61" cy="7"/>
                  </a:xfrm>
                  <a:custGeom>
                    <a:avLst/>
                    <a:gdLst/>
                    <a:ahLst/>
                    <a:cxnLst>
                      <a:cxn ang="0">
                        <a:pos x="0" y="7"/>
                      </a:cxn>
                      <a:cxn ang="0">
                        <a:pos x="30" y="0"/>
                      </a:cxn>
                      <a:cxn ang="0">
                        <a:pos x="61" y="7"/>
                      </a:cxn>
                    </a:cxnLst>
                    <a:rect l="0" t="0" r="r" b="b"/>
                    <a:pathLst>
                      <a:path w="61" h="7">
                        <a:moveTo>
                          <a:pt x="0" y="7"/>
                        </a:moveTo>
                        <a:cubicBezTo>
                          <a:pt x="7" y="3"/>
                          <a:pt x="15" y="0"/>
                          <a:pt x="30" y="0"/>
                        </a:cubicBezTo>
                        <a:cubicBezTo>
                          <a:pt x="41" y="1"/>
                          <a:pt x="46" y="1"/>
                          <a:pt x="61" y="7"/>
                        </a:cubicBezTo>
                      </a:path>
                    </a:pathLst>
                  </a:cu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  <xdr:sp macro="[0]!Макрос2а" textlink="">
              <xdr:nvSpPr>
                <xdr:cNvPr id="31898" name="Freeform 154">
                  <a:extLst>
                    <a:ext uri="{FF2B5EF4-FFF2-40B4-BE49-F238E27FC236}">
                      <a16:creationId xmlns:a16="http://schemas.microsoft.com/office/drawing/2014/main" id="{00000000-0008-0000-2100-00009A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 flipH="1" flipV="1">
                  <a:off x="689" y="150"/>
                  <a:ext cx="75" cy="45"/>
                </a:xfrm>
                <a:custGeom>
                  <a:avLst/>
                  <a:gdLst/>
                  <a:ahLst/>
                  <a:cxnLst>
                    <a:cxn ang="0">
                      <a:pos x="0" y="45"/>
                    </a:cxn>
                    <a:cxn ang="0">
                      <a:pos x="60" y="1"/>
                    </a:cxn>
                    <a:cxn ang="0">
                      <a:pos x="75" y="4"/>
                    </a:cxn>
                  </a:cxnLst>
                  <a:rect l="0" t="0" r="r" b="b"/>
                  <a:pathLst>
                    <a:path w="75" h="45">
                      <a:moveTo>
                        <a:pt x="0" y="45"/>
                      </a:moveTo>
                      <a:cubicBezTo>
                        <a:pt x="29" y="20"/>
                        <a:pt x="46" y="6"/>
                        <a:pt x="60" y="1"/>
                      </a:cubicBezTo>
                      <a:cubicBezTo>
                        <a:pt x="69" y="0"/>
                        <a:pt x="70" y="2"/>
                        <a:pt x="75" y="4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899" name="Freeform 155">
                  <a:extLst>
                    <a:ext uri="{FF2B5EF4-FFF2-40B4-BE49-F238E27FC236}">
                      <a16:creationId xmlns:a16="http://schemas.microsoft.com/office/drawing/2014/main" id="{00000000-0008-0000-2100-00009B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9" y="151"/>
                  <a:ext cx="77" cy="46"/>
                </a:xfrm>
                <a:custGeom>
                  <a:avLst/>
                  <a:gdLst/>
                  <a:ahLst/>
                  <a:cxnLst>
                    <a:cxn ang="0">
                      <a:pos x="77" y="0"/>
                    </a:cxn>
                    <a:cxn ang="0">
                      <a:pos x="22" y="44"/>
                    </a:cxn>
                    <a:cxn ang="0">
                      <a:pos x="0" y="44"/>
                    </a:cxn>
                  </a:cxnLst>
                  <a:rect l="0" t="0" r="r" b="b"/>
                  <a:pathLst>
                    <a:path w="77" h="46">
                      <a:moveTo>
                        <a:pt x="77" y="0"/>
                      </a:moveTo>
                      <a:cubicBezTo>
                        <a:pt x="60" y="18"/>
                        <a:pt x="36" y="35"/>
                        <a:pt x="22" y="44"/>
                      </a:cubicBezTo>
                      <a:cubicBezTo>
                        <a:pt x="11" y="46"/>
                        <a:pt x="10" y="44"/>
                        <a:pt x="0" y="44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900" name="Freeform 156">
                  <a:extLst>
                    <a:ext uri="{FF2B5EF4-FFF2-40B4-BE49-F238E27FC236}">
                      <a16:creationId xmlns:a16="http://schemas.microsoft.com/office/drawing/2014/main" id="{00000000-0008-0000-2100-00009C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76"/>
                  <a:ext cx="42" cy="8"/>
                </a:xfrm>
                <a:custGeom>
                  <a:avLst/>
                  <a:gdLst/>
                  <a:ahLst/>
                  <a:cxnLst>
                    <a:cxn ang="0">
                      <a:pos x="42" y="0"/>
                    </a:cxn>
                    <a:cxn ang="0">
                      <a:pos x="13" y="7"/>
                    </a:cxn>
                    <a:cxn ang="0">
                      <a:pos x="0" y="5"/>
                    </a:cxn>
                  </a:cxnLst>
                  <a:rect l="0" t="0" r="r" b="b"/>
                  <a:pathLst>
                    <a:path w="42" h="8">
                      <a:moveTo>
                        <a:pt x="42" y="0"/>
                      </a:moveTo>
                      <a:cubicBezTo>
                        <a:pt x="35" y="4"/>
                        <a:pt x="28" y="7"/>
                        <a:pt x="13" y="7"/>
                      </a:cubicBezTo>
                      <a:cubicBezTo>
                        <a:pt x="6" y="8"/>
                        <a:pt x="3" y="5"/>
                        <a:pt x="0" y="5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901" name="Freeform 157">
                  <a:extLst>
                    <a:ext uri="{FF2B5EF4-FFF2-40B4-BE49-F238E27FC236}">
                      <a16:creationId xmlns:a16="http://schemas.microsoft.com/office/drawing/2014/main" id="{00000000-0008-0000-2100-00009D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36"/>
                  <a:ext cx="336" cy="14"/>
                </a:xfrm>
                <a:custGeom>
                  <a:avLst/>
                  <a:gdLst/>
                  <a:ahLst/>
                  <a:cxnLst>
                    <a:cxn ang="0">
                      <a:pos x="336" y="14"/>
                    </a:cxn>
                    <a:cxn ang="0">
                      <a:pos x="0" y="14"/>
                    </a:cxn>
                    <a:cxn ang="0">
                      <a:pos x="0" y="2"/>
                    </a:cxn>
                    <a:cxn ang="0">
                      <a:pos x="333" y="2"/>
                    </a:cxn>
                    <a:cxn ang="0">
                      <a:pos x="336" y="14"/>
                    </a:cxn>
                  </a:cxnLst>
                  <a:rect l="0" t="0" r="r" b="b"/>
                  <a:pathLst>
                    <a:path w="336" h="14">
                      <a:moveTo>
                        <a:pt x="336" y="14"/>
                      </a:moveTo>
                      <a:cubicBezTo>
                        <a:pt x="283" y="14"/>
                        <a:pt x="57" y="14"/>
                        <a:pt x="0" y="14"/>
                      </a:cubicBezTo>
                      <a:cubicBezTo>
                        <a:pt x="0" y="0"/>
                        <a:pt x="0" y="9"/>
                        <a:pt x="0" y="2"/>
                      </a:cubicBezTo>
                      <a:cubicBezTo>
                        <a:pt x="164" y="2"/>
                        <a:pt x="277" y="2"/>
                        <a:pt x="333" y="2"/>
                      </a:cubicBezTo>
                      <a:cubicBezTo>
                        <a:pt x="334" y="10"/>
                        <a:pt x="336" y="8"/>
                        <a:pt x="336" y="14"/>
                      </a:cubicBezTo>
                      <a:close/>
                    </a:path>
                  </a:pathLst>
                </a:custGeom>
                <a:noFill/>
                <a:ln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902" name="Line 158">
                  <a:extLst>
                    <a:ext uri="{FF2B5EF4-FFF2-40B4-BE49-F238E27FC236}">
                      <a16:creationId xmlns:a16="http://schemas.microsoft.com/office/drawing/2014/main" id="{00000000-0008-0000-2100-00009E7C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691" y="111"/>
                  <a:ext cx="0" cy="80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903" name="Freeform 159">
                  <a:extLst>
                    <a:ext uri="{FF2B5EF4-FFF2-40B4-BE49-F238E27FC236}">
                      <a16:creationId xmlns:a16="http://schemas.microsoft.com/office/drawing/2014/main" id="{00000000-0008-0000-2100-00009F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1" y="98"/>
                  <a:ext cx="6" cy="87"/>
                </a:xfrm>
                <a:custGeom>
                  <a:avLst/>
                  <a:gdLst/>
                  <a:ahLst/>
                  <a:cxnLst>
                    <a:cxn ang="0">
                      <a:pos x="3" y="0"/>
                    </a:cxn>
                    <a:cxn ang="0">
                      <a:pos x="4" y="10"/>
                    </a:cxn>
                    <a:cxn ang="0">
                      <a:pos x="2" y="22"/>
                    </a:cxn>
                    <a:cxn ang="0">
                      <a:pos x="4" y="30"/>
                    </a:cxn>
                    <a:cxn ang="0">
                      <a:pos x="3" y="43"/>
                    </a:cxn>
                    <a:cxn ang="0">
                      <a:pos x="6" y="51"/>
                    </a:cxn>
                    <a:cxn ang="0">
                      <a:pos x="3" y="60"/>
                    </a:cxn>
                    <a:cxn ang="0">
                      <a:pos x="2" y="70"/>
                    </a:cxn>
                    <a:cxn ang="0">
                      <a:pos x="3" y="80"/>
                    </a:cxn>
                    <a:cxn ang="0">
                      <a:pos x="0" y="85"/>
                    </a:cxn>
                    <a:cxn ang="0">
                      <a:pos x="1" y="87"/>
                    </a:cxn>
                  </a:cxnLst>
                  <a:rect l="0" t="0" r="r" b="b"/>
                  <a:pathLst>
                    <a:path w="6" h="87">
                      <a:moveTo>
                        <a:pt x="3" y="0"/>
                      </a:moveTo>
                      <a:cubicBezTo>
                        <a:pt x="3" y="3"/>
                        <a:pt x="4" y="6"/>
                        <a:pt x="4" y="10"/>
                      </a:cubicBezTo>
                      <a:cubicBezTo>
                        <a:pt x="4" y="14"/>
                        <a:pt x="2" y="19"/>
                        <a:pt x="2" y="22"/>
                      </a:cubicBezTo>
                      <a:cubicBezTo>
                        <a:pt x="2" y="25"/>
                        <a:pt x="4" y="27"/>
                        <a:pt x="4" y="30"/>
                      </a:cubicBezTo>
                      <a:cubicBezTo>
                        <a:pt x="4" y="33"/>
                        <a:pt x="3" y="40"/>
                        <a:pt x="3" y="43"/>
                      </a:cubicBezTo>
                      <a:cubicBezTo>
                        <a:pt x="3" y="46"/>
                        <a:pt x="6" y="48"/>
                        <a:pt x="6" y="51"/>
                      </a:cubicBezTo>
                      <a:cubicBezTo>
                        <a:pt x="6" y="54"/>
                        <a:pt x="4" y="57"/>
                        <a:pt x="3" y="60"/>
                      </a:cubicBezTo>
                      <a:cubicBezTo>
                        <a:pt x="2" y="63"/>
                        <a:pt x="2" y="67"/>
                        <a:pt x="2" y="70"/>
                      </a:cubicBezTo>
                      <a:cubicBezTo>
                        <a:pt x="2" y="73"/>
                        <a:pt x="3" y="78"/>
                        <a:pt x="3" y="80"/>
                      </a:cubicBezTo>
                      <a:cubicBezTo>
                        <a:pt x="3" y="82"/>
                        <a:pt x="0" y="84"/>
                        <a:pt x="0" y="85"/>
                      </a:cubicBezTo>
                      <a:cubicBezTo>
                        <a:pt x="0" y="86"/>
                        <a:pt x="1" y="87"/>
                        <a:pt x="1" y="87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[0]!Макрос2а" textlink="">
              <xdr:nvSpPr>
                <xdr:cNvPr id="31904" name="Freeform 160">
                  <a:extLst>
                    <a:ext uri="{FF2B5EF4-FFF2-40B4-BE49-F238E27FC236}">
                      <a16:creationId xmlns:a16="http://schemas.microsoft.com/office/drawing/2014/main" id="{00000000-0008-0000-2100-0000A07C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1" y="183"/>
                  <a:ext cx="11" cy="4"/>
                </a:xfrm>
                <a:custGeom>
                  <a:avLst/>
                  <a:gdLst/>
                  <a:ahLst/>
                  <a:cxnLst>
                    <a:cxn ang="0">
                      <a:pos x="0" y="4"/>
                    </a:cxn>
                    <a:cxn ang="0">
                      <a:pos x="11" y="0"/>
                    </a:cxn>
                  </a:cxnLst>
                  <a:rect l="0" t="0" r="r" b="b"/>
                  <a:pathLst>
                    <a:path w="11" h="4">
                      <a:moveTo>
                        <a:pt x="0" y="4"/>
                      </a:moveTo>
                      <a:cubicBezTo>
                        <a:pt x="4" y="2"/>
                        <a:pt x="9" y="1"/>
                        <a:pt x="11" y="0"/>
                      </a:cubicBezTo>
                    </a:path>
                  </a:pathLst>
                </a:cu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sp macro="[0]!Макрос2а" textlink="">
            <xdr:nvSpPr>
              <xdr:cNvPr id="31905" name="Line 161">
                <a:extLst>
                  <a:ext uri="{FF2B5EF4-FFF2-40B4-BE49-F238E27FC236}">
                    <a16:creationId xmlns:a16="http://schemas.microsoft.com/office/drawing/2014/main" id="{00000000-0008-0000-2100-0000A17C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70" y="135"/>
                <a:ext cx="379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"/>
                <a:round/>
                <a:headEnd/>
                <a:tailEnd/>
              </a:ln>
            </xdr:spPr>
          </xdr:sp>
        </xdr:grpSp>
        <xdr:grpSp>
          <xdr:nvGrpSpPr>
            <xdr:cNvPr id="31906" name="Group 162">
              <a:extLst>
                <a:ext uri="{FF2B5EF4-FFF2-40B4-BE49-F238E27FC236}">
                  <a16:creationId xmlns:a16="http://schemas.microsoft.com/office/drawing/2014/main" id="{00000000-0008-0000-2100-0000A27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74" y="20"/>
              <a:ext cx="35" cy="34"/>
              <a:chOff x="570" y="13"/>
              <a:chExt cx="35" cy="34"/>
            </a:xfrm>
          </xdr:grpSpPr>
          <xdr:sp macro="[0]!Макрос2а" textlink="">
            <xdr:nvSpPr>
              <xdr:cNvPr id="31907" name="Oval 163">
                <a:extLst>
                  <a:ext uri="{FF2B5EF4-FFF2-40B4-BE49-F238E27FC236}">
                    <a16:creationId xmlns:a16="http://schemas.microsoft.com/office/drawing/2014/main" id="{00000000-0008-0000-2100-0000A37C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570" y="13"/>
                <a:ext cx="34" cy="34"/>
              </a:xfrm>
              <a:prstGeom prst="ellipse">
                <a:avLst/>
              </a:prstGeom>
              <a:noFill/>
              <a:ln w="158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Макрос2а" textlink="">
            <xdr:nvSpPr>
              <xdr:cNvPr id="31908" name="Text Box 164">
                <a:extLst>
                  <a:ext uri="{FF2B5EF4-FFF2-40B4-BE49-F238E27FC236}">
                    <a16:creationId xmlns:a16="http://schemas.microsoft.com/office/drawing/2014/main" id="{00000000-0008-0000-2100-0000A47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74" y="18"/>
                <a:ext cx="31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1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2a</a:t>
                </a:r>
              </a:p>
            </xdr:txBody>
          </xdr:sp>
        </xdr:grpSp>
        <xdr:sp macro="[0]!Макрос2а" textlink="">
          <xdr:nvSpPr>
            <xdr:cNvPr id="31909" name="Text Box 165">
              <a:extLst>
                <a:ext uri="{FF2B5EF4-FFF2-40B4-BE49-F238E27FC236}">
                  <a16:creationId xmlns:a16="http://schemas.microsoft.com/office/drawing/2014/main" id="{00000000-0008-0000-2100-0000A57C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19" y="20"/>
              <a:ext cx="43" cy="2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 Cyr"/>
                  <a:cs typeface="Times New Roman Cyr"/>
                </a:rPr>
                <a:t>Ac-II</a:t>
              </a:r>
            </a:p>
          </xdr:txBody>
        </xdr:sp>
      </xdr:grpSp>
    </xdr:grpSp>
    <xdr:clientData fPrintsWithSheet="0"/>
  </xdr:twoCellAnchor>
  <xdr:twoCellAnchor editAs="oneCell">
    <xdr:from>
      <xdr:col>4</xdr:col>
      <xdr:colOff>142875</xdr:colOff>
      <xdr:row>0</xdr:row>
      <xdr:rowOff>38100</xdr:rowOff>
    </xdr:from>
    <xdr:to>
      <xdr:col>4</xdr:col>
      <xdr:colOff>638175</xdr:colOff>
      <xdr:row>7</xdr:row>
      <xdr:rowOff>114300</xdr:rowOff>
    </xdr:to>
    <xdr:grpSp>
      <xdr:nvGrpSpPr>
        <xdr:cNvPr id="32369" name="Group 625">
          <a:extLst>
            <a:ext uri="{FF2B5EF4-FFF2-40B4-BE49-F238E27FC236}">
              <a16:creationId xmlns:a16="http://schemas.microsoft.com/office/drawing/2014/main" id="{00000000-0008-0000-2100-0000717E0000}"/>
            </a:ext>
          </a:extLst>
        </xdr:cNvPr>
        <xdr:cNvGrpSpPr>
          <a:grpSpLocks/>
        </xdr:cNvGrpSpPr>
      </xdr:nvGrpSpPr>
      <xdr:grpSpPr bwMode="auto">
        <a:xfrm>
          <a:off x="2181225" y="38100"/>
          <a:ext cx="495300" cy="1381125"/>
          <a:chOff x="229" y="4"/>
          <a:chExt cx="52" cy="145"/>
        </a:xfrm>
      </xdr:grpSpPr>
      <xdr:sp macro="" textlink="">
        <xdr:nvSpPr>
          <xdr:cNvPr id="32366" name="Text Box 622">
            <a:extLst>
              <a:ext uri="{FF2B5EF4-FFF2-40B4-BE49-F238E27FC236}">
                <a16:creationId xmlns:a16="http://schemas.microsoft.com/office/drawing/2014/main" id="{00000000-0008-0000-2100-00006E7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9" y="4"/>
            <a:ext cx="52" cy="145"/>
          </a:xfrm>
          <a:prstGeom prst="rect">
            <a:avLst/>
          </a:prstGeom>
          <a:solidFill>
            <a:srgbClr val="FFFF99"/>
          </a:solidFill>
          <a:ln w="1270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№</a:t>
            </a:r>
            <a:endParaRPr lang="ru-RU" sz="9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  <a:p>
            <a:pPr algn="ctr" rtl="0">
              <a:defRPr sz="1000"/>
            </a:pP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профиля</a:t>
            </a:r>
            <a:endParaRPr lang="ru-RU" sz="9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  <a:p>
            <a:pPr algn="ctr" rtl="0">
              <a:defRPr sz="1000"/>
            </a:pPr>
            <a:endParaRPr lang="ru-RU" sz="900" b="0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</xdr:txBody>
      </xdr:sp>
    </xdr:grpSp>
    <xdr:clientData fPrintsWithSheet="0"/>
  </xdr:twoCellAnchor>
  <xdr:twoCellAnchor editAs="oneCell">
    <xdr:from>
      <xdr:col>2</xdr:col>
      <xdr:colOff>304800</xdr:colOff>
      <xdr:row>0</xdr:row>
      <xdr:rowOff>123825</xdr:rowOff>
    </xdr:from>
    <xdr:to>
      <xdr:col>4</xdr:col>
      <xdr:colOff>66675</xdr:colOff>
      <xdr:row>7</xdr:row>
      <xdr:rowOff>95250</xdr:rowOff>
    </xdr:to>
    <xdr:grpSp>
      <xdr:nvGrpSpPr>
        <xdr:cNvPr id="32365" name="Group 621">
          <a:extLst>
            <a:ext uri="{FF2B5EF4-FFF2-40B4-BE49-F238E27FC236}">
              <a16:creationId xmlns:a16="http://schemas.microsoft.com/office/drawing/2014/main" id="{00000000-0008-0000-2100-00006D7E0000}"/>
            </a:ext>
          </a:extLst>
        </xdr:cNvPr>
        <xdr:cNvGrpSpPr>
          <a:grpSpLocks/>
        </xdr:cNvGrpSpPr>
      </xdr:nvGrpSpPr>
      <xdr:grpSpPr bwMode="auto">
        <a:xfrm>
          <a:off x="1238250" y="123825"/>
          <a:ext cx="866775" cy="1276350"/>
          <a:chOff x="130" y="13"/>
          <a:chExt cx="91" cy="134"/>
        </a:xfrm>
      </xdr:grpSpPr>
      <xdr:sp macro="" textlink="">
        <xdr:nvSpPr>
          <xdr:cNvPr id="32364" name="Text Box 620">
            <a:extLst>
              <a:ext uri="{FF2B5EF4-FFF2-40B4-BE49-F238E27FC236}">
                <a16:creationId xmlns:a16="http://schemas.microsoft.com/office/drawing/2014/main" id="{00000000-0008-0000-2100-00006C7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0" y="13"/>
            <a:ext cx="91" cy="134"/>
          </a:xfrm>
          <a:prstGeom prst="rect">
            <a:avLst/>
          </a:prstGeom>
          <a:solidFill>
            <a:srgbClr val="FFFF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КЛАСС</a:t>
            </a:r>
          </a:p>
          <a:p>
            <a:pPr algn="ctr" rtl="0">
              <a:defRPr sz="1000"/>
            </a:pPr>
            <a:r>
              <a: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стали</a:t>
            </a:r>
          </a:p>
        </xdr:txBody>
      </xdr:sp>
    </xdr:grpSp>
    <xdr:clientData fPrintsWithSheet="0"/>
  </xdr:twoCellAnchor>
  <xdr:twoCellAnchor editAs="oneCell">
    <xdr:from>
      <xdr:col>0</xdr:col>
      <xdr:colOff>0</xdr:colOff>
      <xdr:row>34</xdr:row>
      <xdr:rowOff>0</xdr:rowOff>
    </xdr:from>
    <xdr:to>
      <xdr:col>10</xdr:col>
      <xdr:colOff>161925</xdr:colOff>
      <xdr:row>55</xdr:row>
      <xdr:rowOff>114300</xdr:rowOff>
    </xdr:to>
    <xdr:grpSp>
      <xdr:nvGrpSpPr>
        <xdr:cNvPr id="32158" name="Group 414">
          <a:extLst>
            <a:ext uri="{FF2B5EF4-FFF2-40B4-BE49-F238E27FC236}">
              <a16:creationId xmlns:a16="http://schemas.microsoft.com/office/drawing/2014/main" id="{00000000-0008-0000-2100-00009E7D0000}"/>
            </a:ext>
          </a:extLst>
        </xdr:cNvPr>
        <xdr:cNvGrpSpPr>
          <a:grpSpLocks/>
        </xdr:cNvGrpSpPr>
      </xdr:nvGrpSpPr>
      <xdr:grpSpPr bwMode="auto">
        <a:xfrm>
          <a:off x="0" y="6210300"/>
          <a:ext cx="6200775" cy="3514725"/>
          <a:chOff x="1572" y="21"/>
          <a:chExt cx="651" cy="369"/>
        </a:xfrm>
      </xdr:grpSpPr>
      <xdr:sp macro="[0]!Макрос2а1" textlink="">
        <xdr:nvSpPr>
          <xdr:cNvPr id="32159" name="Rectangle 415">
            <a:extLst>
              <a:ext uri="{FF2B5EF4-FFF2-40B4-BE49-F238E27FC236}">
                <a16:creationId xmlns:a16="http://schemas.microsoft.com/office/drawing/2014/main" id="{00000000-0008-0000-2100-00009F7D0000}"/>
              </a:ext>
            </a:extLst>
          </xdr:cNvPr>
          <xdr:cNvSpPr>
            <a:spLocks noChangeArrowheads="1"/>
          </xdr:cNvSpPr>
        </xdr:nvSpPr>
        <xdr:spPr bwMode="auto">
          <a:xfrm>
            <a:off x="1572" y="21"/>
            <a:ext cx="651" cy="36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2160" name="Group 416">
            <a:extLst>
              <a:ext uri="{FF2B5EF4-FFF2-40B4-BE49-F238E27FC236}">
                <a16:creationId xmlns:a16="http://schemas.microsoft.com/office/drawing/2014/main" id="{00000000-0008-0000-2100-0000A07D0000}"/>
              </a:ext>
            </a:extLst>
          </xdr:cNvPr>
          <xdr:cNvGrpSpPr>
            <a:grpSpLocks/>
          </xdr:cNvGrpSpPr>
        </xdr:nvGrpSpPr>
        <xdr:grpSpPr bwMode="auto">
          <a:xfrm>
            <a:off x="1580" y="34"/>
            <a:ext cx="632" cy="349"/>
            <a:chOff x="1580" y="34"/>
            <a:chExt cx="632" cy="349"/>
          </a:xfrm>
        </xdr:grpSpPr>
        <xdr:grpSp>
          <xdr:nvGrpSpPr>
            <xdr:cNvPr id="32161" name="Group 417">
              <a:extLst>
                <a:ext uri="{FF2B5EF4-FFF2-40B4-BE49-F238E27FC236}">
                  <a16:creationId xmlns:a16="http://schemas.microsoft.com/office/drawing/2014/main" id="{00000000-0008-0000-2100-0000A17D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580" y="50"/>
              <a:ext cx="403" cy="191"/>
              <a:chOff x="1070" y="26"/>
              <a:chExt cx="403" cy="191"/>
            </a:xfrm>
          </xdr:grpSpPr>
          <xdr:grpSp>
            <xdr:nvGrpSpPr>
              <xdr:cNvPr id="32162" name="Group 418">
                <a:extLst>
                  <a:ext uri="{FF2B5EF4-FFF2-40B4-BE49-F238E27FC236}">
                    <a16:creationId xmlns:a16="http://schemas.microsoft.com/office/drawing/2014/main" id="{00000000-0008-0000-2100-0000A27D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70" y="33"/>
                <a:ext cx="403" cy="172"/>
                <a:chOff x="1070" y="33"/>
                <a:chExt cx="403" cy="172"/>
              </a:xfrm>
            </xdr:grpSpPr>
            <xdr:grpSp>
              <xdr:nvGrpSpPr>
                <xdr:cNvPr id="32163" name="Group 419">
                  <a:extLst>
                    <a:ext uri="{FF2B5EF4-FFF2-40B4-BE49-F238E27FC236}">
                      <a16:creationId xmlns:a16="http://schemas.microsoft.com/office/drawing/2014/main" id="{00000000-0008-0000-2100-0000A3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070" y="82"/>
                  <a:ext cx="379" cy="106"/>
                  <a:chOff x="1070" y="82"/>
                  <a:chExt cx="379" cy="106"/>
                </a:xfrm>
              </xdr:grpSpPr>
              <xdr:grpSp>
                <xdr:nvGrpSpPr>
                  <xdr:cNvPr id="32164" name="Group 420">
                    <a:extLst>
                      <a:ext uri="{FF2B5EF4-FFF2-40B4-BE49-F238E27FC236}">
                        <a16:creationId xmlns:a16="http://schemas.microsoft.com/office/drawing/2014/main" id="{00000000-0008-0000-2100-0000A4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090" y="82"/>
                    <a:ext cx="338" cy="106"/>
                    <a:chOff x="689" y="91"/>
                    <a:chExt cx="338" cy="106"/>
                  </a:xfrm>
                </xdr:grpSpPr>
                <xdr:sp macro="[0]!Макрос2а1" textlink="">
                  <xdr:nvSpPr>
                    <xdr:cNvPr id="32165" name="Freeform 421">
                      <a:extLst>
                        <a:ext uri="{FF2B5EF4-FFF2-40B4-BE49-F238E27FC236}">
                          <a16:creationId xmlns:a16="http://schemas.microsoft.com/office/drawing/2014/main" id="{00000000-0008-0000-2100-0000A5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91" y="93"/>
                      <a:ext cx="101" cy="2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27"/>
                        </a:cxn>
                        <a:cxn ang="0">
                          <a:pos x="42" y="1"/>
                        </a:cxn>
                        <a:cxn ang="0">
                          <a:pos x="78" y="21"/>
                        </a:cxn>
                        <a:cxn ang="0">
                          <a:pos x="101" y="11"/>
                        </a:cxn>
                      </a:cxnLst>
                      <a:rect l="0" t="0" r="r" b="b"/>
                      <a:pathLst>
                        <a:path w="101" h="27">
                          <a:moveTo>
                            <a:pt x="0" y="27"/>
                          </a:moveTo>
                          <a:cubicBezTo>
                            <a:pt x="10" y="20"/>
                            <a:pt x="29" y="2"/>
                            <a:pt x="42" y="1"/>
                          </a:cubicBezTo>
                          <a:cubicBezTo>
                            <a:pt x="55" y="0"/>
                            <a:pt x="68" y="19"/>
                            <a:pt x="78" y="21"/>
                          </a:cubicBezTo>
                          <a:cubicBezTo>
                            <a:pt x="88" y="23"/>
                            <a:pt x="97" y="13"/>
                            <a:pt x="101" y="11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66" name="Freeform 422">
                      <a:extLst>
                        <a:ext uri="{FF2B5EF4-FFF2-40B4-BE49-F238E27FC236}">
                          <a16:creationId xmlns:a16="http://schemas.microsoft.com/office/drawing/2014/main" id="{00000000-0008-0000-2100-0000A6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90" y="92"/>
                      <a:ext cx="47" cy="19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19"/>
                        </a:cxn>
                        <a:cxn ang="0">
                          <a:pos x="25" y="2"/>
                        </a:cxn>
                        <a:cxn ang="0">
                          <a:pos x="47" y="2"/>
                        </a:cxn>
                      </a:cxnLst>
                      <a:rect l="0" t="0" r="r" b="b"/>
                      <a:pathLst>
                        <a:path w="47" h="19">
                          <a:moveTo>
                            <a:pt x="0" y="19"/>
                          </a:moveTo>
                          <a:cubicBezTo>
                            <a:pt x="4" y="16"/>
                            <a:pt x="17" y="5"/>
                            <a:pt x="25" y="2"/>
                          </a:cubicBezTo>
                          <a:cubicBezTo>
                            <a:pt x="36" y="0"/>
                            <a:pt x="37" y="2"/>
                            <a:pt x="47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67" name="Freeform 423">
                      <a:extLst>
                        <a:ext uri="{FF2B5EF4-FFF2-40B4-BE49-F238E27FC236}">
                          <a16:creationId xmlns:a16="http://schemas.microsoft.com/office/drawing/2014/main" id="{00000000-0008-0000-2100-0000A7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02" y="105"/>
                      <a:ext cx="61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7"/>
                        </a:cxn>
                        <a:cxn ang="0">
                          <a:pos x="30" y="0"/>
                        </a:cxn>
                        <a:cxn ang="0">
                          <a:pos x="61" y="7"/>
                        </a:cxn>
                      </a:cxnLst>
                      <a:rect l="0" t="0" r="r" b="b"/>
                      <a:pathLst>
                        <a:path w="61" h="7">
                          <a:moveTo>
                            <a:pt x="0" y="7"/>
                          </a:moveTo>
                          <a:cubicBezTo>
                            <a:pt x="7" y="3"/>
                            <a:pt x="15" y="0"/>
                            <a:pt x="30" y="0"/>
                          </a:cubicBezTo>
                          <a:cubicBezTo>
                            <a:pt x="41" y="1"/>
                            <a:pt x="46" y="1"/>
                            <a:pt x="61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grpSp>
                  <xdr:nvGrpSpPr>
                    <xdr:cNvPr id="32168" name="Group 424">
                      <a:extLst>
                        <a:ext uri="{FF2B5EF4-FFF2-40B4-BE49-F238E27FC236}">
                          <a16:creationId xmlns:a16="http://schemas.microsoft.com/office/drawing/2014/main" id="{00000000-0008-0000-2100-0000A8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753" y="91"/>
                      <a:ext cx="131" cy="47"/>
                      <a:chOff x="752" y="89"/>
                      <a:chExt cx="131" cy="47"/>
                    </a:xfrm>
                  </xdr:grpSpPr>
                  <xdr:sp macro="[0]!Макрос2а1" textlink="">
                    <xdr:nvSpPr>
                      <xdr:cNvPr id="32169" name="Freeform 425">
                        <a:extLst>
                          <a:ext uri="{FF2B5EF4-FFF2-40B4-BE49-F238E27FC236}">
                            <a16:creationId xmlns:a16="http://schemas.microsoft.com/office/drawing/2014/main" id="{00000000-0008-0000-2100-0000A9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63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170" name="Freeform 426">
                        <a:extLst>
                          <a:ext uri="{FF2B5EF4-FFF2-40B4-BE49-F238E27FC236}">
                            <a16:creationId xmlns:a16="http://schemas.microsoft.com/office/drawing/2014/main" id="{00000000-0008-0000-2100-0000AA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52" y="90"/>
                        <a:ext cx="76" cy="45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5"/>
                          </a:cxn>
                          <a:cxn ang="0">
                            <a:pos x="54" y="2"/>
                          </a:cxn>
                          <a:cxn ang="0">
                            <a:pos x="76" y="2"/>
                          </a:cxn>
                        </a:cxnLst>
                        <a:rect l="0" t="0" r="r" b="b"/>
                        <a:pathLst>
                          <a:path w="76" h="45">
                            <a:moveTo>
                              <a:pt x="0" y="45"/>
                            </a:moveTo>
                            <a:cubicBezTo>
                              <a:pt x="17" y="27"/>
                              <a:pt x="41" y="9"/>
                              <a:pt x="54" y="2"/>
                            </a:cubicBezTo>
                            <a:cubicBezTo>
                              <a:pt x="65" y="0"/>
                              <a:pt x="66" y="2"/>
                              <a:pt x="76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171" name="Freeform 427">
                        <a:extLst>
                          <a:ext uri="{FF2B5EF4-FFF2-40B4-BE49-F238E27FC236}">
                            <a16:creationId xmlns:a16="http://schemas.microsoft.com/office/drawing/2014/main" id="{00000000-0008-0000-2100-0000AB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93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32172" name="Group 428">
                      <a:extLst>
                        <a:ext uri="{FF2B5EF4-FFF2-40B4-BE49-F238E27FC236}">
                          <a16:creationId xmlns:a16="http://schemas.microsoft.com/office/drawing/2014/main" id="{00000000-0008-0000-2100-0000AC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846" y="91"/>
                      <a:ext cx="131" cy="47"/>
                      <a:chOff x="752" y="89"/>
                      <a:chExt cx="131" cy="47"/>
                    </a:xfrm>
                  </xdr:grpSpPr>
                  <xdr:sp macro="[0]!Макрос2а1" textlink="">
                    <xdr:nvSpPr>
                      <xdr:cNvPr id="32173" name="Freeform 429">
                        <a:extLst>
                          <a:ext uri="{FF2B5EF4-FFF2-40B4-BE49-F238E27FC236}">
                            <a16:creationId xmlns:a16="http://schemas.microsoft.com/office/drawing/2014/main" id="{00000000-0008-0000-2100-0000AD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63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174" name="Freeform 430">
                        <a:extLst>
                          <a:ext uri="{FF2B5EF4-FFF2-40B4-BE49-F238E27FC236}">
                            <a16:creationId xmlns:a16="http://schemas.microsoft.com/office/drawing/2014/main" id="{00000000-0008-0000-2100-0000AE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52" y="90"/>
                        <a:ext cx="76" cy="45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5"/>
                          </a:cxn>
                          <a:cxn ang="0">
                            <a:pos x="54" y="2"/>
                          </a:cxn>
                          <a:cxn ang="0">
                            <a:pos x="76" y="2"/>
                          </a:cxn>
                        </a:cxnLst>
                        <a:rect l="0" t="0" r="r" b="b"/>
                        <a:pathLst>
                          <a:path w="76" h="45">
                            <a:moveTo>
                              <a:pt x="0" y="45"/>
                            </a:moveTo>
                            <a:cubicBezTo>
                              <a:pt x="17" y="27"/>
                              <a:pt x="41" y="9"/>
                              <a:pt x="54" y="2"/>
                            </a:cubicBezTo>
                            <a:cubicBezTo>
                              <a:pt x="65" y="0"/>
                              <a:pt x="66" y="2"/>
                              <a:pt x="76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175" name="Freeform 431">
                        <a:extLst>
                          <a:ext uri="{FF2B5EF4-FFF2-40B4-BE49-F238E27FC236}">
                            <a16:creationId xmlns:a16="http://schemas.microsoft.com/office/drawing/2014/main" id="{00000000-0008-0000-2100-0000AF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93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2а1" textlink="">
                  <xdr:nvSpPr>
                    <xdr:cNvPr id="32176" name="Freeform 432">
                      <a:extLst>
                        <a:ext uri="{FF2B5EF4-FFF2-40B4-BE49-F238E27FC236}">
                          <a16:creationId xmlns:a16="http://schemas.microsoft.com/office/drawing/2014/main" id="{00000000-0008-0000-2100-0000B0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49" y="93"/>
                      <a:ext cx="75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60" y="1"/>
                        </a:cxn>
                        <a:cxn ang="0">
                          <a:pos x="75" y="4"/>
                        </a:cxn>
                      </a:cxnLst>
                      <a:rect l="0" t="0" r="r" b="b"/>
                      <a:pathLst>
                        <a:path w="75" h="45">
                          <a:moveTo>
                            <a:pt x="0" y="45"/>
                          </a:moveTo>
                          <a:cubicBezTo>
                            <a:pt x="29" y="20"/>
                            <a:pt x="46" y="6"/>
                            <a:pt x="60" y="1"/>
                          </a:cubicBezTo>
                          <a:cubicBezTo>
                            <a:pt x="69" y="0"/>
                            <a:pt x="70" y="2"/>
                            <a:pt x="75" y="4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77" name="Freeform 433">
                      <a:extLst>
                        <a:ext uri="{FF2B5EF4-FFF2-40B4-BE49-F238E27FC236}">
                          <a16:creationId xmlns:a16="http://schemas.microsoft.com/office/drawing/2014/main" id="{00000000-0008-0000-2100-0000B1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38" y="92"/>
                      <a:ext cx="76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54" y="2"/>
                        </a:cxn>
                        <a:cxn ang="0">
                          <a:pos x="76" y="2"/>
                        </a:cxn>
                      </a:cxnLst>
                      <a:rect l="0" t="0" r="r" b="b"/>
                      <a:pathLst>
                        <a:path w="76" h="45">
                          <a:moveTo>
                            <a:pt x="0" y="45"/>
                          </a:moveTo>
                          <a:cubicBezTo>
                            <a:pt x="17" y="27"/>
                            <a:pt x="41" y="9"/>
                            <a:pt x="54" y="2"/>
                          </a:cubicBezTo>
                          <a:cubicBezTo>
                            <a:pt x="65" y="0"/>
                            <a:pt x="66" y="2"/>
                            <a:pt x="76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78" name="Freeform 434">
                      <a:extLst>
                        <a:ext uri="{FF2B5EF4-FFF2-40B4-BE49-F238E27FC236}">
                          <a16:creationId xmlns:a16="http://schemas.microsoft.com/office/drawing/2014/main" id="{00000000-0008-0000-2100-0000B2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80" y="104"/>
                      <a:ext cx="45" cy="8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8"/>
                        </a:cxn>
                        <a:cxn ang="0">
                          <a:pos x="30" y="1"/>
                        </a:cxn>
                        <a:cxn ang="0">
                          <a:pos x="45" y="3"/>
                        </a:cxn>
                      </a:cxnLst>
                      <a:rect l="0" t="0" r="r" b="b"/>
                      <a:pathLst>
                        <a:path w="45" h="8">
                          <a:moveTo>
                            <a:pt x="0" y="8"/>
                          </a:moveTo>
                          <a:cubicBezTo>
                            <a:pt x="7" y="4"/>
                            <a:pt x="15" y="1"/>
                            <a:pt x="30" y="1"/>
                          </a:cubicBezTo>
                          <a:cubicBezTo>
                            <a:pt x="37" y="0"/>
                            <a:pt x="43" y="3"/>
                            <a:pt x="45" y="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79" name="Freeform 435">
                      <a:extLst>
                        <a:ext uri="{FF2B5EF4-FFF2-40B4-BE49-F238E27FC236}">
                          <a16:creationId xmlns:a16="http://schemas.microsoft.com/office/drawing/2014/main" id="{00000000-0008-0000-2100-0000B3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21" y="166"/>
                      <a:ext cx="103" cy="30"/>
                    </a:xfrm>
                    <a:custGeom>
                      <a:avLst/>
                      <a:gdLst/>
                      <a:ahLst/>
                      <a:cxnLst>
                        <a:cxn ang="0">
                          <a:pos x="103" y="0"/>
                        </a:cxn>
                        <a:cxn ang="0">
                          <a:pos x="60" y="28"/>
                        </a:cxn>
                        <a:cxn ang="0">
                          <a:pos x="23" y="9"/>
                        </a:cxn>
                        <a:cxn ang="0">
                          <a:pos x="0" y="19"/>
                        </a:cxn>
                      </a:cxnLst>
                      <a:rect l="0" t="0" r="r" b="b"/>
                      <a:pathLst>
                        <a:path w="103" h="30">
                          <a:moveTo>
                            <a:pt x="103" y="0"/>
                          </a:moveTo>
                          <a:cubicBezTo>
                            <a:pt x="96" y="5"/>
                            <a:pt x="73" y="26"/>
                            <a:pt x="60" y="28"/>
                          </a:cubicBezTo>
                          <a:cubicBezTo>
                            <a:pt x="47" y="30"/>
                            <a:pt x="33" y="11"/>
                            <a:pt x="23" y="9"/>
                          </a:cubicBezTo>
                          <a:cubicBezTo>
                            <a:pt x="13" y="7"/>
                            <a:pt x="4" y="17"/>
                            <a:pt x="0" y="19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80" name="Freeform 436">
                      <a:extLst>
                        <a:ext uri="{FF2B5EF4-FFF2-40B4-BE49-F238E27FC236}">
                          <a16:creationId xmlns:a16="http://schemas.microsoft.com/office/drawing/2014/main" id="{00000000-0008-0000-2100-0000B4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77" y="175"/>
                      <a:ext cx="48" cy="20"/>
                    </a:xfrm>
                    <a:custGeom>
                      <a:avLst/>
                      <a:gdLst/>
                      <a:ahLst/>
                      <a:cxnLst>
                        <a:cxn ang="0">
                          <a:pos x="48" y="0"/>
                        </a:cxn>
                        <a:cxn ang="0">
                          <a:pos x="22" y="18"/>
                        </a:cxn>
                        <a:cxn ang="0">
                          <a:pos x="0" y="19"/>
                        </a:cxn>
                      </a:cxnLst>
                      <a:rect l="0" t="0" r="r" b="b"/>
                      <a:pathLst>
                        <a:path w="48" h="20">
                          <a:moveTo>
                            <a:pt x="48" y="0"/>
                          </a:moveTo>
                          <a:cubicBezTo>
                            <a:pt x="44" y="3"/>
                            <a:pt x="30" y="15"/>
                            <a:pt x="22" y="18"/>
                          </a:cubicBezTo>
                          <a:cubicBezTo>
                            <a:pt x="11" y="20"/>
                            <a:pt x="10" y="19"/>
                            <a:pt x="0" y="19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81" name="Freeform 437">
                      <a:extLst>
                        <a:ext uri="{FF2B5EF4-FFF2-40B4-BE49-F238E27FC236}">
                          <a16:creationId xmlns:a16="http://schemas.microsoft.com/office/drawing/2014/main" id="{00000000-0008-0000-2100-0000B5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flipH="1" flipV="1">
                      <a:off x="950" y="177"/>
                      <a:ext cx="61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7"/>
                        </a:cxn>
                        <a:cxn ang="0">
                          <a:pos x="30" y="0"/>
                        </a:cxn>
                        <a:cxn ang="0">
                          <a:pos x="61" y="7"/>
                        </a:cxn>
                      </a:cxnLst>
                      <a:rect l="0" t="0" r="r" b="b"/>
                      <a:pathLst>
                        <a:path w="61" h="7">
                          <a:moveTo>
                            <a:pt x="0" y="7"/>
                          </a:moveTo>
                          <a:cubicBezTo>
                            <a:pt x="7" y="3"/>
                            <a:pt x="15" y="0"/>
                            <a:pt x="30" y="0"/>
                          </a:cubicBezTo>
                          <a:cubicBezTo>
                            <a:pt x="41" y="1"/>
                            <a:pt x="46" y="1"/>
                            <a:pt x="61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grpSp>
                  <xdr:nvGrpSpPr>
                    <xdr:cNvPr id="32182" name="Group 438">
                      <a:extLst>
                        <a:ext uri="{FF2B5EF4-FFF2-40B4-BE49-F238E27FC236}">
                          <a16:creationId xmlns:a16="http://schemas.microsoft.com/office/drawing/2014/main" id="{00000000-0008-0000-2100-0000B6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H="1" flipV="1">
                      <a:off x="829" y="150"/>
                      <a:ext cx="131" cy="47"/>
                      <a:chOff x="752" y="89"/>
                      <a:chExt cx="131" cy="47"/>
                    </a:xfrm>
                  </xdr:grpSpPr>
                  <xdr:sp macro="[0]!Макрос2а1" textlink="">
                    <xdr:nvSpPr>
                      <xdr:cNvPr id="32183" name="Freeform 439">
                        <a:extLst>
                          <a:ext uri="{FF2B5EF4-FFF2-40B4-BE49-F238E27FC236}">
                            <a16:creationId xmlns:a16="http://schemas.microsoft.com/office/drawing/2014/main" id="{00000000-0008-0000-2100-0000B7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63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184" name="Freeform 440">
                        <a:extLst>
                          <a:ext uri="{FF2B5EF4-FFF2-40B4-BE49-F238E27FC236}">
                            <a16:creationId xmlns:a16="http://schemas.microsoft.com/office/drawing/2014/main" id="{00000000-0008-0000-2100-0000B8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52" y="90"/>
                        <a:ext cx="76" cy="45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5"/>
                          </a:cxn>
                          <a:cxn ang="0">
                            <a:pos x="54" y="2"/>
                          </a:cxn>
                          <a:cxn ang="0">
                            <a:pos x="76" y="2"/>
                          </a:cxn>
                        </a:cxnLst>
                        <a:rect l="0" t="0" r="r" b="b"/>
                        <a:pathLst>
                          <a:path w="76" h="45">
                            <a:moveTo>
                              <a:pt x="0" y="45"/>
                            </a:moveTo>
                            <a:cubicBezTo>
                              <a:pt x="17" y="27"/>
                              <a:pt x="41" y="9"/>
                              <a:pt x="54" y="2"/>
                            </a:cubicBezTo>
                            <a:cubicBezTo>
                              <a:pt x="65" y="0"/>
                              <a:pt x="66" y="2"/>
                              <a:pt x="76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185" name="Freeform 441">
                        <a:extLst>
                          <a:ext uri="{FF2B5EF4-FFF2-40B4-BE49-F238E27FC236}">
                            <a16:creationId xmlns:a16="http://schemas.microsoft.com/office/drawing/2014/main" id="{00000000-0008-0000-2100-0000B9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93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32186" name="Group 442">
                      <a:extLst>
                        <a:ext uri="{FF2B5EF4-FFF2-40B4-BE49-F238E27FC236}">
                          <a16:creationId xmlns:a16="http://schemas.microsoft.com/office/drawing/2014/main" id="{00000000-0008-0000-2100-0000BA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H="1" flipV="1">
                      <a:off x="736" y="150"/>
                      <a:ext cx="131" cy="47"/>
                      <a:chOff x="752" y="89"/>
                      <a:chExt cx="131" cy="47"/>
                    </a:xfrm>
                  </xdr:grpSpPr>
                  <xdr:sp macro="[0]!Макрос2а1" textlink="">
                    <xdr:nvSpPr>
                      <xdr:cNvPr id="32187" name="Freeform 443">
                        <a:extLst>
                          <a:ext uri="{FF2B5EF4-FFF2-40B4-BE49-F238E27FC236}">
                            <a16:creationId xmlns:a16="http://schemas.microsoft.com/office/drawing/2014/main" id="{00000000-0008-0000-2100-0000BB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63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188" name="Freeform 444">
                        <a:extLst>
                          <a:ext uri="{FF2B5EF4-FFF2-40B4-BE49-F238E27FC236}">
                            <a16:creationId xmlns:a16="http://schemas.microsoft.com/office/drawing/2014/main" id="{00000000-0008-0000-2100-0000BC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52" y="90"/>
                        <a:ext cx="76" cy="45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5"/>
                          </a:cxn>
                          <a:cxn ang="0">
                            <a:pos x="54" y="2"/>
                          </a:cxn>
                          <a:cxn ang="0">
                            <a:pos x="76" y="2"/>
                          </a:cxn>
                        </a:cxnLst>
                        <a:rect l="0" t="0" r="r" b="b"/>
                        <a:pathLst>
                          <a:path w="76" h="45">
                            <a:moveTo>
                              <a:pt x="0" y="45"/>
                            </a:moveTo>
                            <a:cubicBezTo>
                              <a:pt x="17" y="27"/>
                              <a:pt x="41" y="9"/>
                              <a:pt x="54" y="2"/>
                            </a:cubicBezTo>
                            <a:cubicBezTo>
                              <a:pt x="65" y="0"/>
                              <a:pt x="66" y="2"/>
                              <a:pt x="76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189" name="Freeform 445">
                        <a:extLst>
                          <a:ext uri="{FF2B5EF4-FFF2-40B4-BE49-F238E27FC236}">
                            <a16:creationId xmlns:a16="http://schemas.microsoft.com/office/drawing/2014/main" id="{00000000-0008-0000-2100-0000BD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93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2а1" textlink="">
                  <xdr:nvSpPr>
                    <xdr:cNvPr id="32190" name="Freeform 446">
                      <a:extLst>
                        <a:ext uri="{FF2B5EF4-FFF2-40B4-BE49-F238E27FC236}">
                          <a16:creationId xmlns:a16="http://schemas.microsoft.com/office/drawing/2014/main" id="{00000000-0008-0000-2100-0000BE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 flipH="1" flipV="1">
                      <a:off x="689" y="150"/>
                      <a:ext cx="75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60" y="1"/>
                        </a:cxn>
                        <a:cxn ang="0">
                          <a:pos x="75" y="4"/>
                        </a:cxn>
                      </a:cxnLst>
                      <a:rect l="0" t="0" r="r" b="b"/>
                      <a:pathLst>
                        <a:path w="75" h="45">
                          <a:moveTo>
                            <a:pt x="0" y="45"/>
                          </a:moveTo>
                          <a:cubicBezTo>
                            <a:pt x="29" y="20"/>
                            <a:pt x="46" y="6"/>
                            <a:pt x="60" y="1"/>
                          </a:cubicBezTo>
                          <a:cubicBezTo>
                            <a:pt x="69" y="0"/>
                            <a:pt x="70" y="2"/>
                            <a:pt x="75" y="4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91" name="Freeform 447">
                      <a:extLst>
                        <a:ext uri="{FF2B5EF4-FFF2-40B4-BE49-F238E27FC236}">
                          <a16:creationId xmlns:a16="http://schemas.microsoft.com/office/drawing/2014/main" id="{00000000-0008-0000-2100-0000BF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99" y="151"/>
                      <a:ext cx="77" cy="46"/>
                    </a:xfrm>
                    <a:custGeom>
                      <a:avLst/>
                      <a:gdLst/>
                      <a:ahLst/>
                      <a:cxnLst>
                        <a:cxn ang="0">
                          <a:pos x="77" y="0"/>
                        </a:cxn>
                        <a:cxn ang="0">
                          <a:pos x="22" y="44"/>
                        </a:cxn>
                        <a:cxn ang="0">
                          <a:pos x="0" y="44"/>
                        </a:cxn>
                      </a:cxnLst>
                      <a:rect l="0" t="0" r="r" b="b"/>
                      <a:pathLst>
                        <a:path w="77" h="46">
                          <a:moveTo>
                            <a:pt x="77" y="0"/>
                          </a:moveTo>
                          <a:cubicBezTo>
                            <a:pt x="60" y="18"/>
                            <a:pt x="36" y="35"/>
                            <a:pt x="22" y="44"/>
                          </a:cubicBezTo>
                          <a:cubicBezTo>
                            <a:pt x="11" y="46"/>
                            <a:pt x="10" y="44"/>
                            <a:pt x="0" y="44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92" name="Freeform 448">
                      <a:extLst>
                        <a:ext uri="{FF2B5EF4-FFF2-40B4-BE49-F238E27FC236}">
                          <a16:creationId xmlns:a16="http://schemas.microsoft.com/office/drawing/2014/main" id="{00000000-0008-0000-2100-0000C0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91" y="176"/>
                      <a:ext cx="42" cy="8"/>
                    </a:xfrm>
                    <a:custGeom>
                      <a:avLst/>
                      <a:gdLst/>
                      <a:ahLst/>
                      <a:cxnLst>
                        <a:cxn ang="0">
                          <a:pos x="42" y="0"/>
                        </a:cxn>
                        <a:cxn ang="0">
                          <a:pos x="13" y="7"/>
                        </a:cxn>
                        <a:cxn ang="0">
                          <a:pos x="0" y="5"/>
                        </a:cxn>
                      </a:cxnLst>
                      <a:rect l="0" t="0" r="r" b="b"/>
                      <a:pathLst>
                        <a:path w="42" h="8">
                          <a:moveTo>
                            <a:pt x="42" y="0"/>
                          </a:moveTo>
                          <a:cubicBezTo>
                            <a:pt x="35" y="4"/>
                            <a:pt x="28" y="7"/>
                            <a:pt x="13" y="7"/>
                          </a:cubicBezTo>
                          <a:cubicBezTo>
                            <a:pt x="6" y="8"/>
                            <a:pt x="3" y="5"/>
                            <a:pt x="0" y="5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93" name="Freeform 449">
                      <a:extLst>
                        <a:ext uri="{FF2B5EF4-FFF2-40B4-BE49-F238E27FC236}">
                          <a16:creationId xmlns:a16="http://schemas.microsoft.com/office/drawing/2014/main" id="{00000000-0008-0000-2100-0000C1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91" y="136"/>
                      <a:ext cx="336" cy="14"/>
                    </a:xfrm>
                    <a:custGeom>
                      <a:avLst/>
                      <a:gdLst/>
                      <a:ahLst/>
                      <a:cxnLst>
                        <a:cxn ang="0">
                          <a:pos x="336" y="14"/>
                        </a:cxn>
                        <a:cxn ang="0">
                          <a:pos x="0" y="14"/>
                        </a:cxn>
                        <a:cxn ang="0">
                          <a:pos x="0" y="2"/>
                        </a:cxn>
                        <a:cxn ang="0">
                          <a:pos x="333" y="2"/>
                        </a:cxn>
                        <a:cxn ang="0">
                          <a:pos x="336" y="14"/>
                        </a:cxn>
                      </a:cxnLst>
                      <a:rect l="0" t="0" r="r" b="b"/>
                      <a:pathLst>
                        <a:path w="336" h="14">
                          <a:moveTo>
                            <a:pt x="336" y="14"/>
                          </a:moveTo>
                          <a:cubicBezTo>
                            <a:pt x="283" y="14"/>
                            <a:pt x="57" y="14"/>
                            <a:pt x="0" y="14"/>
                          </a:cubicBezTo>
                          <a:cubicBezTo>
                            <a:pt x="0" y="0"/>
                            <a:pt x="0" y="9"/>
                            <a:pt x="0" y="2"/>
                          </a:cubicBezTo>
                          <a:cubicBezTo>
                            <a:pt x="164" y="2"/>
                            <a:pt x="277" y="2"/>
                            <a:pt x="333" y="2"/>
                          </a:cubicBezTo>
                          <a:cubicBezTo>
                            <a:pt x="334" y="10"/>
                            <a:pt x="336" y="8"/>
                            <a:pt x="336" y="14"/>
                          </a:cubicBezTo>
                          <a:close/>
                        </a:path>
                      </a:pathLst>
                    </a:custGeom>
                    <a:noFill/>
                    <a:ln w="9525" cap="flat" cmpd="sng">
                      <a:solidFill>
                        <a:srgbClr val="000000"/>
                      </a:solidFill>
                      <a:prstDash val="solid"/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94" name="Line 450">
                      <a:extLst>
                        <a:ext uri="{FF2B5EF4-FFF2-40B4-BE49-F238E27FC236}">
                          <a16:creationId xmlns:a16="http://schemas.microsoft.com/office/drawing/2014/main" id="{00000000-0008-0000-2100-0000C2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691" y="111"/>
                      <a:ext cx="0" cy="8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95" name="Freeform 451">
                      <a:extLst>
                        <a:ext uri="{FF2B5EF4-FFF2-40B4-BE49-F238E27FC236}">
                          <a16:creationId xmlns:a16="http://schemas.microsoft.com/office/drawing/2014/main" id="{00000000-0008-0000-2100-0000C3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1021" y="98"/>
                      <a:ext cx="6" cy="87"/>
                    </a:xfrm>
                    <a:custGeom>
                      <a:avLst/>
                      <a:gdLst/>
                      <a:ahLst/>
                      <a:cxnLst>
                        <a:cxn ang="0">
                          <a:pos x="3" y="0"/>
                        </a:cxn>
                        <a:cxn ang="0">
                          <a:pos x="4" y="10"/>
                        </a:cxn>
                        <a:cxn ang="0">
                          <a:pos x="2" y="22"/>
                        </a:cxn>
                        <a:cxn ang="0">
                          <a:pos x="4" y="30"/>
                        </a:cxn>
                        <a:cxn ang="0">
                          <a:pos x="3" y="43"/>
                        </a:cxn>
                        <a:cxn ang="0">
                          <a:pos x="6" y="51"/>
                        </a:cxn>
                        <a:cxn ang="0">
                          <a:pos x="3" y="60"/>
                        </a:cxn>
                        <a:cxn ang="0">
                          <a:pos x="2" y="70"/>
                        </a:cxn>
                        <a:cxn ang="0">
                          <a:pos x="3" y="80"/>
                        </a:cxn>
                        <a:cxn ang="0">
                          <a:pos x="0" y="85"/>
                        </a:cxn>
                        <a:cxn ang="0">
                          <a:pos x="1" y="87"/>
                        </a:cxn>
                      </a:cxnLst>
                      <a:rect l="0" t="0" r="r" b="b"/>
                      <a:pathLst>
                        <a:path w="6" h="87">
                          <a:moveTo>
                            <a:pt x="3" y="0"/>
                          </a:moveTo>
                          <a:cubicBezTo>
                            <a:pt x="3" y="3"/>
                            <a:pt x="4" y="6"/>
                            <a:pt x="4" y="10"/>
                          </a:cubicBezTo>
                          <a:cubicBezTo>
                            <a:pt x="4" y="14"/>
                            <a:pt x="2" y="19"/>
                            <a:pt x="2" y="22"/>
                          </a:cubicBezTo>
                          <a:cubicBezTo>
                            <a:pt x="2" y="25"/>
                            <a:pt x="4" y="27"/>
                            <a:pt x="4" y="30"/>
                          </a:cubicBezTo>
                          <a:cubicBezTo>
                            <a:pt x="4" y="33"/>
                            <a:pt x="3" y="40"/>
                            <a:pt x="3" y="43"/>
                          </a:cubicBezTo>
                          <a:cubicBezTo>
                            <a:pt x="3" y="46"/>
                            <a:pt x="6" y="48"/>
                            <a:pt x="6" y="51"/>
                          </a:cubicBezTo>
                          <a:cubicBezTo>
                            <a:pt x="6" y="54"/>
                            <a:pt x="4" y="57"/>
                            <a:pt x="3" y="60"/>
                          </a:cubicBezTo>
                          <a:cubicBezTo>
                            <a:pt x="2" y="63"/>
                            <a:pt x="2" y="67"/>
                            <a:pt x="2" y="70"/>
                          </a:cubicBezTo>
                          <a:cubicBezTo>
                            <a:pt x="2" y="73"/>
                            <a:pt x="3" y="78"/>
                            <a:pt x="3" y="80"/>
                          </a:cubicBezTo>
                          <a:cubicBezTo>
                            <a:pt x="3" y="82"/>
                            <a:pt x="0" y="84"/>
                            <a:pt x="0" y="85"/>
                          </a:cubicBezTo>
                          <a:cubicBezTo>
                            <a:pt x="0" y="86"/>
                            <a:pt x="1" y="87"/>
                            <a:pt x="1" y="8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196" name="Freeform 452">
                      <a:extLst>
                        <a:ext uri="{FF2B5EF4-FFF2-40B4-BE49-F238E27FC236}">
                          <a16:creationId xmlns:a16="http://schemas.microsoft.com/office/drawing/2014/main" id="{00000000-0008-0000-2100-0000C4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1011" y="183"/>
                      <a:ext cx="11" cy="4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"/>
                        </a:cxn>
                        <a:cxn ang="0">
                          <a:pos x="11" y="0"/>
                        </a:cxn>
                      </a:cxnLst>
                      <a:rect l="0" t="0" r="r" b="b"/>
                      <a:pathLst>
                        <a:path w="11" h="4">
                          <a:moveTo>
                            <a:pt x="0" y="4"/>
                          </a:moveTo>
                          <a:cubicBezTo>
                            <a:pt x="4" y="2"/>
                            <a:pt x="9" y="1"/>
                            <a:pt x="11" y="0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sp macro="[0]!Макрос2а1" textlink="">
                <xdr:nvSpPr>
                  <xdr:cNvPr id="32197" name="Line 453">
                    <a:extLst>
                      <a:ext uri="{FF2B5EF4-FFF2-40B4-BE49-F238E27FC236}">
                        <a16:creationId xmlns:a16="http://schemas.microsoft.com/office/drawing/2014/main" id="{00000000-0008-0000-2100-0000C57D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1070" y="135"/>
                    <a:ext cx="379" cy="0"/>
                  </a:xfrm>
                  <a:prstGeom prst="line">
                    <a:avLst/>
                  </a:prstGeom>
                  <a:noFill/>
                  <a:ln w="9525">
                    <a:solidFill>
                      <a:srgbClr val="FF0000"/>
                    </a:solidFill>
                    <a:prstDash val="lgDashDot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198" name="Group 454">
                  <a:extLst>
                    <a:ext uri="{FF2B5EF4-FFF2-40B4-BE49-F238E27FC236}">
                      <a16:creationId xmlns:a16="http://schemas.microsoft.com/office/drawing/2014/main" id="{00000000-0008-0000-2100-0000C6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128" y="33"/>
                  <a:ext cx="345" cy="172"/>
                  <a:chOff x="1128" y="33"/>
                  <a:chExt cx="345" cy="172"/>
                </a:xfrm>
              </xdr:grpSpPr>
              <xdr:grpSp>
                <xdr:nvGrpSpPr>
                  <xdr:cNvPr id="32199" name="Group 455">
                    <a:extLst>
                      <a:ext uri="{FF2B5EF4-FFF2-40B4-BE49-F238E27FC236}">
                        <a16:creationId xmlns:a16="http://schemas.microsoft.com/office/drawing/2014/main" id="{00000000-0008-0000-2100-0000C7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132" y="52"/>
                    <a:ext cx="191" cy="32"/>
                    <a:chOff x="1132" y="52"/>
                    <a:chExt cx="191" cy="32"/>
                  </a:xfrm>
                </xdr:grpSpPr>
                <xdr:sp macro="[0]!Макрос2а1" textlink="">
                  <xdr:nvSpPr>
                    <xdr:cNvPr id="32200" name="Line 456">
                      <a:extLst>
                        <a:ext uri="{FF2B5EF4-FFF2-40B4-BE49-F238E27FC236}">
                          <a16:creationId xmlns:a16="http://schemas.microsoft.com/office/drawing/2014/main" id="{00000000-0008-0000-2100-0000C8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6200000">
                      <a:off x="1116" y="68"/>
                      <a:ext cx="32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201" name="Line 457">
                      <a:extLst>
                        <a:ext uri="{FF2B5EF4-FFF2-40B4-BE49-F238E27FC236}">
                          <a16:creationId xmlns:a16="http://schemas.microsoft.com/office/drawing/2014/main" id="{00000000-0008-0000-2100-0000C9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6200000">
                      <a:off x="1213" y="68"/>
                      <a:ext cx="32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202" name="Line 458">
                      <a:extLst>
                        <a:ext uri="{FF2B5EF4-FFF2-40B4-BE49-F238E27FC236}">
                          <a16:creationId xmlns:a16="http://schemas.microsoft.com/office/drawing/2014/main" id="{00000000-0008-0000-2100-0000CA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6200000">
                      <a:off x="1307" y="68"/>
                      <a:ext cx="32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203" name="Line 459">
                      <a:extLst>
                        <a:ext uri="{FF2B5EF4-FFF2-40B4-BE49-F238E27FC236}">
                          <a16:creationId xmlns:a16="http://schemas.microsoft.com/office/drawing/2014/main" id="{00000000-0008-0000-2100-0000CB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133" y="61"/>
                      <a:ext cx="96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sp macro="[0]!Макрос2а1" textlink="">
                  <xdr:nvSpPr>
                    <xdr:cNvPr id="32204" name="Line 460">
                      <a:extLst>
                        <a:ext uri="{FF2B5EF4-FFF2-40B4-BE49-F238E27FC236}">
                          <a16:creationId xmlns:a16="http://schemas.microsoft.com/office/drawing/2014/main" id="{00000000-0008-0000-2100-0000CC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230" y="61"/>
                      <a:ext cx="92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</xdr:grpSp>
              <xdr:grpSp>
                <xdr:nvGrpSpPr>
                  <xdr:cNvPr id="32205" name="Group 461">
                    <a:extLst>
                      <a:ext uri="{FF2B5EF4-FFF2-40B4-BE49-F238E27FC236}">
                        <a16:creationId xmlns:a16="http://schemas.microsoft.com/office/drawing/2014/main" id="{00000000-0008-0000-2100-0000CD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128" y="145"/>
                    <a:ext cx="162" cy="44"/>
                    <a:chOff x="1128" y="145"/>
                    <a:chExt cx="162" cy="44"/>
                  </a:xfrm>
                </xdr:grpSpPr>
                <xdr:sp macro="[0]!Макрос2а1" textlink="">
                  <xdr:nvSpPr>
                    <xdr:cNvPr id="32206" name="Line 462">
                      <a:extLst>
                        <a:ext uri="{FF2B5EF4-FFF2-40B4-BE49-F238E27FC236}">
                          <a16:creationId xmlns:a16="http://schemas.microsoft.com/office/drawing/2014/main" id="{00000000-0008-0000-2100-0000CE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0800000" flipH="1">
                      <a:off x="1128" y="145"/>
                      <a:ext cx="19" cy="0"/>
                    </a:xfrm>
                    <a:prstGeom prst="line">
                      <a:avLst/>
                    </a:prstGeom>
                    <a:noFill/>
                    <a:ln w="38100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207" name="Line 463">
                      <a:extLst>
                        <a:ext uri="{FF2B5EF4-FFF2-40B4-BE49-F238E27FC236}">
                          <a16:creationId xmlns:a16="http://schemas.microsoft.com/office/drawing/2014/main" id="{00000000-0008-0000-2100-0000CF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-10800000">
                      <a:off x="1270" y="147"/>
                      <a:ext cx="20" cy="0"/>
                    </a:xfrm>
                    <a:prstGeom prst="line">
                      <a:avLst/>
                    </a:prstGeom>
                    <a:noFill/>
                    <a:ln w="38100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grpSp>
                  <xdr:nvGrpSpPr>
                    <xdr:cNvPr id="32208" name="Group 464">
                      <a:extLst>
                        <a:ext uri="{FF2B5EF4-FFF2-40B4-BE49-F238E27FC236}">
                          <a16:creationId xmlns:a16="http://schemas.microsoft.com/office/drawing/2014/main" id="{00000000-0008-0000-2100-0000D0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142" y="145"/>
                      <a:ext cx="134" cy="44"/>
                      <a:chOff x="1142" y="145"/>
                      <a:chExt cx="134" cy="44"/>
                    </a:xfrm>
                  </xdr:grpSpPr>
                  <xdr:sp macro="[0]!Макрос2а1" textlink="">
                    <xdr:nvSpPr>
                      <xdr:cNvPr id="32209" name="Line 465">
                        <a:extLst>
                          <a:ext uri="{FF2B5EF4-FFF2-40B4-BE49-F238E27FC236}">
                            <a16:creationId xmlns:a16="http://schemas.microsoft.com/office/drawing/2014/main" id="{00000000-0008-0000-2100-0000D1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-10800000" flipH="1" flipV="1">
                        <a:off x="1142" y="145"/>
                        <a:ext cx="0" cy="44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а1" textlink="">
                    <xdr:nvSpPr>
                      <xdr:cNvPr id="32210" name="Line 466">
                        <a:extLst>
                          <a:ext uri="{FF2B5EF4-FFF2-40B4-BE49-F238E27FC236}">
                            <a16:creationId xmlns:a16="http://schemas.microsoft.com/office/drawing/2014/main" id="{00000000-0008-0000-2100-0000D2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V="1">
                        <a:off x="1276" y="147"/>
                        <a:ext cx="0" cy="42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</xdr:grpSp>
              <xdr:grpSp>
                <xdr:nvGrpSpPr>
                  <xdr:cNvPr id="32211" name="Group 467">
                    <a:extLst>
                      <a:ext uri="{FF2B5EF4-FFF2-40B4-BE49-F238E27FC236}">
                        <a16:creationId xmlns:a16="http://schemas.microsoft.com/office/drawing/2014/main" id="{00000000-0008-0000-2100-0000D3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286" y="33"/>
                    <a:ext cx="44" cy="172"/>
                    <a:chOff x="1286" y="33"/>
                    <a:chExt cx="44" cy="172"/>
                  </a:xfrm>
                </xdr:grpSpPr>
                <xdr:grpSp>
                  <xdr:nvGrpSpPr>
                    <xdr:cNvPr id="32212" name="Group 468">
                      <a:extLst>
                        <a:ext uri="{FF2B5EF4-FFF2-40B4-BE49-F238E27FC236}">
                          <a16:creationId xmlns:a16="http://schemas.microsoft.com/office/drawing/2014/main" id="{00000000-0008-0000-2100-0000D4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286" y="33"/>
                      <a:ext cx="44" cy="39"/>
                      <a:chOff x="1286" y="33"/>
                      <a:chExt cx="44" cy="39"/>
                    </a:xfrm>
                  </xdr:grpSpPr>
                  <xdr:sp macro="[0]!Макрос2а1" textlink="">
                    <xdr:nvSpPr>
                      <xdr:cNvPr id="32213" name="Line 469">
                        <a:extLst>
                          <a:ext uri="{FF2B5EF4-FFF2-40B4-BE49-F238E27FC236}">
                            <a16:creationId xmlns:a16="http://schemas.microsoft.com/office/drawing/2014/main" id="{00000000-0008-0000-2100-0000D5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 flipH="1">
                        <a:off x="1310" y="53"/>
                        <a:ext cx="39" cy="0"/>
                      </a:xfrm>
                      <a:prstGeom prst="line">
                        <a:avLst/>
                      </a:prstGeom>
                      <a:noFill/>
                      <a:ln w="38100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14" name="Line 470">
                        <a:extLst>
                          <a:ext uri="{FF2B5EF4-FFF2-40B4-BE49-F238E27FC236}">
                            <a16:creationId xmlns:a16="http://schemas.microsoft.com/office/drawing/2014/main" id="{00000000-0008-0000-2100-0000D6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-5400000" flipH="1" flipV="1">
                        <a:off x="1308" y="25"/>
                        <a:ext cx="0" cy="44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215" name="Group 471">
                      <a:extLst>
                        <a:ext uri="{FF2B5EF4-FFF2-40B4-BE49-F238E27FC236}">
                          <a16:creationId xmlns:a16="http://schemas.microsoft.com/office/drawing/2014/main" id="{00000000-0008-0000-2100-0000D7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288" y="177"/>
                      <a:ext cx="42" cy="28"/>
                      <a:chOff x="1288" y="177"/>
                      <a:chExt cx="42" cy="28"/>
                    </a:xfrm>
                  </xdr:grpSpPr>
                  <xdr:sp macro="[0]!Макрос2а1" textlink="">
                    <xdr:nvSpPr>
                      <xdr:cNvPr id="32216" name="Line 472">
                        <a:extLst>
                          <a:ext uri="{FF2B5EF4-FFF2-40B4-BE49-F238E27FC236}">
                            <a16:creationId xmlns:a16="http://schemas.microsoft.com/office/drawing/2014/main" id="{00000000-0008-0000-2100-0000D8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-5400000">
                        <a:off x="1316" y="191"/>
                        <a:ext cx="28" cy="0"/>
                      </a:xfrm>
                      <a:prstGeom prst="line">
                        <a:avLst/>
                      </a:prstGeom>
                      <a:noFill/>
                      <a:ln w="38100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17" name="Line 473">
                        <a:extLst>
                          <a:ext uri="{FF2B5EF4-FFF2-40B4-BE49-F238E27FC236}">
                            <a16:creationId xmlns:a16="http://schemas.microsoft.com/office/drawing/2014/main" id="{00000000-0008-0000-2100-0000D9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 flipV="1">
                        <a:off x="1309" y="170"/>
                        <a:ext cx="0" cy="42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</xdr:grpSp>
              <xdr:grpSp>
                <xdr:nvGrpSpPr>
                  <xdr:cNvPr id="32218" name="Group 474">
                    <a:extLst>
                      <a:ext uri="{FF2B5EF4-FFF2-40B4-BE49-F238E27FC236}">
                        <a16:creationId xmlns:a16="http://schemas.microsoft.com/office/drawing/2014/main" id="{00000000-0008-0000-2100-0000DA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430" y="101"/>
                    <a:ext cx="43" cy="77"/>
                    <a:chOff x="1430" y="101"/>
                    <a:chExt cx="43" cy="77"/>
                  </a:xfrm>
                </xdr:grpSpPr>
                <xdr:grpSp>
                  <xdr:nvGrpSpPr>
                    <xdr:cNvPr id="32219" name="Group 475">
                      <a:extLst>
                        <a:ext uri="{FF2B5EF4-FFF2-40B4-BE49-F238E27FC236}">
                          <a16:creationId xmlns:a16="http://schemas.microsoft.com/office/drawing/2014/main" id="{00000000-0008-0000-2100-0000DB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462" y="101"/>
                      <a:ext cx="0" cy="77"/>
                      <a:chOff x="1454" y="101"/>
                      <a:chExt cx="0" cy="77"/>
                    </a:xfrm>
                  </xdr:grpSpPr>
                  <xdr:sp macro="[0]!Макрос2а1" textlink="">
                    <xdr:nvSpPr>
                      <xdr:cNvPr id="32220" name="Line 476">
                        <a:extLst>
                          <a:ext uri="{FF2B5EF4-FFF2-40B4-BE49-F238E27FC236}">
                            <a16:creationId xmlns:a16="http://schemas.microsoft.com/office/drawing/2014/main" id="{00000000-0008-0000-2100-0000DC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>
                        <a:off x="1454" y="128"/>
                        <a:ext cx="0" cy="13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21" name="Line 477">
                        <a:extLst>
                          <a:ext uri="{FF2B5EF4-FFF2-40B4-BE49-F238E27FC236}">
                            <a16:creationId xmlns:a16="http://schemas.microsoft.com/office/drawing/2014/main" id="{00000000-0008-0000-2100-0000DD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 flipV="1">
                        <a:off x="1454" y="141"/>
                        <a:ext cx="0" cy="37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а1" textlink="">
                    <xdr:nvSpPr>
                      <xdr:cNvPr id="32222" name="Line 478">
                        <a:extLst>
                          <a:ext uri="{FF2B5EF4-FFF2-40B4-BE49-F238E27FC236}">
                            <a16:creationId xmlns:a16="http://schemas.microsoft.com/office/drawing/2014/main" id="{00000000-0008-0000-2100-0000DE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>
                        <a:off x="1454" y="101"/>
                        <a:ext cx="0" cy="2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223" name="Group 479">
                      <a:extLst>
                        <a:ext uri="{FF2B5EF4-FFF2-40B4-BE49-F238E27FC236}">
                          <a16:creationId xmlns:a16="http://schemas.microsoft.com/office/drawing/2014/main" id="{00000000-0008-0000-2100-0000DF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10800000">
                      <a:off x="1430" y="130"/>
                      <a:ext cx="43" cy="12"/>
                      <a:chOff x="989" y="494"/>
                      <a:chExt cx="57" cy="25"/>
                    </a:xfrm>
                  </xdr:grpSpPr>
                  <xdr:sp macro="[0]!Макрос2а1" textlink="">
                    <xdr:nvSpPr>
                      <xdr:cNvPr id="32224" name="Line 480">
                        <a:extLst>
                          <a:ext uri="{FF2B5EF4-FFF2-40B4-BE49-F238E27FC236}">
                            <a16:creationId xmlns:a16="http://schemas.microsoft.com/office/drawing/2014/main" id="{00000000-0008-0000-2100-0000E0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25" name="Line 481">
                        <a:extLst>
                          <a:ext uri="{FF2B5EF4-FFF2-40B4-BE49-F238E27FC236}">
                            <a16:creationId xmlns:a16="http://schemas.microsoft.com/office/drawing/2014/main" id="{00000000-0008-0000-2100-0000E1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</xdr:grpSp>
          </xdr:grpSp>
          <xdr:grpSp>
            <xdr:nvGrpSpPr>
              <xdr:cNvPr id="32226" name="Group 482">
                <a:extLst>
                  <a:ext uri="{FF2B5EF4-FFF2-40B4-BE49-F238E27FC236}">
                    <a16:creationId xmlns:a16="http://schemas.microsoft.com/office/drawing/2014/main" id="{00000000-0008-0000-2100-0000E27D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230" y="116"/>
                <a:ext cx="61" cy="8"/>
                <a:chOff x="1226" y="116"/>
                <a:chExt cx="61" cy="8"/>
              </a:xfrm>
            </xdr:grpSpPr>
            <xdr:sp macro="[0]!Макрос2а1" textlink="">
              <xdr:nvSpPr>
                <xdr:cNvPr id="32227" name="Line 483">
                  <a:extLst>
                    <a:ext uri="{FF2B5EF4-FFF2-40B4-BE49-F238E27FC236}">
                      <a16:creationId xmlns:a16="http://schemas.microsoft.com/office/drawing/2014/main" id="{00000000-0008-0000-2100-0000E37D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17016995" flipH="1">
                  <a:off x="1259" y="115"/>
                  <a:ext cx="0" cy="9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/>
                  <a:tailEnd/>
                </a:ln>
              </xdr:spPr>
            </xdr:sp>
            <xdr:sp macro="[0]!Макрос2а1" textlink="">
              <xdr:nvSpPr>
                <xdr:cNvPr id="32228" name="Line 484">
                  <a:extLst>
                    <a:ext uri="{FF2B5EF4-FFF2-40B4-BE49-F238E27FC236}">
                      <a16:creationId xmlns:a16="http://schemas.microsoft.com/office/drawing/2014/main" id="{00000000-0008-0000-2100-0000E47D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17016995" flipH="1" flipV="1">
                  <a:off x="1240" y="102"/>
                  <a:ext cx="0" cy="28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 type="stealth" w="sm" len="lg"/>
                  <a:tailEnd/>
                </a:ln>
              </xdr:spPr>
            </xdr:sp>
            <xdr:sp macro="[0]!Макрос2а1" textlink="">
              <xdr:nvSpPr>
                <xdr:cNvPr id="32229" name="Line 485">
                  <a:extLst>
                    <a:ext uri="{FF2B5EF4-FFF2-40B4-BE49-F238E27FC236}">
                      <a16:creationId xmlns:a16="http://schemas.microsoft.com/office/drawing/2014/main" id="{00000000-0008-0000-2100-0000E57D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rot="17016995" flipH="1">
                  <a:off x="1274" y="111"/>
                  <a:ext cx="0" cy="26"/>
                </a:xfrm>
                <a:prstGeom prst="line">
                  <a:avLst/>
                </a:prstGeom>
                <a:noFill/>
                <a:ln w="9525">
                  <a:solidFill>
                    <a:srgbClr val="0000FF"/>
                  </a:solidFill>
                  <a:round/>
                  <a:headEnd type="stealth" w="sm" len="lg"/>
                  <a:tailEnd/>
                </a:ln>
              </xdr:spPr>
            </xdr:sp>
          </xdr:grpSp>
          <xdr:sp macro="[0]!Макрос2а1" textlink="">
            <xdr:nvSpPr>
              <xdr:cNvPr id="32230" name="Text Box 486">
                <a:extLst>
                  <a:ext uri="{FF2B5EF4-FFF2-40B4-BE49-F238E27FC236}">
                    <a16:creationId xmlns:a16="http://schemas.microsoft.com/office/drawing/2014/main" id="{00000000-0008-0000-2100-0000E6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20" y="152"/>
                <a:ext cx="22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Б</a:t>
                </a:r>
              </a:p>
            </xdr:txBody>
          </xdr:sp>
          <xdr:sp macro="[0]!Макрос2а1" textlink="">
            <xdr:nvSpPr>
              <xdr:cNvPr id="32231" name="Text Box 487">
                <a:extLst>
                  <a:ext uri="{FF2B5EF4-FFF2-40B4-BE49-F238E27FC236}">
                    <a16:creationId xmlns:a16="http://schemas.microsoft.com/office/drawing/2014/main" id="{00000000-0008-0000-2100-0000E7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82" y="152"/>
                <a:ext cx="22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Б</a:t>
                </a:r>
              </a:p>
            </xdr:txBody>
          </xdr:sp>
          <xdr:sp macro="[0]!Макрос2а1" textlink="">
            <xdr:nvSpPr>
              <xdr:cNvPr id="32232" name="Text Box 488">
                <a:extLst>
                  <a:ext uri="{FF2B5EF4-FFF2-40B4-BE49-F238E27FC236}">
                    <a16:creationId xmlns:a16="http://schemas.microsoft.com/office/drawing/2014/main" id="{00000000-0008-0000-2100-0000E8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36" y="151"/>
                <a:ext cx="32" cy="23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233" name="Text Box 489">
                <a:extLst>
                  <a:ext uri="{FF2B5EF4-FFF2-40B4-BE49-F238E27FC236}">
                    <a16:creationId xmlns:a16="http://schemas.microsoft.com/office/drawing/2014/main" id="{00000000-0008-0000-2100-0000E9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73" y="41"/>
                <a:ext cx="14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[0]!Макрос2а1" textlink="">
            <xdr:nvSpPr>
              <xdr:cNvPr id="32234" name="Text Box 490">
                <a:extLst>
                  <a:ext uri="{FF2B5EF4-FFF2-40B4-BE49-F238E27FC236}">
                    <a16:creationId xmlns:a16="http://schemas.microsoft.com/office/drawing/2014/main" id="{00000000-0008-0000-2100-0000EA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94" y="192"/>
                <a:ext cx="21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A</a:t>
                </a:r>
              </a:p>
            </xdr:txBody>
          </xdr:sp>
          <xdr:sp macro="[0]!Макрос2а1" textlink="">
            <xdr:nvSpPr>
              <xdr:cNvPr id="32235" name="Text Box 491">
                <a:extLst>
                  <a:ext uri="{FF2B5EF4-FFF2-40B4-BE49-F238E27FC236}">
                    <a16:creationId xmlns:a16="http://schemas.microsoft.com/office/drawing/2014/main" id="{00000000-0008-0000-2100-0000EB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95" y="26"/>
                <a:ext cx="21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A</a:t>
                </a:r>
              </a:p>
            </xdr:txBody>
          </xdr:sp>
          <xdr:sp macro="[0]!Макрос2а1" textlink="">
            <xdr:nvSpPr>
              <xdr:cNvPr id="32236" name="Text Box 492">
                <a:extLst>
                  <a:ext uri="{FF2B5EF4-FFF2-40B4-BE49-F238E27FC236}">
                    <a16:creationId xmlns:a16="http://schemas.microsoft.com/office/drawing/2014/main" id="{00000000-0008-0000-2100-0000EC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80" y="106"/>
                <a:ext cx="22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1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2а1" textlink="">
            <xdr:nvSpPr>
              <xdr:cNvPr id="32237" name="Text Box 493">
                <a:extLst>
                  <a:ext uri="{FF2B5EF4-FFF2-40B4-BE49-F238E27FC236}">
                    <a16:creationId xmlns:a16="http://schemas.microsoft.com/office/drawing/2014/main" id="{00000000-0008-0000-2100-0000ED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66" y="41"/>
                <a:ext cx="14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</xdr:grpSp>
        <xdr:grpSp>
          <xdr:nvGrpSpPr>
            <xdr:cNvPr id="32238" name="Group 494">
              <a:extLst>
                <a:ext uri="{FF2B5EF4-FFF2-40B4-BE49-F238E27FC236}">
                  <a16:creationId xmlns:a16="http://schemas.microsoft.com/office/drawing/2014/main" id="{00000000-0008-0000-2100-0000EE7D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601" y="38"/>
              <a:ext cx="35" cy="34"/>
              <a:chOff x="570" y="13"/>
              <a:chExt cx="35" cy="34"/>
            </a:xfrm>
          </xdr:grpSpPr>
          <xdr:sp macro="[0]!Макрос2а1" textlink="">
            <xdr:nvSpPr>
              <xdr:cNvPr id="32239" name="Oval 495">
                <a:extLst>
                  <a:ext uri="{FF2B5EF4-FFF2-40B4-BE49-F238E27FC236}">
                    <a16:creationId xmlns:a16="http://schemas.microsoft.com/office/drawing/2014/main" id="{00000000-0008-0000-2100-0000EF7D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570" y="13"/>
                <a:ext cx="34" cy="34"/>
              </a:xfrm>
              <a:prstGeom prst="ellipse">
                <a:avLst/>
              </a:prstGeom>
              <a:noFill/>
              <a:ln w="158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Макрос2а1" textlink="">
            <xdr:nvSpPr>
              <xdr:cNvPr id="32240" name="Text Box 496">
                <a:extLst>
                  <a:ext uri="{FF2B5EF4-FFF2-40B4-BE49-F238E27FC236}">
                    <a16:creationId xmlns:a16="http://schemas.microsoft.com/office/drawing/2014/main" id="{00000000-0008-0000-2100-0000F0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74" y="18"/>
                <a:ext cx="31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1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2a</a:t>
                </a:r>
              </a:p>
            </xdr:txBody>
          </xdr:sp>
        </xdr:grpSp>
        <xdr:grpSp>
          <xdr:nvGrpSpPr>
            <xdr:cNvPr id="32241" name="Group 497">
              <a:extLst>
                <a:ext uri="{FF2B5EF4-FFF2-40B4-BE49-F238E27FC236}">
                  <a16:creationId xmlns:a16="http://schemas.microsoft.com/office/drawing/2014/main" id="{00000000-0008-0000-2100-0000F17D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00" y="266"/>
              <a:ext cx="164" cy="117"/>
              <a:chOff x="540" y="459"/>
              <a:chExt cx="164" cy="117"/>
            </a:xfrm>
          </xdr:grpSpPr>
          <xdr:grpSp>
            <xdr:nvGrpSpPr>
              <xdr:cNvPr id="32242" name="Group 498">
                <a:extLst>
                  <a:ext uri="{FF2B5EF4-FFF2-40B4-BE49-F238E27FC236}">
                    <a16:creationId xmlns:a16="http://schemas.microsoft.com/office/drawing/2014/main" id="{00000000-0008-0000-2100-0000F27D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54" y="488"/>
                <a:ext cx="150" cy="88"/>
                <a:chOff x="554" y="488"/>
                <a:chExt cx="150" cy="88"/>
              </a:xfrm>
            </xdr:grpSpPr>
            <xdr:grpSp>
              <xdr:nvGrpSpPr>
                <xdr:cNvPr id="32243" name="Group 499">
                  <a:extLst>
                    <a:ext uri="{FF2B5EF4-FFF2-40B4-BE49-F238E27FC236}">
                      <a16:creationId xmlns:a16="http://schemas.microsoft.com/office/drawing/2014/main" id="{00000000-0008-0000-2100-0000F3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92" y="519"/>
                  <a:ext cx="112" cy="45"/>
                  <a:chOff x="592" y="519"/>
                  <a:chExt cx="112" cy="45"/>
                </a:xfrm>
              </xdr:grpSpPr>
              <xdr:sp macro="[0]!Макрос2а1" textlink="">
                <xdr:nvSpPr>
                  <xdr:cNvPr id="32244" name="Freeform 500">
                    <a:extLst>
                      <a:ext uri="{FF2B5EF4-FFF2-40B4-BE49-F238E27FC236}">
                        <a16:creationId xmlns:a16="http://schemas.microsoft.com/office/drawing/2014/main" id="{00000000-0008-0000-2100-0000F47D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594" y="519"/>
                    <a:ext cx="110" cy="15"/>
                  </a:xfrm>
                  <a:custGeom>
                    <a:avLst/>
                    <a:gdLst/>
                    <a:ahLst/>
                    <a:cxnLst>
                      <a:cxn ang="0">
                        <a:pos x="0" y="6"/>
                      </a:cxn>
                      <a:cxn ang="0">
                        <a:pos x="6" y="4"/>
                      </a:cxn>
                      <a:cxn ang="0">
                        <a:pos x="15" y="1"/>
                      </a:cxn>
                      <a:cxn ang="0">
                        <a:pos x="31" y="1"/>
                      </a:cxn>
                      <a:cxn ang="0">
                        <a:pos x="41" y="6"/>
                      </a:cxn>
                      <a:cxn ang="0">
                        <a:pos x="55" y="8"/>
                      </a:cxn>
                      <a:cxn ang="0">
                        <a:pos x="70" y="6"/>
                      </a:cxn>
                      <a:cxn ang="0">
                        <a:pos x="80" y="0"/>
                      </a:cxn>
                      <a:cxn ang="0">
                        <a:pos x="96" y="0"/>
                      </a:cxn>
                      <a:cxn ang="0">
                        <a:pos x="110" y="8"/>
                      </a:cxn>
                      <a:cxn ang="0">
                        <a:pos x="90" y="15"/>
                      </a:cxn>
                      <a:cxn ang="0">
                        <a:pos x="9" y="15"/>
                      </a:cxn>
                      <a:cxn ang="0">
                        <a:pos x="0" y="6"/>
                      </a:cxn>
                    </a:cxnLst>
                    <a:rect l="0" t="0" r="r" b="b"/>
                    <a:pathLst>
                      <a:path w="110" h="15">
                        <a:moveTo>
                          <a:pt x="0" y="6"/>
                        </a:moveTo>
                        <a:lnTo>
                          <a:pt x="6" y="4"/>
                        </a:lnTo>
                        <a:lnTo>
                          <a:pt x="15" y="1"/>
                        </a:lnTo>
                        <a:cubicBezTo>
                          <a:pt x="19" y="1"/>
                          <a:pt x="26" y="1"/>
                          <a:pt x="31" y="1"/>
                        </a:cubicBezTo>
                        <a:cubicBezTo>
                          <a:pt x="36" y="4"/>
                          <a:pt x="41" y="6"/>
                          <a:pt x="41" y="6"/>
                        </a:cubicBezTo>
                        <a:cubicBezTo>
                          <a:pt x="49" y="8"/>
                          <a:pt x="55" y="8"/>
                          <a:pt x="55" y="8"/>
                        </a:cubicBezTo>
                        <a:cubicBezTo>
                          <a:pt x="62" y="7"/>
                          <a:pt x="63" y="8"/>
                          <a:pt x="70" y="6"/>
                        </a:cubicBezTo>
                        <a:cubicBezTo>
                          <a:pt x="75" y="3"/>
                          <a:pt x="76" y="3"/>
                          <a:pt x="80" y="0"/>
                        </a:cubicBezTo>
                        <a:cubicBezTo>
                          <a:pt x="99" y="0"/>
                          <a:pt x="91" y="0"/>
                          <a:pt x="96" y="0"/>
                        </a:cubicBezTo>
                        <a:cubicBezTo>
                          <a:pt x="103" y="4"/>
                          <a:pt x="110" y="8"/>
                          <a:pt x="110" y="8"/>
                        </a:cubicBezTo>
                        <a:lnTo>
                          <a:pt x="90" y="15"/>
                        </a:lnTo>
                        <a:lnTo>
                          <a:pt x="9" y="15"/>
                        </a:lnTo>
                        <a:lnTo>
                          <a:pt x="0" y="6"/>
                        </a:lnTo>
                        <a:close/>
                      </a:path>
                    </a:pathLst>
                  </a:custGeom>
                  <a:noFill/>
                  <a:ln w="190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2а1" textlink="">
                <xdr:nvSpPr>
                  <xdr:cNvPr id="32245" name="Freeform 501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100-0000F57D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592" y="519"/>
                    <a:ext cx="112" cy="45"/>
                  </a:xfrm>
                  <a:custGeom>
                    <a:avLst/>
                    <a:gdLst/>
                    <a:ahLst/>
                    <a:cxnLst>
                      <a:cxn ang="0">
                        <a:pos x="2" y="6"/>
                      </a:cxn>
                      <a:cxn ang="0">
                        <a:pos x="8" y="4"/>
                      </a:cxn>
                      <a:cxn ang="0">
                        <a:pos x="17" y="1"/>
                      </a:cxn>
                      <a:cxn ang="0">
                        <a:pos x="33" y="1"/>
                      </a:cxn>
                      <a:cxn ang="0">
                        <a:pos x="43" y="6"/>
                      </a:cxn>
                      <a:cxn ang="0">
                        <a:pos x="57" y="8"/>
                      </a:cxn>
                      <a:cxn ang="0">
                        <a:pos x="72" y="6"/>
                      </a:cxn>
                      <a:cxn ang="0">
                        <a:pos x="82" y="0"/>
                      </a:cxn>
                      <a:cxn ang="0">
                        <a:pos x="98" y="0"/>
                      </a:cxn>
                      <a:cxn ang="0">
                        <a:pos x="112" y="8"/>
                      </a:cxn>
                      <a:cxn ang="0">
                        <a:pos x="112" y="24"/>
                      </a:cxn>
                      <a:cxn ang="0">
                        <a:pos x="108" y="32"/>
                      </a:cxn>
                      <a:cxn ang="0">
                        <a:pos x="90" y="41"/>
                      </a:cxn>
                      <a:cxn ang="0">
                        <a:pos x="65" y="45"/>
                      </a:cxn>
                      <a:cxn ang="0">
                        <a:pos x="48" y="39"/>
                      </a:cxn>
                      <a:cxn ang="0">
                        <a:pos x="25" y="43"/>
                      </a:cxn>
                      <a:cxn ang="0">
                        <a:pos x="5" y="36"/>
                      </a:cxn>
                      <a:cxn ang="0">
                        <a:pos x="0" y="27"/>
                      </a:cxn>
                      <a:cxn ang="0">
                        <a:pos x="1" y="16"/>
                      </a:cxn>
                      <a:cxn ang="0">
                        <a:pos x="2" y="6"/>
                      </a:cxn>
                    </a:cxnLst>
                    <a:rect l="0" t="0" r="r" b="b"/>
                    <a:pathLst>
                      <a:path w="112" h="45">
                        <a:moveTo>
                          <a:pt x="2" y="6"/>
                        </a:moveTo>
                        <a:lnTo>
                          <a:pt x="8" y="4"/>
                        </a:lnTo>
                        <a:lnTo>
                          <a:pt x="17" y="1"/>
                        </a:lnTo>
                        <a:cubicBezTo>
                          <a:pt x="21" y="1"/>
                          <a:pt x="28" y="1"/>
                          <a:pt x="33" y="1"/>
                        </a:cubicBezTo>
                        <a:cubicBezTo>
                          <a:pt x="38" y="4"/>
                          <a:pt x="43" y="6"/>
                          <a:pt x="43" y="6"/>
                        </a:cubicBezTo>
                        <a:cubicBezTo>
                          <a:pt x="51" y="8"/>
                          <a:pt x="57" y="8"/>
                          <a:pt x="57" y="8"/>
                        </a:cubicBezTo>
                        <a:cubicBezTo>
                          <a:pt x="64" y="7"/>
                          <a:pt x="65" y="8"/>
                          <a:pt x="72" y="6"/>
                        </a:cubicBezTo>
                        <a:cubicBezTo>
                          <a:pt x="77" y="3"/>
                          <a:pt x="78" y="3"/>
                          <a:pt x="82" y="0"/>
                        </a:cubicBezTo>
                        <a:cubicBezTo>
                          <a:pt x="101" y="0"/>
                          <a:pt x="93" y="0"/>
                          <a:pt x="98" y="0"/>
                        </a:cubicBezTo>
                        <a:cubicBezTo>
                          <a:pt x="105" y="4"/>
                          <a:pt x="112" y="8"/>
                          <a:pt x="112" y="8"/>
                        </a:cubicBezTo>
                        <a:lnTo>
                          <a:pt x="112" y="24"/>
                        </a:lnTo>
                        <a:lnTo>
                          <a:pt x="108" y="32"/>
                        </a:lnTo>
                        <a:lnTo>
                          <a:pt x="90" y="41"/>
                        </a:lnTo>
                        <a:lnTo>
                          <a:pt x="65" y="45"/>
                        </a:lnTo>
                        <a:lnTo>
                          <a:pt x="48" y="39"/>
                        </a:lnTo>
                        <a:lnTo>
                          <a:pt x="25" y="43"/>
                        </a:lnTo>
                        <a:lnTo>
                          <a:pt x="5" y="36"/>
                        </a:lnTo>
                        <a:lnTo>
                          <a:pt x="0" y="27"/>
                        </a:lnTo>
                        <a:lnTo>
                          <a:pt x="1" y="16"/>
                        </a:lnTo>
                        <a:lnTo>
                          <a:pt x="2" y="6"/>
                        </a:lnTo>
                        <a:close/>
                      </a:path>
                    </a:pathLst>
                  </a:custGeom>
                  <a:pattFill prst="ltDn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63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246" name="Group 502">
                  <a:extLst>
                    <a:ext uri="{FF2B5EF4-FFF2-40B4-BE49-F238E27FC236}">
                      <a16:creationId xmlns:a16="http://schemas.microsoft.com/office/drawing/2014/main" id="{00000000-0008-0000-2100-0000F6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54" y="488"/>
                  <a:ext cx="117" cy="88"/>
                  <a:chOff x="554" y="488"/>
                  <a:chExt cx="117" cy="88"/>
                </a:xfrm>
              </xdr:grpSpPr>
              <xdr:grpSp>
                <xdr:nvGrpSpPr>
                  <xdr:cNvPr id="32247" name="Group 503">
                    <a:extLst>
                      <a:ext uri="{FF2B5EF4-FFF2-40B4-BE49-F238E27FC236}">
                        <a16:creationId xmlns:a16="http://schemas.microsoft.com/office/drawing/2014/main" id="{00000000-0008-0000-2100-0000F7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54" y="488"/>
                    <a:ext cx="117" cy="88"/>
                    <a:chOff x="554" y="488"/>
                    <a:chExt cx="117" cy="88"/>
                  </a:xfrm>
                </xdr:grpSpPr>
                <xdr:grpSp>
                  <xdr:nvGrpSpPr>
                    <xdr:cNvPr id="32248" name="Group 504">
                      <a:extLst>
                        <a:ext uri="{FF2B5EF4-FFF2-40B4-BE49-F238E27FC236}">
                          <a16:creationId xmlns:a16="http://schemas.microsoft.com/office/drawing/2014/main" id="{00000000-0008-0000-2100-0000F8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54" y="488"/>
                      <a:ext cx="117" cy="60"/>
                      <a:chOff x="554" y="488"/>
                      <a:chExt cx="117" cy="60"/>
                    </a:xfrm>
                  </xdr:grpSpPr>
                  <xdr:sp macro="[0]!Макрос2а1" textlink="">
                    <xdr:nvSpPr>
                      <xdr:cNvPr id="32249" name="Line 505">
                        <a:extLst>
                          <a:ext uri="{FF2B5EF4-FFF2-40B4-BE49-F238E27FC236}">
                            <a16:creationId xmlns:a16="http://schemas.microsoft.com/office/drawing/2014/main" id="{00000000-0008-0000-2100-0000F9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554" y="518"/>
                        <a:ext cx="11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50" name="Line 506">
                        <a:extLst>
                          <a:ext uri="{FF2B5EF4-FFF2-40B4-BE49-F238E27FC236}">
                            <a16:creationId xmlns:a16="http://schemas.microsoft.com/office/drawing/2014/main" id="{00000000-0008-0000-2100-0000FA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554" y="528"/>
                        <a:ext cx="96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grpSp>
                    <xdr:nvGrpSpPr>
                      <xdr:cNvPr id="32251" name="Group 507">
                        <a:extLst>
                          <a:ext uri="{FF2B5EF4-FFF2-40B4-BE49-F238E27FC236}">
                            <a16:creationId xmlns:a16="http://schemas.microsoft.com/office/drawing/2014/main" id="{00000000-0008-0000-2100-0000FB7D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63" y="488"/>
                        <a:ext cx="0" cy="60"/>
                        <a:chOff x="563" y="488"/>
                        <a:chExt cx="0" cy="60"/>
                      </a:xfrm>
                    </xdr:grpSpPr>
                    <xdr:sp macro="[0]!Макрос2а1" textlink="">
                      <xdr:nvSpPr>
                        <xdr:cNvPr id="32252" name="Line 508">
                          <a:extLst>
                            <a:ext uri="{FF2B5EF4-FFF2-40B4-BE49-F238E27FC236}">
                              <a16:creationId xmlns:a16="http://schemas.microsoft.com/office/drawing/2014/main" id="{00000000-0008-0000-2100-0000FC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>
                          <a:off x="563" y="518"/>
                          <a:ext cx="0" cy="9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2а1" textlink="">
                      <xdr:nvSpPr>
                        <xdr:cNvPr id="32253" name="Line 509">
                          <a:extLst>
                            <a:ext uri="{FF2B5EF4-FFF2-40B4-BE49-F238E27FC236}">
                              <a16:creationId xmlns:a16="http://schemas.microsoft.com/office/drawing/2014/main" id="{00000000-0008-0000-2100-0000FD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flipV="1">
                          <a:off x="563" y="488"/>
                          <a:ext cx="0" cy="30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 type="stealth" w="sm" len="lg"/>
                          <a:tailEnd/>
                        </a:ln>
                      </xdr:spPr>
                    </xdr:sp>
                    <xdr:sp macro="[0]!Макрос2а1" textlink="">
                      <xdr:nvSpPr>
                        <xdr:cNvPr id="32254" name="Line 510">
                          <a:extLst>
                            <a:ext uri="{FF2B5EF4-FFF2-40B4-BE49-F238E27FC236}">
                              <a16:creationId xmlns:a16="http://schemas.microsoft.com/office/drawing/2014/main" id="{00000000-0008-0000-2100-0000FE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>
                          <a:off x="563" y="528"/>
                          <a:ext cx="0" cy="20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 type="stealth" w="sm" len="lg"/>
                          <a:tailEnd/>
                        </a:ln>
                      </xdr:spPr>
                    </xdr:sp>
                  </xdr:grpSp>
                </xdr:grpSp>
                <xdr:sp macro="[0]!Макрос2а1" textlink="">
                  <xdr:nvSpPr>
                    <xdr:cNvPr id="32255" name="Line 511">
                      <a:extLst>
                        <a:ext uri="{FF2B5EF4-FFF2-40B4-BE49-F238E27FC236}">
                          <a16:creationId xmlns:a16="http://schemas.microsoft.com/office/drawing/2014/main" id="{00000000-0008-0000-2100-0000FF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582" y="528"/>
                      <a:ext cx="0" cy="4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sp macro="[0]!Макрос2а1" textlink="">
                <xdr:nvSpPr>
                  <xdr:cNvPr id="32256" name="Freeform 512">
                    <a:extLst>
                      <a:ext uri="{FF2B5EF4-FFF2-40B4-BE49-F238E27FC236}">
                        <a16:creationId xmlns:a16="http://schemas.microsoft.com/office/drawing/2014/main" id="{00000000-0008-0000-2100-0000007E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19" y="506"/>
                    <a:ext cx="44" cy="19"/>
                  </a:xfrm>
                  <a:custGeom>
                    <a:avLst/>
                    <a:gdLst/>
                    <a:ahLst/>
                    <a:cxnLst>
                      <a:cxn ang="0">
                        <a:pos x="44" y="19"/>
                      </a:cxn>
                      <a:cxn ang="0">
                        <a:pos x="25" y="0"/>
                      </a:cxn>
                      <a:cxn ang="0">
                        <a:pos x="0" y="0"/>
                      </a:cxn>
                    </a:cxnLst>
                    <a:rect l="0" t="0" r="r" b="b"/>
                    <a:pathLst>
                      <a:path w="44" h="19">
                        <a:moveTo>
                          <a:pt x="44" y="19"/>
                        </a:moveTo>
                        <a:lnTo>
                          <a:pt x="25" y="0"/>
                        </a:lnTo>
                        <a:lnTo>
                          <a:pt x="0" y="0"/>
                        </a:lnTo>
                      </a:path>
                    </a:pathLst>
                  </a:custGeom>
                  <a:noFill/>
                  <a:ln w="9525" cap="flat" cmpd="sng">
                    <a:solidFill>
                      <a:srgbClr val="0000FF"/>
                    </a:solidFill>
                    <a:prstDash val="solid"/>
                    <a:round/>
                    <a:headEnd type="stealth" w="sm" len="lg"/>
                    <a:tailEnd type="none" w="med" len="med"/>
                  </a:ln>
                </xdr:spPr>
              </xdr:sp>
            </xdr:grpSp>
          </xdr:grpSp>
          <xdr:sp macro="[0]!Макрос2а1" textlink="">
            <xdr:nvSpPr>
              <xdr:cNvPr id="32257" name="Text Box 513">
                <a:extLst>
                  <a:ext uri="{FF2B5EF4-FFF2-40B4-BE49-F238E27FC236}">
                    <a16:creationId xmlns:a16="http://schemas.microsoft.com/office/drawing/2014/main" id="{00000000-0008-0000-2100-000001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621" y="481"/>
                <a:ext cx="21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r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258" name="Text Box 514">
                <a:extLst>
                  <a:ext uri="{FF2B5EF4-FFF2-40B4-BE49-F238E27FC236}">
                    <a16:creationId xmlns:a16="http://schemas.microsoft.com/office/drawing/2014/main" id="{00000000-0008-0000-2100-000002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40" y="486"/>
                <a:ext cx="32" cy="22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2а1" textlink="">
            <xdr:nvSpPr>
              <xdr:cNvPr id="32259" name="Text Box 515">
                <a:extLst>
                  <a:ext uri="{FF2B5EF4-FFF2-40B4-BE49-F238E27FC236}">
                    <a16:creationId xmlns:a16="http://schemas.microsoft.com/office/drawing/2014/main" id="{00000000-0008-0000-2100-000003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60" y="552"/>
                <a:ext cx="26" cy="17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</a:p>
            </xdr:txBody>
          </xdr:sp>
          <xdr:sp macro="[0]!Макрос2а1" textlink="">
            <xdr:nvSpPr>
              <xdr:cNvPr id="32260" name="Text Box 516">
                <a:extLst>
                  <a:ext uri="{FF2B5EF4-FFF2-40B4-BE49-F238E27FC236}">
                    <a16:creationId xmlns:a16="http://schemas.microsoft.com/office/drawing/2014/main" id="{00000000-0008-0000-2100-000004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602" y="459"/>
                <a:ext cx="47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sng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Б - Б</a:t>
                </a:r>
              </a:p>
            </xdr:txBody>
          </xdr:sp>
        </xdr:grpSp>
        <xdr:grpSp>
          <xdr:nvGrpSpPr>
            <xdr:cNvPr id="32261" name="Group 517">
              <a:extLst>
                <a:ext uri="{FF2B5EF4-FFF2-40B4-BE49-F238E27FC236}">
                  <a16:creationId xmlns:a16="http://schemas.microsoft.com/office/drawing/2014/main" id="{00000000-0008-0000-2100-0000057E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79" y="34"/>
              <a:ext cx="233" cy="238"/>
              <a:chOff x="669" y="163"/>
              <a:chExt cx="233" cy="238"/>
            </a:xfrm>
          </xdr:grpSpPr>
          <xdr:grpSp>
            <xdr:nvGrpSpPr>
              <xdr:cNvPr id="32262" name="Group 518">
                <a:extLst>
                  <a:ext uri="{FF2B5EF4-FFF2-40B4-BE49-F238E27FC236}">
                    <a16:creationId xmlns:a16="http://schemas.microsoft.com/office/drawing/2014/main" id="{00000000-0008-0000-2100-0000067E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69" y="215"/>
                <a:ext cx="233" cy="186"/>
                <a:chOff x="669" y="215"/>
                <a:chExt cx="233" cy="186"/>
              </a:xfrm>
            </xdr:grpSpPr>
            <xdr:grpSp>
              <xdr:nvGrpSpPr>
                <xdr:cNvPr id="32263" name="Group 519">
                  <a:extLst>
                    <a:ext uri="{FF2B5EF4-FFF2-40B4-BE49-F238E27FC236}">
                      <a16:creationId xmlns:a16="http://schemas.microsoft.com/office/drawing/2014/main" id="{00000000-0008-0000-2100-0000077E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82" y="215"/>
                  <a:ext cx="157" cy="146"/>
                  <a:chOff x="561" y="193"/>
                  <a:chExt cx="157" cy="148"/>
                </a:xfrm>
              </xdr:grpSpPr>
              <xdr:grpSp>
                <xdr:nvGrpSpPr>
                  <xdr:cNvPr id="32264" name="Group 520">
                    <a:extLst>
                      <a:ext uri="{FF2B5EF4-FFF2-40B4-BE49-F238E27FC236}">
                        <a16:creationId xmlns:a16="http://schemas.microsoft.com/office/drawing/2014/main" id="{00000000-0008-0000-2100-000008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87" y="215"/>
                    <a:ext cx="103" cy="103"/>
                    <a:chOff x="590" y="221"/>
                    <a:chExt cx="103" cy="103"/>
                  </a:xfrm>
                </xdr:grpSpPr>
                <xdr:sp macro="[0]!Макрос2а1" textlink="">
                  <xdr:nvSpPr>
                    <xdr:cNvPr id="32265" name="AutoShape 521">
                      <a:extLst>
                        <a:ext uri="{FF2B5EF4-FFF2-40B4-BE49-F238E27FC236}">
                          <a16:creationId xmlns:a16="http://schemas.microsoft.com/office/drawing/2014/main" id="{00000000-0008-0000-2100-0000097E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 rot="16200000" flipV="1">
                      <a:off x="620" y="258"/>
                      <a:ext cx="44" cy="88"/>
                    </a:xfrm>
                    <a:prstGeom prst="moon">
                      <a:avLst>
                        <a:gd name="adj" fmla="val 29162"/>
                      </a:avLst>
                    </a:prstGeom>
                    <a:noFill/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266" name="AutoShape 522">
                      <a:extLst>
                        <a:ext uri="{FF2B5EF4-FFF2-40B4-BE49-F238E27FC236}">
                          <a16:creationId xmlns:a16="http://schemas.microsoft.com/office/drawing/2014/main" id="{00000000-0008-0000-2100-00000A7E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 rot="5400000">
                      <a:off x="620" y="200"/>
                      <a:ext cx="44" cy="88"/>
                    </a:xfrm>
                    <a:prstGeom prst="moon">
                      <a:avLst>
                        <a:gd name="adj" fmla="val 29162"/>
                      </a:avLst>
                    </a:prstGeom>
                    <a:noFill/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267" name="Freeform 523" descr="Светлый диагональный 1">
                      <a:extLst>
                        <a:ext uri="{FF2B5EF4-FFF2-40B4-BE49-F238E27FC236}">
                          <a16:creationId xmlns:a16="http://schemas.microsoft.com/office/drawing/2014/main" id="{00000000-0008-0000-2100-00000B7E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590" y="221"/>
                      <a:ext cx="103" cy="101"/>
                    </a:xfrm>
                    <a:custGeom>
                      <a:avLst/>
                      <a:gdLst/>
                      <a:ahLst/>
                      <a:cxnLst>
                        <a:cxn ang="0">
                          <a:pos x="38" y="22"/>
                        </a:cxn>
                        <a:cxn ang="0">
                          <a:pos x="29" y="29"/>
                        </a:cxn>
                        <a:cxn ang="0">
                          <a:pos x="23" y="37"/>
                        </a:cxn>
                        <a:cxn ang="0">
                          <a:pos x="20" y="46"/>
                        </a:cxn>
                        <a:cxn ang="0">
                          <a:pos x="1" y="46"/>
                        </a:cxn>
                        <a:cxn ang="0">
                          <a:pos x="1" y="59"/>
                        </a:cxn>
                        <a:cxn ang="0">
                          <a:pos x="9" y="59"/>
                        </a:cxn>
                        <a:cxn ang="0">
                          <a:pos x="12" y="65"/>
                        </a:cxn>
                        <a:cxn ang="0">
                          <a:pos x="25" y="68"/>
                        </a:cxn>
                        <a:cxn ang="0">
                          <a:pos x="40" y="81"/>
                        </a:cxn>
                        <a:cxn ang="0">
                          <a:pos x="53" y="84"/>
                        </a:cxn>
                        <a:cxn ang="0">
                          <a:pos x="59" y="92"/>
                        </a:cxn>
                        <a:cxn ang="0">
                          <a:pos x="64" y="101"/>
                        </a:cxn>
                        <a:cxn ang="0">
                          <a:pos x="75" y="97"/>
                        </a:cxn>
                        <a:cxn ang="0">
                          <a:pos x="84" y="89"/>
                        </a:cxn>
                        <a:cxn ang="0">
                          <a:pos x="77" y="71"/>
                        </a:cxn>
                        <a:cxn ang="0">
                          <a:pos x="81" y="65"/>
                        </a:cxn>
                        <a:cxn ang="0">
                          <a:pos x="84" y="58"/>
                        </a:cxn>
                        <a:cxn ang="0">
                          <a:pos x="102" y="58"/>
                        </a:cxn>
                        <a:cxn ang="0">
                          <a:pos x="103" y="51"/>
                        </a:cxn>
                        <a:cxn ang="0">
                          <a:pos x="102" y="45"/>
                        </a:cxn>
                        <a:cxn ang="0">
                          <a:pos x="84" y="45"/>
                        </a:cxn>
                        <a:cxn ang="0">
                          <a:pos x="80" y="35"/>
                        </a:cxn>
                        <a:cxn ang="0">
                          <a:pos x="74" y="24"/>
                        </a:cxn>
                        <a:cxn ang="0">
                          <a:pos x="63" y="13"/>
                        </a:cxn>
                        <a:cxn ang="0">
                          <a:pos x="63" y="2"/>
                        </a:cxn>
                        <a:cxn ang="0">
                          <a:pos x="52" y="0"/>
                        </a:cxn>
                        <a:cxn ang="0">
                          <a:pos x="41" y="1"/>
                        </a:cxn>
                        <a:cxn ang="0">
                          <a:pos x="38" y="22"/>
                        </a:cxn>
                      </a:cxnLst>
                      <a:rect l="0" t="0" r="r" b="b"/>
                      <a:pathLst>
                        <a:path w="103" h="101">
                          <a:moveTo>
                            <a:pt x="38" y="22"/>
                          </a:moveTo>
                          <a:cubicBezTo>
                            <a:pt x="35" y="24"/>
                            <a:pt x="33" y="26"/>
                            <a:pt x="29" y="29"/>
                          </a:cubicBezTo>
                          <a:cubicBezTo>
                            <a:pt x="25" y="33"/>
                            <a:pt x="26" y="33"/>
                            <a:pt x="23" y="37"/>
                          </a:cubicBezTo>
                          <a:cubicBezTo>
                            <a:pt x="21" y="41"/>
                            <a:pt x="21" y="42"/>
                            <a:pt x="20" y="46"/>
                          </a:cubicBezTo>
                          <a:cubicBezTo>
                            <a:pt x="15" y="46"/>
                            <a:pt x="8" y="46"/>
                            <a:pt x="1" y="46"/>
                          </a:cubicBezTo>
                          <a:cubicBezTo>
                            <a:pt x="0" y="53"/>
                            <a:pt x="0" y="53"/>
                            <a:pt x="1" y="59"/>
                          </a:cubicBezTo>
                          <a:cubicBezTo>
                            <a:pt x="7" y="59"/>
                            <a:pt x="4" y="59"/>
                            <a:pt x="9" y="59"/>
                          </a:cubicBezTo>
                          <a:cubicBezTo>
                            <a:pt x="11" y="62"/>
                            <a:pt x="9" y="61"/>
                            <a:pt x="12" y="65"/>
                          </a:cubicBezTo>
                          <a:cubicBezTo>
                            <a:pt x="15" y="69"/>
                            <a:pt x="22" y="65"/>
                            <a:pt x="25" y="68"/>
                          </a:cubicBezTo>
                          <a:cubicBezTo>
                            <a:pt x="29" y="74"/>
                            <a:pt x="33" y="77"/>
                            <a:pt x="40" y="81"/>
                          </a:cubicBezTo>
                          <a:cubicBezTo>
                            <a:pt x="43" y="82"/>
                            <a:pt x="47" y="83"/>
                            <a:pt x="53" y="84"/>
                          </a:cubicBezTo>
                          <a:cubicBezTo>
                            <a:pt x="56" y="89"/>
                            <a:pt x="56" y="88"/>
                            <a:pt x="59" y="92"/>
                          </a:cubicBezTo>
                          <a:cubicBezTo>
                            <a:pt x="61" y="97"/>
                            <a:pt x="62" y="96"/>
                            <a:pt x="64" y="101"/>
                          </a:cubicBezTo>
                          <a:cubicBezTo>
                            <a:pt x="69" y="100"/>
                            <a:pt x="71" y="99"/>
                            <a:pt x="75" y="97"/>
                          </a:cubicBezTo>
                          <a:cubicBezTo>
                            <a:pt x="80" y="94"/>
                            <a:pt x="81" y="92"/>
                            <a:pt x="84" y="89"/>
                          </a:cubicBezTo>
                          <a:cubicBezTo>
                            <a:pt x="81" y="84"/>
                            <a:pt x="79" y="76"/>
                            <a:pt x="77" y="71"/>
                          </a:cubicBezTo>
                          <a:cubicBezTo>
                            <a:pt x="80" y="68"/>
                            <a:pt x="79" y="69"/>
                            <a:pt x="81" y="65"/>
                          </a:cubicBezTo>
                          <a:cubicBezTo>
                            <a:pt x="83" y="61"/>
                            <a:pt x="83" y="62"/>
                            <a:pt x="84" y="58"/>
                          </a:cubicBezTo>
                          <a:cubicBezTo>
                            <a:pt x="90" y="58"/>
                            <a:pt x="96" y="58"/>
                            <a:pt x="102" y="58"/>
                          </a:cubicBezTo>
                          <a:cubicBezTo>
                            <a:pt x="103" y="53"/>
                            <a:pt x="103" y="54"/>
                            <a:pt x="103" y="51"/>
                          </a:cubicBezTo>
                          <a:cubicBezTo>
                            <a:pt x="103" y="47"/>
                            <a:pt x="103" y="50"/>
                            <a:pt x="102" y="45"/>
                          </a:cubicBezTo>
                          <a:cubicBezTo>
                            <a:pt x="95" y="45"/>
                            <a:pt x="89" y="45"/>
                            <a:pt x="84" y="45"/>
                          </a:cubicBezTo>
                          <a:cubicBezTo>
                            <a:pt x="83" y="43"/>
                            <a:pt x="82" y="38"/>
                            <a:pt x="80" y="35"/>
                          </a:cubicBezTo>
                          <a:cubicBezTo>
                            <a:pt x="78" y="30"/>
                            <a:pt x="77" y="29"/>
                            <a:pt x="74" y="24"/>
                          </a:cubicBezTo>
                          <a:cubicBezTo>
                            <a:pt x="71" y="20"/>
                            <a:pt x="65" y="16"/>
                            <a:pt x="63" y="13"/>
                          </a:cubicBezTo>
                          <a:cubicBezTo>
                            <a:pt x="63" y="8"/>
                            <a:pt x="63" y="7"/>
                            <a:pt x="63" y="2"/>
                          </a:cubicBezTo>
                          <a:cubicBezTo>
                            <a:pt x="60" y="1"/>
                            <a:pt x="57" y="0"/>
                            <a:pt x="52" y="0"/>
                          </a:cubicBezTo>
                          <a:cubicBezTo>
                            <a:pt x="47" y="0"/>
                            <a:pt x="44" y="0"/>
                            <a:pt x="41" y="1"/>
                          </a:cubicBezTo>
                          <a:cubicBezTo>
                            <a:pt x="41" y="12"/>
                            <a:pt x="39" y="11"/>
                            <a:pt x="38" y="22"/>
                          </a:cubicBezTo>
                          <a:close/>
                        </a:path>
                      </a:pathLst>
                    </a:custGeom>
                    <a:pattFill prst="ltDnDiag">
                      <a:fgClr>
                        <a:srgbClr val="000000"/>
                      </a:fgClr>
                      <a:bgClr>
                        <a:srgbClr val="FFFFFF"/>
                      </a:bgClr>
                    </a:pattFill>
                    <a:ln w="6350" cap="flat" cmpd="sng">
                      <a:solidFill>
                        <a:srgbClr val="000000"/>
                      </a:solidFill>
                      <a:prstDash val="solid"/>
                      <a:round/>
                      <a:headEnd/>
                      <a:tailEnd/>
                    </a:ln>
                    <a:effectLst/>
                  </xdr:spPr>
                </xdr:sp>
                <xdr:sp macro="[0]!Макрос2а1" textlink="">
                  <xdr:nvSpPr>
                    <xdr:cNvPr id="32268" name="Oval 524">
                      <a:extLst>
                        <a:ext uri="{FF2B5EF4-FFF2-40B4-BE49-F238E27FC236}">
                          <a16:creationId xmlns:a16="http://schemas.microsoft.com/office/drawing/2014/main" id="{00000000-0008-0000-2100-00000C7E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610" y="240"/>
                      <a:ext cx="64" cy="64"/>
                    </a:xfrm>
                    <a:prstGeom prst="ellipse">
                      <a:avLst/>
                    </a:pr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32269" name="Group 525">
                    <a:extLst>
                      <a:ext uri="{FF2B5EF4-FFF2-40B4-BE49-F238E27FC236}">
                        <a16:creationId xmlns:a16="http://schemas.microsoft.com/office/drawing/2014/main" id="{00000000-0008-0000-2100-00000D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61" y="193"/>
                    <a:ext cx="157" cy="148"/>
                    <a:chOff x="115" y="28"/>
                    <a:chExt cx="157" cy="148"/>
                  </a:xfrm>
                </xdr:grpSpPr>
                <xdr:sp macro="[0]!Макрос2а1" textlink="">
                  <xdr:nvSpPr>
                    <xdr:cNvPr id="32270" name="Line 526">
                      <a:extLst>
                        <a:ext uri="{FF2B5EF4-FFF2-40B4-BE49-F238E27FC236}">
                          <a16:creationId xmlns:a16="http://schemas.microsoft.com/office/drawing/2014/main" id="{00000000-0008-0000-2100-00000E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92" y="28"/>
                      <a:ext cx="0" cy="148"/>
                    </a:xfrm>
                    <a:prstGeom prst="line">
                      <a:avLst/>
                    </a:prstGeom>
                    <a:noFill/>
                    <a:ln w="6350">
                      <a:solidFill>
                        <a:srgbClr val="FF0000"/>
                      </a:solidFill>
                      <a:prstDash val="lgDashDot"/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271" name="Line 527">
                      <a:extLst>
                        <a:ext uri="{FF2B5EF4-FFF2-40B4-BE49-F238E27FC236}">
                          <a16:creationId xmlns:a16="http://schemas.microsoft.com/office/drawing/2014/main" id="{00000000-0008-0000-2100-00000F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15" y="102"/>
                      <a:ext cx="157" cy="0"/>
                    </a:xfrm>
                    <a:prstGeom prst="line">
                      <a:avLst/>
                    </a:prstGeom>
                    <a:noFill/>
                    <a:ln w="6350">
                      <a:solidFill>
                        <a:srgbClr val="FF0000"/>
                      </a:solidFill>
                      <a:prstDash val="lgDashDot"/>
                      <a:round/>
                      <a:headEnd/>
                      <a:tailEnd/>
                    </a:ln>
                  </xdr:spPr>
                </xdr:sp>
              </xdr:grpSp>
            </xdr:grpSp>
            <xdr:grpSp>
              <xdr:nvGrpSpPr>
                <xdr:cNvPr id="32272" name="Group 528">
                  <a:extLst>
                    <a:ext uri="{FF2B5EF4-FFF2-40B4-BE49-F238E27FC236}">
                      <a16:creationId xmlns:a16="http://schemas.microsoft.com/office/drawing/2014/main" id="{00000000-0008-0000-2100-0000107E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69" y="220"/>
                  <a:ext cx="233" cy="181"/>
                  <a:chOff x="669" y="220"/>
                  <a:chExt cx="233" cy="181"/>
                </a:xfrm>
              </xdr:grpSpPr>
              <xdr:grpSp>
                <xdr:nvGrpSpPr>
                  <xdr:cNvPr id="32273" name="Group 529">
                    <a:extLst>
                      <a:ext uri="{FF2B5EF4-FFF2-40B4-BE49-F238E27FC236}">
                        <a16:creationId xmlns:a16="http://schemas.microsoft.com/office/drawing/2014/main" id="{00000000-0008-0000-2100-000011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669" y="220"/>
                    <a:ext cx="78" cy="62"/>
                    <a:chOff x="669" y="220"/>
                    <a:chExt cx="78" cy="62"/>
                  </a:xfrm>
                </xdr:grpSpPr>
                <xdr:grpSp>
                  <xdr:nvGrpSpPr>
                    <xdr:cNvPr id="32274" name="Group 530">
                      <a:extLst>
                        <a:ext uri="{FF2B5EF4-FFF2-40B4-BE49-F238E27FC236}">
                          <a16:creationId xmlns:a16="http://schemas.microsoft.com/office/drawing/2014/main" id="{00000000-0008-0000-2100-000012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69" y="229"/>
                      <a:ext cx="78" cy="0"/>
                      <a:chOff x="669" y="229"/>
                      <a:chExt cx="78" cy="0"/>
                    </a:xfrm>
                  </xdr:grpSpPr>
                  <xdr:sp macro="[0]!Макрос2а1" textlink="">
                    <xdr:nvSpPr>
                      <xdr:cNvPr id="32275" name="Line 531">
                        <a:extLst>
                          <a:ext uri="{FF2B5EF4-FFF2-40B4-BE49-F238E27FC236}">
                            <a16:creationId xmlns:a16="http://schemas.microsoft.com/office/drawing/2014/main" id="{00000000-0008-0000-2100-000013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>
                        <a:off x="718" y="220"/>
                        <a:ext cx="0" cy="1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76" name="Line 532">
                        <a:extLst>
                          <a:ext uri="{FF2B5EF4-FFF2-40B4-BE49-F238E27FC236}">
                            <a16:creationId xmlns:a16="http://schemas.microsoft.com/office/drawing/2014/main" id="{00000000-0008-0000-2100-000014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 flipV="1">
                        <a:off x="737" y="219"/>
                        <a:ext cx="0" cy="2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а1" textlink="">
                    <xdr:nvSpPr>
                      <xdr:cNvPr id="32277" name="Line 533">
                        <a:extLst>
                          <a:ext uri="{FF2B5EF4-FFF2-40B4-BE49-F238E27FC236}">
                            <a16:creationId xmlns:a16="http://schemas.microsoft.com/office/drawing/2014/main" id="{00000000-0008-0000-2100-000015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>
                        <a:off x="689" y="209"/>
                        <a:ext cx="0" cy="4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278" name="Group 534">
                      <a:extLst>
                        <a:ext uri="{FF2B5EF4-FFF2-40B4-BE49-F238E27FC236}">
                          <a16:creationId xmlns:a16="http://schemas.microsoft.com/office/drawing/2014/main" id="{00000000-0008-0000-2100-000016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5400000">
                      <a:off x="689" y="242"/>
                      <a:ext cx="62" cy="17"/>
                      <a:chOff x="989" y="494"/>
                      <a:chExt cx="57" cy="25"/>
                    </a:xfrm>
                  </xdr:grpSpPr>
                  <xdr:sp macro="[0]!Макрос2а1" textlink="">
                    <xdr:nvSpPr>
                      <xdr:cNvPr id="32279" name="Line 535">
                        <a:extLst>
                          <a:ext uri="{FF2B5EF4-FFF2-40B4-BE49-F238E27FC236}">
                            <a16:creationId xmlns:a16="http://schemas.microsoft.com/office/drawing/2014/main" id="{00000000-0008-0000-2100-000017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80" name="Line 536">
                        <a:extLst>
                          <a:ext uri="{FF2B5EF4-FFF2-40B4-BE49-F238E27FC236}">
                            <a16:creationId xmlns:a16="http://schemas.microsoft.com/office/drawing/2014/main" id="{00000000-0008-0000-2100-000018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281" name="Group 537">
                    <a:extLst>
                      <a:ext uri="{FF2B5EF4-FFF2-40B4-BE49-F238E27FC236}">
                        <a16:creationId xmlns:a16="http://schemas.microsoft.com/office/drawing/2014/main" id="{00000000-0008-0000-2100-000019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H="1">
                    <a:off x="774" y="220"/>
                    <a:ext cx="78" cy="62"/>
                    <a:chOff x="669" y="220"/>
                    <a:chExt cx="78" cy="62"/>
                  </a:xfrm>
                </xdr:grpSpPr>
                <xdr:grpSp>
                  <xdr:nvGrpSpPr>
                    <xdr:cNvPr id="32282" name="Group 538">
                      <a:extLst>
                        <a:ext uri="{FF2B5EF4-FFF2-40B4-BE49-F238E27FC236}">
                          <a16:creationId xmlns:a16="http://schemas.microsoft.com/office/drawing/2014/main" id="{00000000-0008-0000-2100-00001A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69" y="229"/>
                      <a:ext cx="78" cy="0"/>
                      <a:chOff x="669" y="229"/>
                      <a:chExt cx="78" cy="0"/>
                    </a:xfrm>
                  </xdr:grpSpPr>
                  <xdr:sp macro="[0]!Макрос2а1" textlink="">
                    <xdr:nvSpPr>
                      <xdr:cNvPr id="32283" name="Line 539">
                        <a:extLst>
                          <a:ext uri="{FF2B5EF4-FFF2-40B4-BE49-F238E27FC236}">
                            <a16:creationId xmlns:a16="http://schemas.microsoft.com/office/drawing/2014/main" id="{00000000-0008-0000-2100-00001B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>
                        <a:off x="718" y="220"/>
                        <a:ext cx="0" cy="1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84" name="Line 540">
                        <a:extLst>
                          <a:ext uri="{FF2B5EF4-FFF2-40B4-BE49-F238E27FC236}">
                            <a16:creationId xmlns:a16="http://schemas.microsoft.com/office/drawing/2014/main" id="{00000000-0008-0000-2100-00001C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 flipV="1">
                        <a:off x="737" y="219"/>
                        <a:ext cx="0" cy="2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а1" textlink="">
                    <xdr:nvSpPr>
                      <xdr:cNvPr id="32285" name="Line 541">
                        <a:extLst>
                          <a:ext uri="{FF2B5EF4-FFF2-40B4-BE49-F238E27FC236}">
                            <a16:creationId xmlns:a16="http://schemas.microsoft.com/office/drawing/2014/main" id="{00000000-0008-0000-2100-00001D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>
                        <a:off x="689" y="209"/>
                        <a:ext cx="0" cy="4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286" name="Group 542">
                      <a:extLst>
                        <a:ext uri="{FF2B5EF4-FFF2-40B4-BE49-F238E27FC236}">
                          <a16:creationId xmlns:a16="http://schemas.microsoft.com/office/drawing/2014/main" id="{00000000-0008-0000-2100-00001E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5400000">
                      <a:off x="689" y="242"/>
                      <a:ext cx="62" cy="17"/>
                      <a:chOff x="989" y="494"/>
                      <a:chExt cx="57" cy="25"/>
                    </a:xfrm>
                  </xdr:grpSpPr>
                  <xdr:sp macro="[0]!Макрос2а1" textlink="">
                    <xdr:nvSpPr>
                      <xdr:cNvPr id="32287" name="Line 543">
                        <a:extLst>
                          <a:ext uri="{FF2B5EF4-FFF2-40B4-BE49-F238E27FC236}">
                            <a16:creationId xmlns:a16="http://schemas.microsoft.com/office/drawing/2014/main" id="{00000000-0008-0000-2100-00001F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88" name="Line 544">
                        <a:extLst>
                          <a:ext uri="{FF2B5EF4-FFF2-40B4-BE49-F238E27FC236}">
                            <a16:creationId xmlns:a16="http://schemas.microsoft.com/office/drawing/2014/main" id="{00000000-0008-0000-2100-000020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289" name="Group 545">
                    <a:extLst>
                      <a:ext uri="{FF2B5EF4-FFF2-40B4-BE49-F238E27FC236}">
                        <a16:creationId xmlns:a16="http://schemas.microsoft.com/office/drawing/2014/main" id="{00000000-0008-0000-2100-000021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813" y="246"/>
                    <a:ext cx="47" cy="71"/>
                    <a:chOff x="813" y="246"/>
                    <a:chExt cx="47" cy="71"/>
                  </a:xfrm>
                </xdr:grpSpPr>
                <xdr:grpSp>
                  <xdr:nvGrpSpPr>
                    <xdr:cNvPr id="32290" name="Group 546">
                      <a:extLst>
                        <a:ext uri="{FF2B5EF4-FFF2-40B4-BE49-F238E27FC236}">
                          <a16:creationId xmlns:a16="http://schemas.microsoft.com/office/drawing/2014/main" id="{00000000-0008-0000-2100-000022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850" y="246"/>
                      <a:ext cx="0" cy="71"/>
                      <a:chOff x="850" y="246"/>
                      <a:chExt cx="0" cy="71"/>
                    </a:xfrm>
                  </xdr:grpSpPr>
                  <xdr:sp macro="[0]!Макрос2а1" textlink="">
                    <xdr:nvSpPr>
                      <xdr:cNvPr id="32291" name="Line 547">
                        <a:extLst>
                          <a:ext uri="{FF2B5EF4-FFF2-40B4-BE49-F238E27FC236}">
                            <a16:creationId xmlns:a16="http://schemas.microsoft.com/office/drawing/2014/main" id="{00000000-0008-0000-2100-000023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>
                        <a:off x="850" y="280"/>
                        <a:ext cx="0" cy="13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92" name="Line 548">
                        <a:extLst>
                          <a:ext uri="{FF2B5EF4-FFF2-40B4-BE49-F238E27FC236}">
                            <a16:creationId xmlns:a16="http://schemas.microsoft.com/office/drawing/2014/main" id="{00000000-0008-0000-2100-000024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 flipV="1">
                        <a:off x="850" y="292"/>
                        <a:ext cx="0" cy="25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а1" textlink="">
                    <xdr:nvSpPr>
                      <xdr:cNvPr id="32293" name="Line 549">
                        <a:extLst>
                          <a:ext uri="{FF2B5EF4-FFF2-40B4-BE49-F238E27FC236}">
                            <a16:creationId xmlns:a16="http://schemas.microsoft.com/office/drawing/2014/main" id="{00000000-0008-0000-2100-000025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>
                        <a:off x="850" y="246"/>
                        <a:ext cx="0" cy="35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294" name="Group 550">
                      <a:extLst>
                        <a:ext uri="{FF2B5EF4-FFF2-40B4-BE49-F238E27FC236}">
                          <a16:creationId xmlns:a16="http://schemas.microsoft.com/office/drawing/2014/main" id="{00000000-0008-0000-2100-000026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10800000">
                      <a:off x="813" y="281"/>
                      <a:ext cx="47" cy="13"/>
                      <a:chOff x="989" y="494"/>
                      <a:chExt cx="57" cy="25"/>
                    </a:xfrm>
                  </xdr:grpSpPr>
                  <xdr:sp macro="[0]!Макрос2а1" textlink="">
                    <xdr:nvSpPr>
                      <xdr:cNvPr id="32295" name="Line 551">
                        <a:extLst>
                          <a:ext uri="{FF2B5EF4-FFF2-40B4-BE49-F238E27FC236}">
                            <a16:creationId xmlns:a16="http://schemas.microsoft.com/office/drawing/2014/main" id="{00000000-0008-0000-2100-000027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296" name="Line 552">
                        <a:extLst>
                          <a:ext uri="{FF2B5EF4-FFF2-40B4-BE49-F238E27FC236}">
                            <a16:creationId xmlns:a16="http://schemas.microsoft.com/office/drawing/2014/main" id="{00000000-0008-0000-2100-000028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297" name="Group 553">
                    <a:extLst>
                      <a:ext uri="{FF2B5EF4-FFF2-40B4-BE49-F238E27FC236}">
                        <a16:creationId xmlns:a16="http://schemas.microsoft.com/office/drawing/2014/main" id="{00000000-0008-0000-2100-000029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61" y="237"/>
                    <a:ext cx="141" cy="102"/>
                    <a:chOff x="761" y="237"/>
                    <a:chExt cx="141" cy="102"/>
                  </a:xfrm>
                </xdr:grpSpPr>
                <xdr:sp macro="[0]!Макрос2а1" textlink="">
                  <xdr:nvSpPr>
                    <xdr:cNvPr id="32298" name="Line 554">
                      <a:extLst>
                        <a:ext uri="{FF2B5EF4-FFF2-40B4-BE49-F238E27FC236}">
                          <a16:creationId xmlns:a16="http://schemas.microsoft.com/office/drawing/2014/main" id="{00000000-0008-0000-2100-00002A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0800000" flipH="1">
                      <a:off x="891" y="237"/>
                      <a:ext cx="0" cy="102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grpSp>
                  <xdr:nvGrpSpPr>
                    <xdr:cNvPr id="32299" name="Group 555">
                      <a:extLst>
                        <a:ext uri="{FF2B5EF4-FFF2-40B4-BE49-F238E27FC236}">
                          <a16:creationId xmlns:a16="http://schemas.microsoft.com/office/drawing/2014/main" id="{00000000-0008-0000-2100-00002B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10800000">
                      <a:off x="761" y="237"/>
                      <a:ext cx="141" cy="102"/>
                      <a:chOff x="989" y="494"/>
                      <a:chExt cx="57" cy="25"/>
                    </a:xfrm>
                  </xdr:grpSpPr>
                  <xdr:sp macro="[0]!Макрос2а1" textlink="">
                    <xdr:nvSpPr>
                      <xdr:cNvPr id="32300" name="Line 556">
                        <a:extLst>
                          <a:ext uri="{FF2B5EF4-FFF2-40B4-BE49-F238E27FC236}">
                            <a16:creationId xmlns:a16="http://schemas.microsoft.com/office/drawing/2014/main" id="{00000000-0008-0000-2100-00002C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301" name="Line 557">
                        <a:extLst>
                          <a:ext uri="{FF2B5EF4-FFF2-40B4-BE49-F238E27FC236}">
                            <a16:creationId xmlns:a16="http://schemas.microsoft.com/office/drawing/2014/main" id="{00000000-0008-0000-2100-00002D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302" name="Group 558">
                    <a:extLst>
                      <a:ext uri="{FF2B5EF4-FFF2-40B4-BE49-F238E27FC236}">
                        <a16:creationId xmlns:a16="http://schemas.microsoft.com/office/drawing/2014/main" id="{00000000-0008-0000-2100-00002E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08" y="295"/>
                    <a:ext cx="104" cy="106"/>
                    <a:chOff x="708" y="295"/>
                    <a:chExt cx="104" cy="106"/>
                  </a:xfrm>
                </xdr:grpSpPr>
                <xdr:sp macro="[0]!Макрос2а1" textlink="">
                  <xdr:nvSpPr>
                    <xdr:cNvPr id="32303" name="Line 559">
                      <a:extLst>
                        <a:ext uri="{FF2B5EF4-FFF2-40B4-BE49-F238E27FC236}">
                          <a16:creationId xmlns:a16="http://schemas.microsoft.com/office/drawing/2014/main" id="{00000000-0008-0000-2100-00002F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6200000" flipH="1">
                      <a:off x="759" y="337"/>
                      <a:ext cx="0" cy="102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grpSp>
                  <xdr:nvGrpSpPr>
                    <xdr:cNvPr id="32304" name="Group 560">
                      <a:extLst>
                        <a:ext uri="{FF2B5EF4-FFF2-40B4-BE49-F238E27FC236}">
                          <a16:creationId xmlns:a16="http://schemas.microsoft.com/office/drawing/2014/main" id="{00000000-0008-0000-2100-000030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16200000">
                      <a:off x="708" y="296"/>
                      <a:ext cx="106" cy="103"/>
                      <a:chOff x="989" y="494"/>
                      <a:chExt cx="57" cy="25"/>
                    </a:xfrm>
                  </xdr:grpSpPr>
                  <xdr:sp macro="[0]!Макрос2а1" textlink="">
                    <xdr:nvSpPr>
                      <xdr:cNvPr id="32305" name="Line 561">
                        <a:extLst>
                          <a:ext uri="{FF2B5EF4-FFF2-40B4-BE49-F238E27FC236}">
                            <a16:creationId xmlns:a16="http://schemas.microsoft.com/office/drawing/2014/main" id="{00000000-0008-0000-2100-000031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306" name="Line 562">
                        <a:extLst>
                          <a:ext uri="{FF2B5EF4-FFF2-40B4-BE49-F238E27FC236}">
                            <a16:creationId xmlns:a16="http://schemas.microsoft.com/office/drawing/2014/main" id="{00000000-0008-0000-2100-000032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307" name="Group 563">
                    <a:extLst>
                      <a:ext uri="{FF2B5EF4-FFF2-40B4-BE49-F238E27FC236}">
                        <a16:creationId xmlns:a16="http://schemas.microsoft.com/office/drawing/2014/main" id="{00000000-0008-0000-2100-000033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14" y="258"/>
                    <a:ext cx="58" cy="103"/>
                    <a:chOff x="714" y="258"/>
                    <a:chExt cx="58" cy="103"/>
                  </a:xfrm>
                </xdr:grpSpPr>
                <xdr:sp macro="[0]!Макрос2а1" textlink="">
                  <xdr:nvSpPr>
                    <xdr:cNvPr id="32308" name="Line 564">
                      <a:extLst>
                        <a:ext uri="{FF2B5EF4-FFF2-40B4-BE49-F238E27FC236}">
                          <a16:creationId xmlns:a16="http://schemas.microsoft.com/office/drawing/2014/main" id="{00000000-0008-0000-2100-000034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641945" flipH="1">
                      <a:off x="748" y="258"/>
                      <a:ext cx="24" cy="5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sp macro="[0]!Макрос2а1" textlink="">
                  <xdr:nvSpPr>
                    <xdr:cNvPr id="32309" name="Freeform 565">
                      <a:extLst>
                        <a:ext uri="{FF2B5EF4-FFF2-40B4-BE49-F238E27FC236}">
                          <a16:creationId xmlns:a16="http://schemas.microsoft.com/office/drawing/2014/main" id="{00000000-0008-0000-2100-0000357E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14" y="315"/>
                      <a:ext cx="42" cy="46"/>
                    </a:xfrm>
                    <a:custGeom>
                      <a:avLst/>
                      <a:gdLst/>
                      <a:ahLst/>
                      <a:cxnLst>
                        <a:cxn ang="0">
                          <a:pos x="28" y="0"/>
                        </a:cxn>
                        <a:cxn ang="0">
                          <a:pos x="0" y="46"/>
                        </a:cxn>
                        <a:cxn ang="0">
                          <a:pos x="42" y="46"/>
                        </a:cxn>
                      </a:cxnLst>
                      <a:rect l="0" t="0" r="r" b="b"/>
                      <a:pathLst>
                        <a:path w="42" h="46">
                          <a:moveTo>
                            <a:pt x="28" y="0"/>
                          </a:moveTo>
                          <a:lnTo>
                            <a:pt x="0" y="46"/>
                          </a:lnTo>
                          <a:lnTo>
                            <a:pt x="42" y="46"/>
                          </a:lnTo>
                        </a:path>
                      </a:pathLst>
                    </a:cu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</xdr:grpSp>
          <xdr:grpSp>
            <xdr:nvGrpSpPr>
              <xdr:cNvPr id="32310" name="Group 566">
                <a:extLst>
                  <a:ext uri="{FF2B5EF4-FFF2-40B4-BE49-F238E27FC236}">
                    <a16:creationId xmlns:a16="http://schemas.microsoft.com/office/drawing/2014/main" id="{00000000-0008-0000-2100-0000367E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711" y="203"/>
                <a:ext cx="44" cy="72"/>
                <a:chOff x="711" y="203"/>
                <a:chExt cx="44" cy="72"/>
              </a:xfrm>
            </xdr:grpSpPr>
            <xdr:grpSp>
              <xdr:nvGrpSpPr>
                <xdr:cNvPr id="32311" name="Group 567">
                  <a:extLst>
                    <a:ext uri="{FF2B5EF4-FFF2-40B4-BE49-F238E27FC236}">
                      <a16:creationId xmlns:a16="http://schemas.microsoft.com/office/drawing/2014/main" id="{00000000-0008-0000-2100-0000377E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11" y="203"/>
                  <a:ext cx="44" cy="19"/>
                  <a:chOff x="711" y="203"/>
                  <a:chExt cx="44" cy="19"/>
                </a:xfrm>
              </xdr:grpSpPr>
              <xdr:sp macro="[0]!Макрос2а1" textlink="">
                <xdr:nvSpPr>
                  <xdr:cNvPr id="32312" name="Line 568">
                    <a:extLst>
                      <a:ext uri="{FF2B5EF4-FFF2-40B4-BE49-F238E27FC236}">
                        <a16:creationId xmlns:a16="http://schemas.microsoft.com/office/drawing/2014/main" id="{00000000-0008-0000-2100-0000387E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H="1">
                    <a:off x="745" y="213"/>
                    <a:ext cx="19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2а1" textlink="">
                <xdr:nvSpPr>
                  <xdr:cNvPr id="32313" name="Line 569">
                    <a:extLst>
                      <a:ext uri="{FF2B5EF4-FFF2-40B4-BE49-F238E27FC236}">
                        <a16:creationId xmlns:a16="http://schemas.microsoft.com/office/drawing/2014/main" id="{00000000-0008-0000-2100-0000397E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 flipH="1" flipV="1">
                    <a:off x="733" y="195"/>
                    <a:ext cx="0" cy="44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grpSp>
              <xdr:nvGrpSpPr>
                <xdr:cNvPr id="32314" name="Group 570">
                  <a:extLst>
                    <a:ext uri="{FF2B5EF4-FFF2-40B4-BE49-F238E27FC236}">
                      <a16:creationId xmlns:a16="http://schemas.microsoft.com/office/drawing/2014/main" id="{00000000-0008-0000-2100-00003A7E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13" y="255"/>
                  <a:ext cx="42" cy="20"/>
                  <a:chOff x="713" y="248"/>
                  <a:chExt cx="42" cy="20"/>
                </a:xfrm>
              </xdr:grpSpPr>
              <xdr:sp macro="[0]!Макрос2а1" textlink="">
                <xdr:nvSpPr>
                  <xdr:cNvPr id="32315" name="Line 571">
                    <a:extLst>
                      <a:ext uri="{FF2B5EF4-FFF2-40B4-BE49-F238E27FC236}">
                        <a16:creationId xmlns:a16="http://schemas.microsoft.com/office/drawing/2014/main" id="{00000000-0008-0000-2100-00003B7E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>
                    <a:off x="745" y="258"/>
                    <a:ext cx="20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2а1" textlink="">
                <xdr:nvSpPr>
                  <xdr:cNvPr id="32316" name="Line 572">
                    <a:extLst>
                      <a:ext uri="{FF2B5EF4-FFF2-40B4-BE49-F238E27FC236}">
                        <a16:creationId xmlns:a16="http://schemas.microsoft.com/office/drawing/2014/main" id="{00000000-0008-0000-2100-00003C7E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V="1">
                    <a:off x="734" y="233"/>
                    <a:ext cx="0" cy="42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</xdr:grpSp>
          <xdr:sp macro="[0]!Макрос2а1" textlink="">
            <xdr:nvSpPr>
              <xdr:cNvPr id="32317" name="Text Box 573">
                <a:extLst>
                  <a:ext uri="{FF2B5EF4-FFF2-40B4-BE49-F238E27FC236}">
                    <a16:creationId xmlns:a16="http://schemas.microsoft.com/office/drawing/2014/main" id="{00000000-0008-0000-2100-00003D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2" y="197"/>
                <a:ext cx="22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2а1" textlink="">
            <xdr:nvSpPr>
              <xdr:cNvPr id="32318" name="Text Box 574">
                <a:extLst>
                  <a:ext uri="{FF2B5EF4-FFF2-40B4-BE49-F238E27FC236}">
                    <a16:creationId xmlns:a16="http://schemas.microsoft.com/office/drawing/2014/main" id="{00000000-0008-0000-2100-00003E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6" y="261"/>
                <a:ext cx="22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2а1" textlink="">
            <xdr:nvSpPr>
              <xdr:cNvPr id="32319" name="Text Box 575">
                <a:extLst>
                  <a:ext uri="{FF2B5EF4-FFF2-40B4-BE49-F238E27FC236}">
                    <a16:creationId xmlns:a16="http://schemas.microsoft.com/office/drawing/2014/main" id="{00000000-0008-0000-2100-00003F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676" y="204"/>
                <a:ext cx="24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320" name="Text Box 576">
                <a:extLst>
                  <a:ext uri="{FF2B5EF4-FFF2-40B4-BE49-F238E27FC236}">
                    <a16:creationId xmlns:a16="http://schemas.microsoft.com/office/drawing/2014/main" id="{00000000-0008-0000-2100-000040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51" y="362"/>
                <a:ext cx="25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321" name="Text Box 577">
                <a:extLst>
                  <a:ext uri="{FF2B5EF4-FFF2-40B4-BE49-F238E27FC236}">
                    <a16:creationId xmlns:a16="http://schemas.microsoft.com/office/drawing/2014/main" id="{00000000-0008-0000-2100-000041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7" y="340"/>
                <a:ext cx="31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Symbol"/>
                  </a:rPr>
                  <a:t>Æ</a:t>
                </a: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</a:p>
            </xdr:txBody>
          </xdr:sp>
          <xdr:sp macro="[0]!Макрос2а1" textlink="">
            <xdr:nvSpPr>
              <xdr:cNvPr id="32322" name="Text Box 578">
                <a:extLst>
                  <a:ext uri="{FF2B5EF4-FFF2-40B4-BE49-F238E27FC236}">
                    <a16:creationId xmlns:a16="http://schemas.microsoft.com/office/drawing/2014/main" id="{00000000-0008-0000-2100-000042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28" y="204"/>
                <a:ext cx="24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323" name="Text Box 579">
                <a:extLst>
                  <a:ext uri="{FF2B5EF4-FFF2-40B4-BE49-F238E27FC236}">
                    <a16:creationId xmlns:a16="http://schemas.microsoft.com/office/drawing/2014/main" id="{00000000-0008-0000-2100-000043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67" y="276"/>
                <a:ext cx="32" cy="23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324" name="Text Box 580">
                <a:extLst>
                  <a:ext uri="{FF2B5EF4-FFF2-40B4-BE49-F238E27FC236}">
                    <a16:creationId xmlns:a16="http://schemas.microsoft.com/office/drawing/2014/main" id="{00000000-0008-0000-2100-000044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26" y="246"/>
                <a:ext cx="32" cy="23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325" name="Text Box 581">
                <a:extLst>
                  <a:ext uri="{FF2B5EF4-FFF2-40B4-BE49-F238E27FC236}">
                    <a16:creationId xmlns:a16="http://schemas.microsoft.com/office/drawing/2014/main" id="{00000000-0008-0000-2100-000045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39" y="163"/>
                <a:ext cx="45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sng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A - A</a:t>
                </a:r>
              </a:p>
            </xdr:txBody>
          </xdr:sp>
        </xdr:grpSp>
        <xdr:grpSp>
          <xdr:nvGrpSpPr>
            <xdr:cNvPr id="32326" name="Group 582">
              <a:extLst>
                <a:ext uri="{FF2B5EF4-FFF2-40B4-BE49-F238E27FC236}">
                  <a16:creationId xmlns:a16="http://schemas.microsoft.com/office/drawing/2014/main" id="{00000000-0008-0000-2100-0000467E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596" y="243"/>
              <a:ext cx="245" cy="134"/>
              <a:chOff x="894" y="283"/>
              <a:chExt cx="245" cy="134"/>
            </a:xfrm>
          </xdr:grpSpPr>
          <xdr:grpSp>
            <xdr:nvGrpSpPr>
              <xdr:cNvPr id="32327" name="Group 583">
                <a:extLst>
                  <a:ext uri="{FF2B5EF4-FFF2-40B4-BE49-F238E27FC236}">
                    <a16:creationId xmlns:a16="http://schemas.microsoft.com/office/drawing/2014/main" id="{00000000-0008-0000-2100-0000477E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94" y="305"/>
                <a:ext cx="245" cy="112"/>
                <a:chOff x="712" y="359"/>
                <a:chExt cx="245" cy="112"/>
              </a:xfrm>
            </xdr:grpSpPr>
            <xdr:grpSp>
              <xdr:nvGrpSpPr>
                <xdr:cNvPr id="32328" name="Group 584">
                  <a:extLst>
                    <a:ext uri="{FF2B5EF4-FFF2-40B4-BE49-F238E27FC236}">
                      <a16:creationId xmlns:a16="http://schemas.microsoft.com/office/drawing/2014/main" id="{00000000-0008-0000-2100-0000487E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20" y="400"/>
                  <a:ext cx="141" cy="43"/>
                  <a:chOff x="720" y="400"/>
                  <a:chExt cx="141" cy="43"/>
                </a:xfrm>
              </xdr:grpSpPr>
              <xdr:sp macro="[0]!Макрос2а1" textlink="">
                <xdr:nvSpPr>
                  <xdr:cNvPr id="32329" name="Freeform 585">
                    <a:extLst>
                      <a:ext uri="{FF2B5EF4-FFF2-40B4-BE49-F238E27FC236}">
                        <a16:creationId xmlns:a16="http://schemas.microsoft.com/office/drawing/2014/main" id="{00000000-0008-0000-2100-0000497E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21" y="400"/>
                    <a:ext cx="140" cy="31"/>
                  </a:xfrm>
                  <a:custGeom>
                    <a:avLst/>
                    <a:gdLst/>
                    <a:ahLst/>
                    <a:cxnLst>
                      <a:cxn ang="0">
                        <a:pos x="0" y="19"/>
                      </a:cxn>
                      <a:cxn ang="0">
                        <a:pos x="15" y="13"/>
                      </a:cxn>
                      <a:cxn ang="0">
                        <a:pos x="21" y="0"/>
                      </a:cxn>
                      <a:cxn ang="0">
                        <a:pos x="34" y="0"/>
                      </a:cxn>
                      <a:cxn ang="0">
                        <a:pos x="39" y="14"/>
                      </a:cxn>
                      <a:cxn ang="0">
                        <a:pos x="53" y="20"/>
                      </a:cxn>
                      <a:cxn ang="0">
                        <a:pos x="78" y="23"/>
                      </a:cxn>
                      <a:cxn ang="0">
                        <a:pos x="98" y="20"/>
                      </a:cxn>
                      <a:cxn ang="0">
                        <a:pos x="109" y="14"/>
                      </a:cxn>
                      <a:cxn ang="0">
                        <a:pos x="113" y="1"/>
                      </a:cxn>
                      <a:cxn ang="0">
                        <a:pos x="124" y="1"/>
                      </a:cxn>
                      <a:cxn ang="0">
                        <a:pos x="128" y="14"/>
                      </a:cxn>
                      <a:cxn ang="0">
                        <a:pos x="140" y="20"/>
                      </a:cxn>
                      <a:cxn ang="0">
                        <a:pos x="117" y="29"/>
                      </a:cxn>
                      <a:cxn ang="0">
                        <a:pos x="45" y="31"/>
                      </a:cxn>
                      <a:cxn ang="0">
                        <a:pos x="17" y="28"/>
                      </a:cxn>
                      <a:cxn ang="0">
                        <a:pos x="0" y="19"/>
                      </a:cxn>
                    </a:cxnLst>
                    <a:rect l="0" t="0" r="r" b="b"/>
                    <a:pathLst>
                      <a:path w="140" h="31">
                        <a:moveTo>
                          <a:pt x="0" y="19"/>
                        </a:moveTo>
                        <a:lnTo>
                          <a:pt x="15" y="13"/>
                        </a:lnTo>
                        <a:lnTo>
                          <a:pt x="21" y="0"/>
                        </a:lnTo>
                        <a:lnTo>
                          <a:pt x="34" y="0"/>
                        </a:lnTo>
                        <a:cubicBezTo>
                          <a:pt x="34" y="0"/>
                          <a:pt x="36" y="7"/>
                          <a:pt x="39" y="14"/>
                        </a:cubicBezTo>
                        <a:cubicBezTo>
                          <a:pt x="46" y="18"/>
                          <a:pt x="45" y="17"/>
                          <a:pt x="53" y="20"/>
                        </a:cubicBezTo>
                        <a:cubicBezTo>
                          <a:pt x="65" y="23"/>
                          <a:pt x="65" y="23"/>
                          <a:pt x="78" y="23"/>
                        </a:cubicBezTo>
                        <a:cubicBezTo>
                          <a:pt x="89" y="23"/>
                          <a:pt x="90" y="22"/>
                          <a:pt x="98" y="20"/>
                        </a:cubicBezTo>
                        <a:cubicBezTo>
                          <a:pt x="104" y="17"/>
                          <a:pt x="104" y="17"/>
                          <a:pt x="109" y="14"/>
                        </a:cubicBezTo>
                        <a:cubicBezTo>
                          <a:pt x="111" y="7"/>
                          <a:pt x="113" y="1"/>
                          <a:pt x="113" y="1"/>
                        </a:cubicBezTo>
                        <a:lnTo>
                          <a:pt x="124" y="1"/>
                        </a:lnTo>
                        <a:lnTo>
                          <a:pt x="128" y="14"/>
                        </a:lnTo>
                        <a:lnTo>
                          <a:pt x="140" y="20"/>
                        </a:lnTo>
                        <a:lnTo>
                          <a:pt x="117" y="29"/>
                        </a:lnTo>
                        <a:lnTo>
                          <a:pt x="45" y="31"/>
                        </a:lnTo>
                        <a:lnTo>
                          <a:pt x="17" y="28"/>
                        </a:lnTo>
                        <a:lnTo>
                          <a:pt x="0" y="19"/>
                        </a:lnTo>
                        <a:close/>
                      </a:path>
                    </a:pathLst>
                  </a:custGeom>
                  <a:noFill/>
                  <a:ln w="190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2а1" textlink="">
                <xdr:nvSpPr>
                  <xdr:cNvPr id="32330" name="Freeform 586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100-00004A7E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20" y="400"/>
                    <a:ext cx="141" cy="43"/>
                  </a:xfrm>
                  <a:custGeom>
                    <a:avLst/>
                    <a:gdLst/>
                    <a:ahLst/>
                    <a:cxnLst>
                      <a:cxn ang="0">
                        <a:pos x="1" y="19"/>
                      </a:cxn>
                      <a:cxn ang="0">
                        <a:pos x="16" y="13"/>
                      </a:cxn>
                      <a:cxn ang="0">
                        <a:pos x="22" y="0"/>
                      </a:cxn>
                      <a:cxn ang="0">
                        <a:pos x="35" y="0"/>
                      </a:cxn>
                      <a:cxn ang="0">
                        <a:pos x="40" y="14"/>
                      </a:cxn>
                      <a:cxn ang="0">
                        <a:pos x="54" y="20"/>
                      </a:cxn>
                      <a:cxn ang="0">
                        <a:pos x="79" y="23"/>
                      </a:cxn>
                      <a:cxn ang="0">
                        <a:pos x="99" y="20"/>
                      </a:cxn>
                      <a:cxn ang="0">
                        <a:pos x="110" y="14"/>
                      </a:cxn>
                      <a:cxn ang="0">
                        <a:pos x="114" y="1"/>
                      </a:cxn>
                      <a:cxn ang="0">
                        <a:pos x="125" y="1"/>
                      </a:cxn>
                      <a:cxn ang="0">
                        <a:pos x="129" y="14"/>
                      </a:cxn>
                      <a:cxn ang="0">
                        <a:pos x="141" y="20"/>
                      </a:cxn>
                      <a:cxn ang="0">
                        <a:pos x="141" y="33"/>
                      </a:cxn>
                      <a:cxn ang="0">
                        <a:pos x="140" y="40"/>
                      </a:cxn>
                      <a:cxn ang="0">
                        <a:pos x="124" y="39"/>
                      </a:cxn>
                      <a:cxn ang="0">
                        <a:pos x="110" y="41"/>
                      </a:cxn>
                      <a:cxn ang="0">
                        <a:pos x="86" y="42"/>
                      </a:cxn>
                      <a:cxn ang="0">
                        <a:pos x="63" y="40"/>
                      </a:cxn>
                      <a:cxn ang="0">
                        <a:pos x="42" y="43"/>
                      </a:cxn>
                      <a:cxn ang="0">
                        <a:pos x="10" y="42"/>
                      </a:cxn>
                      <a:cxn ang="0">
                        <a:pos x="0" y="37"/>
                      </a:cxn>
                      <a:cxn ang="0">
                        <a:pos x="3" y="29"/>
                      </a:cxn>
                      <a:cxn ang="0">
                        <a:pos x="1" y="19"/>
                      </a:cxn>
                    </a:cxnLst>
                    <a:rect l="0" t="0" r="r" b="b"/>
                    <a:pathLst>
                      <a:path w="141" h="43">
                        <a:moveTo>
                          <a:pt x="1" y="19"/>
                        </a:moveTo>
                        <a:lnTo>
                          <a:pt x="16" y="13"/>
                        </a:lnTo>
                        <a:lnTo>
                          <a:pt x="22" y="0"/>
                        </a:lnTo>
                        <a:lnTo>
                          <a:pt x="35" y="0"/>
                        </a:lnTo>
                        <a:cubicBezTo>
                          <a:pt x="35" y="0"/>
                          <a:pt x="37" y="7"/>
                          <a:pt x="40" y="14"/>
                        </a:cubicBezTo>
                        <a:cubicBezTo>
                          <a:pt x="46" y="18"/>
                          <a:pt x="46" y="17"/>
                          <a:pt x="54" y="20"/>
                        </a:cubicBezTo>
                        <a:cubicBezTo>
                          <a:pt x="64" y="22"/>
                          <a:pt x="68" y="23"/>
                          <a:pt x="79" y="23"/>
                        </a:cubicBezTo>
                        <a:cubicBezTo>
                          <a:pt x="90" y="23"/>
                          <a:pt x="88" y="22"/>
                          <a:pt x="99" y="20"/>
                        </a:cubicBezTo>
                        <a:cubicBezTo>
                          <a:pt x="104" y="17"/>
                          <a:pt x="105" y="18"/>
                          <a:pt x="110" y="14"/>
                        </a:cubicBezTo>
                        <a:cubicBezTo>
                          <a:pt x="112" y="7"/>
                          <a:pt x="114" y="1"/>
                          <a:pt x="114" y="1"/>
                        </a:cubicBezTo>
                        <a:lnTo>
                          <a:pt x="125" y="1"/>
                        </a:lnTo>
                        <a:lnTo>
                          <a:pt x="129" y="14"/>
                        </a:lnTo>
                        <a:lnTo>
                          <a:pt x="141" y="20"/>
                        </a:lnTo>
                        <a:lnTo>
                          <a:pt x="141" y="33"/>
                        </a:lnTo>
                        <a:lnTo>
                          <a:pt x="140" y="40"/>
                        </a:lnTo>
                        <a:lnTo>
                          <a:pt x="124" y="39"/>
                        </a:lnTo>
                        <a:lnTo>
                          <a:pt x="110" y="41"/>
                        </a:lnTo>
                        <a:lnTo>
                          <a:pt x="86" y="42"/>
                        </a:lnTo>
                        <a:lnTo>
                          <a:pt x="63" y="40"/>
                        </a:lnTo>
                        <a:lnTo>
                          <a:pt x="42" y="43"/>
                        </a:lnTo>
                        <a:lnTo>
                          <a:pt x="10" y="42"/>
                        </a:lnTo>
                        <a:lnTo>
                          <a:pt x="0" y="37"/>
                        </a:lnTo>
                        <a:lnTo>
                          <a:pt x="3" y="29"/>
                        </a:lnTo>
                        <a:lnTo>
                          <a:pt x="1" y="19"/>
                        </a:lnTo>
                        <a:close/>
                      </a:path>
                    </a:pathLst>
                  </a:custGeom>
                  <a:pattFill prst="ltDn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63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2331" name="Group 587">
                  <a:extLst>
                    <a:ext uri="{FF2B5EF4-FFF2-40B4-BE49-F238E27FC236}">
                      <a16:creationId xmlns:a16="http://schemas.microsoft.com/office/drawing/2014/main" id="{00000000-0008-0000-2100-00004B7E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57" y="359"/>
                  <a:ext cx="200" cy="112"/>
                  <a:chOff x="757" y="359"/>
                  <a:chExt cx="200" cy="112"/>
                </a:xfrm>
              </xdr:grpSpPr>
              <xdr:grpSp>
                <xdr:nvGrpSpPr>
                  <xdr:cNvPr id="32332" name="Group 588">
                    <a:extLst>
                      <a:ext uri="{FF2B5EF4-FFF2-40B4-BE49-F238E27FC236}">
                        <a16:creationId xmlns:a16="http://schemas.microsoft.com/office/drawing/2014/main" id="{00000000-0008-0000-2100-00004C7E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57" y="359"/>
                    <a:ext cx="200" cy="112"/>
                    <a:chOff x="757" y="359"/>
                    <a:chExt cx="200" cy="112"/>
                  </a:xfrm>
                </xdr:grpSpPr>
                <xdr:grpSp>
                  <xdr:nvGrpSpPr>
                    <xdr:cNvPr id="32333" name="Group 589">
                      <a:extLst>
                        <a:ext uri="{FF2B5EF4-FFF2-40B4-BE49-F238E27FC236}">
                          <a16:creationId xmlns:a16="http://schemas.microsoft.com/office/drawing/2014/main" id="{00000000-0008-0000-2100-00004D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757" y="359"/>
                      <a:ext cx="200" cy="95"/>
                      <a:chOff x="757" y="359"/>
                      <a:chExt cx="200" cy="95"/>
                    </a:xfrm>
                  </xdr:grpSpPr>
                  <xdr:sp macro="[0]!Макрос2а1" textlink="">
                    <xdr:nvSpPr>
                      <xdr:cNvPr id="32334" name="Line 590">
                        <a:extLst>
                          <a:ext uri="{FF2B5EF4-FFF2-40B4-BE49-F238E27FC236}">
                            <a16:creationId xmlns:a16="http://schemas.microsoft.com/office/drawing/2014/main" id="{00000000-0008-0000-2100-00004E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757" y="399"/>
                        <a:ext cx="20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335" name="Line 591">
                        <a:extLst>
                          <a:ext uri="{FF2B5EF4-FFF2-40B4-BE49-F238E27FC236}">
                            <a16:creationId xmlns:a16="http://schemas.microsoft.com/office/drawing/2014/main" id="{00000000-0008-0000-2100-00004F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02" y="424"/>
                        <a:ext cx="155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336" name="Line 592">
                        <a:extLst>
                          <a:ext uri="{FF2B5EF4-FFF2-40B4-BE49-F238E27FC236}">
                            <a16:creationId xmlns:a16="http://schemas.microsoft.com/office/drawing/2014/main" id="{00000000-0008-0000-2100-000050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943" y="399"/>
                        <a:ext cx="0" cy="23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337" name="Line 593">
                        <a:extLst>
                          <a:ext uri="{FF2B5EF4-FFF2-40B4-BE49-F238E27FC236}">
                            <a16:creationId xmlns:a16="http://schemas.microsoft.com/office/drawing/2014/main" id="{00000000-0008-0000-2100-000051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943" y="359"/>
                        <a:ext cx="0" cy="4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а1" textlink="">
                    <xdr:nvSpPr>
                      <xdr:cNvPr id="32338" name="Line 594">
                        <a:extLst>
                          <a:ext uri="{FF2B5EF4-FFF2-40B4-BE49-F238E27FC236}">
                            <a16:creationId xmlns:a16="http://schemas.microsoft.com/office/drawing/2014/main" id="{00000000-0008-0000-2100-000052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943" y="424"/>
                        <a:ext cx="0" cy="3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sp macro="[0]!Макрос2а1" textlink="">
                  <xdr:nvSpPr>
                    <xdr:cNvPr id="32339" name="Line 595">
                      <a:extLst>
                        <a:ext uri="{FF2B5EF4-FFF2-40B4-BE49-F238E27FC236}">
                          <a16:creationId xmlns:a16="http://schemas.microsoft.com/office/drawing/2014/main" id="{00000000-0008-0000-2100-000053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>
                      <a:off x="916" y="414"/>
                      <a:ext cx="0" cy="1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2а1" textlink="">
                  <xdr:nvSpPr>
                    <xdr:cNvPr id="32340" name="Line 596">
                      <a:extLst>
                        <a:ext uri="{FF2B5EF4-FFF2-40B4-BE49-F238E27FC236}">
                          <a16:creationId xmlns:a16="http://schemas.microsoft.com/office/drawing/2014/main" id="{00000000-0008-0000-2100-000054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 flipV="1">
                      <a:off x="916" y="388"/>
                      <a:ext cx="0" cy="26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2а1" textlink="">
                  <xdr:nvSpPr>
                    <xdr:cNvPr id="32341" name="Line 597">
                      <a:extLst>
                        <a:ext uri="{FF2B5EF4-FFF2-40B4-BE49-F238E27FC236}">
                          <a16:creationId xmlns:a16="http://schemas.microsoft.com/office/drawing/2014/main" id="{00000000-0008-0000-2100-000055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>
                      <a:off x="916" y="426"/>
                      <a:ext cx="0" cy="45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grpSp>
                  <xdr:nvGrpSpPr>
                    <xdr:cNvPr id="32342" name="Group 598">
                      <a:extLst>
                        <a:ext uri="{FF2B5EF4-FFF2-40B4-BE49-F238E27FC236}">
                          <a16:creationId xmlns:a16="http://schemas.microsoft.com/office/drawing/2014/main" id="{00000000-0008-0000-2100-0000567E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855" y="359"/>
                      <a:ext cx="73" cy="79"/>
                      <a:chOff x="855" y="359"/>
                      <a:chExt cx="73" cy="79"/>
                    </a:xfrm>
                  </xdr:grpSpPr>
                  <xdr:sp macro="[0]!Макрос2а1" textlink="">
                    <xdr:nvSpPr>
                      <xdr:cNvPr id="32343" name="Line 599">
                        <a:extLst>
                          <a:ext uri="{FF2B5EF4-FFF2-40B4-BE49-F238E27FC236}">
                            <a16:creationId xmlns:a16="http://schemas.microsoft.com/office/drawing/2014/main" id="{00000000-0008-0000-2100-000057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55" y="399"/>
                        <a:ext cx="49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344" name="Line 600">
                        <a:extLst>
                          <a:ext uri="{FF2B5EF4-FFF2-40B4-BE49-F238E27FC236}">
                            <a16:creationId xmlns:a16="http://schemas.microsoft.com/office/drawing/2014/main" id="{00000000-0008-0000-2100-000058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55" y="414"/>
                        <a:ext cx="73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345" name="Line 601">
                        <a:extLst>
                          <a:ext uri="{FF2B5EF4-FFF2-40B4-BE49-F238E27FC236}">
                            <a16:creationId xmlns:a16="http://schemas.microsoft.com/office/drawing/2014/main" id="{00000000-0008-0000-2100-000059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89" y="399"/>
                        <a:ext cx="0" cy="15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а1" textlink="">
                    <xdr:nvSpPr>
                      <xdr:cNvPr id="32346" name="Line 602">
                        <a:extLst>
                          <a:ext uri="{FF2B5EF4-FFF2-40B4-BE49-F238E27FC236}">
                            <a16:creationId xmlns:a16="http://schemas.microsoft.com/office/drawing/2014/main" id="{00000000-0008-0000-2100-00005A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889" y="359"/>
                        <a:ext cx="0" cy="4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а1" textlink="">
                    <xdr:nvSpPr>
                      <xdr:cNvPr id="32347" name="Line 603">
                        <a:extLst>
                          <a:ext uri="{FF2B5EF4-FFF2-40B4-BE49-F238E27FC236}">
                            <a16:creationId xmlns:a16="http://schemas.microsoft.com/office/drawing/2014/main" id="{00000000-0008-0000-2100-00005B7E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89" y="414"/>
                        <a:ext cx="0" cy="24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sp macro="[0]!Макрос2а1" textlink="">
                  <xdr:nvSpPr>
                    <xdr:cNvPr id="32348" name="Line 604">
                      <a:extLst>
                        <a:ext uri="{FF2B5EF4-FFF2-40B4-BE49-F238E27FC236}">
                          <a16:creationId xmlns:a16="http://schemas.microsoft.com/office/drawing/2014/main" id="{00000000-0008-0000-2100-00005C7E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>
                      <a:off x="873" y="425"/>
                      <a:ext cx="0" cy="46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sp macro="[0]!Макрос2а1" textlink="">
                <xdr:nvSpPr>
                  <xdr:cNvPr id="32349" name="Freeform 605">
                    <a:extLst>
                      <a:ext uri="{FF2B5EF4-FFF2-40B4-BE49-F238E27FC236}">
                        <a16:creationId xmlns:a16="http://schemas.microsoft.com/office/drawing/2014/main" id="{00000000-0008-0000-2100-00005D7E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80" y="391"/>
                    <a:ext cx="38" cy="28"/>
                  </a:xfrm>
                  <a:custGeom>
                    <a:avLst/>
                    <a:gdLst/>
                    <a:ahLst/>
                    <a:cxnLst>
                      <a:cxn ang="0">
                        <a:pos x="38" y="28"/>
                      </a:cxn>
                      <a:cxn ang="0">
                        <a:pos x="30" y="0"/>
                      </a:cxn>
                      <a:cxn ang="0">
                        <a:pos x="0" y="0"/>
                      </a:cxn>
                    </a:cxnLst>
                    <a:rect l="0" t="0" r="r" b="b"/>
                    <a:pathLst>
                      <a:path w="38" h="28">
                        <a:moveTo>
                          <a:pt x="38" y="28"/>
                        </a:moveTo>
                        <a:lnTo>
                          <a:pt x="30" y="0"/>
                        </a:lnTo>
                        <a:lnTo>
                          <a:pt x="0" y="0"/>
                        </a:lnTo>
                      </a:path>
                    </a:pathLst>
                  </a:custGeom>
                  <a:noFill/>
                  <a:ln w="9525" cap="flat" cmpd="sng">
                    <a:solidFill>
                      <a:srgbClr val="0000FF"/>
                    </a:solidFill>
                    <a:prstDash val="solid"/>
                    <a:round/>
                    <a:headEnd type="stealth" w="sm" len="lg"/>
                    <a:tailEnd type="none" w="med" len="med"/>
                  </a:ln>
                </xdr:spPr>
              </xdr:sp>
            </xdr:grpSp>
            <xdr:grpSp>
              <xdr:nvGrpSpPr>
                <xdr:cNvPr id="32350" name="Group 606">
                  <a:extLst>
                    <a:ext uri="{FF2B5EF4-FFF2-40B4-BE49-F238E27FC236}">
                      <a16:creationId xmlns:a16="http://schemas.microsoft.com/office/drawing/2014/main" id="{00000000-0008-0000-2100-00005E7E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12" y="413"/>
                  <a:ext cx="65" cy="49"/>
                  <a:chOff x="712" y="413"/>
                  <a:chExt cx="65" cy="49"/>
                </a:xfrm>
              </xdr:grpSpPr>
              <xdr:sp macro="[0]!Макрос2а1" textlink="">
                <xdr:nvSpPr>
                  <xdr:cNvPr id="32351" name="Line 607">
                    <a:extLst>
                      <a:ext uri="{FF2B5EF4-FFF2-40B4-BE49-F238E27FC236}">
                        <a16:creationId xmlns:a16="http://schemas.microsoft.com/office/drawing/2014/main" id="{00000000-0008-0000-2100-00005F7E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H="1">
                    <a:off x="712" y="413"/>
                    <a:ext cx="24" cy="4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2а1" textlink="">
                <xdr:nvSpPr>
                  <xdr:cNvPr id="32352" name="Line 608">
                    <a:extLst>
                      <a:ext uri="{FF2B5EF4-FFF2-40B4-BE49-F238E27FC236}">
                        <a16:creationId xmlns:a16="http://schemas.microsoft.com/office/drawing/2014/main" id="{00000000-0008-0000-2100-0000607E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760" y="414"/>
                    <a:ext cx="17" cy="4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2а1" textlink="">
                <xdr:nvSpPr>
                  <xdr:cNvPr id="32353" name="Freeform 609">
                    <a:extLst>
                      <a:ext uri="{FF2B5EF4-FFF2-40B4-BE49-F238E27FC236}">
                        <a16:creationId xmlns:a16="http://schemas.microsoft.com/office/drawing/2014/main" id="{00000000-0008-0000-2100-0000617E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17" y="454"/>
                    <a:ext cx="57" cy="6"/>
                  </a:xfrm>
                  <a:custGeom>
                    <a:avLst/>
                    <a:gdLst/>
                    <a:ahLst/>
                    <a:cxnLst>
                      <a:cxn ang="0">
                        <a:pos x="0" y="0"/>
                      </a:cxn>
                      <a:cxn ang="0">
                        <a:pos x="26" y="6"/>
                      </a:cxn>
                      <a:cxn ang="0">
                        <a:pos x="57" y="0"/>
                      </a:cxn>
                    </a:cxnLst>
                    <a:rect l="0" t="0" r="r" b="b"/>
                    <a:pathLst>
                      <a:path w="57" h="6">
                        <a:moveTo>
                          <a:pt x="0" y="0"/>
                        </a:moveTo>
                        <a:cubicBezTo>
                          <a:pt x="8" y="3"/>
                          <a:pt x="17" y="6"/>
                          <a:pt x="26" y="6"/>
                        </a:cubicBezTo>
                        <a:cubicBezTo>
                          <a:pt x="35" y="6"/>
                          <a:pt x="52" y="1"/>
                          <a:pt x="57" y="0"/>
                        </a:cubicBezTo>
                      </a:path>
                    </a:pathLst>
                  </a:custGeom>
                  <a:noFill/>
                  <a:ln w="9525" cap="flat" cmpd="sng">
                    <a:solidFill>
                      <a:srgbClr val="0000FF"/>
                    </a:solidFill>
                    <a:prstDash val="solid"/>
                    <a:round/>
                    <a:headEnd type="stealth" w="sm" len="lg"/>
                    <a:tailEnd type="stealth" w="sm" len="lg"/>
                  </a:ln>
                </xdr:spPr>
              </xdr:sp>
            </xdr:grpSp>
          </xdr:grpSp>
          <xdr:sp macro="[0]!Макрос2а1" textlink="">
            <xdr:nvSpPr>
              <xdr:cNvPr id="32354" name="Text Box 610">
                <a:extLst>
                  <a:ext uri="{FF2B5EF4-FFF2-40B4-BE49-F238E27FC236}">
                    <a16:creationId xmlns:a16="http://schemas.microsoft.com/office/drawing/2014/main" id="{00000000-0008-0000-2100-000062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19" y="385"/>
                <a:ext cx="19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Symbol"/>
                  </a:rPr>
                  <a:t>a</a:t>
                </a:r>
              </a:p>
            </xdr:txBody>
          </xdr:sp>
          <xdr:sp macro="[0]!Макрос2а1" textlink="">
            <xdr:nvSpPr>
              <xdr:cNvPr id="32355" name="Text Box 611">
                <a:extLst>
                  <a:ext uri="{FF2B5EF4-FFF2-40B4-BE49-F238E27FC236}">
                    <a16:creationId xmlns:a16="http://schemas.microsoft.com/office/drawing/2014/main" id="{00000000-0008-0000-2100-000063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66" y="312"/>
                <a:ext cx="21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r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356" name="Text Box 612">
                <a:extLst>
                  <a:ext uri="{FF2B5EF4-FFF2-40B4-BE49-F238E27FC236}">
                    <a16:creationId xmlns:a16="http://schemas.microsoft.com/office/drawing/2014/main" id="{00000000-0008-0000-2100-000064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36" y="393"/>
                <a:ext cx="26" cy="17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</a:p>
            </xdr:txBody>
          </xdr:sp>
          <xdr:sp macro="[0]!Макрос2а1" textlink="">
            <xdr:nvSpPr>
              <xdr:cNvPr id="32357" name="Text Box 613">
                <a:extLst>
                  <a:ext uri="{FF2B5EF4-FFF2-40B4-BE49-F238E27FC236}">
                    <a16:creationId xmlns:a16="http://schemas.microsoft.com/office/drawing/2014/main" id="{00000000-0008-0000-2100-000065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75" y="389"/>
                <a:ext cx="32" cy="22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а1" textlink="">
            <xdr:nvSpPr>
              <xdr:cNvPr id="32358" name="Text Box 614">
                <a:extLst>
                  <a:ext uri="{FF2B5EF4-FFF2-40B4-BE49-F238E27FC236}">
                    <a16:creationId xmlns:a16="http://schemas.microsoft.com/office/drawing/2014/main" id="{00000000-0008-0000-2100-000066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04" y="316"/>
                <a:ext cx="26" cy="16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[0]!Макрос2а1" textlink="">
            <xdr:nvSpPr>
              <xdr:cNvPr id="32359" name="Text Box 615">
                <a:extLst>
                  <a:ext uri="{FF2B5EF4-FFF2-40B4-BE49-F238E27FC236}">
                    <a16:creationId xmlns:a16="http://schemas.microsoft.com/office/drawing/2014/main" id="{00000000-0008-0000-2100-000067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47" y="312"/>
                <a:ext cx="32" cy="2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[0]!Макрос2а1" textlink="">
            <xdr:nvSpPr>
              <xdr:cNvPr id="32360" name="Text Box 616">
                <a:extLst>
                  <a:ext uri="{FF2B5EF4-FFF2-40B4-BE49-F238E27FC236}">
                    <a16:creationId xmlns:a16="http://schemas.microsoft.com/office/drawing/2014/main" id="{00000000-0008-0000-2100-0000687E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87" y="283"/>
                <a:ext cx="47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sng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 - B</a:t>
                </a:r>
              </a:p>
            </xdr:txBody>
          </xdr:sp>
        </xdr:grpSp>
      </xdr:grpSp>
    </xdr:grpSp>
    <xdr:clientData fPrintsWithSheet="0"/>
  </xdr:twoCellAnchor>
  <xdr:twoCellAnchor editAs="oneCell">
    <xdr:from>
      <xdr:col>0</xdr:col>
      <xdr:colOff>0</xdr:colOff>
      <xdr:row>34</xdr:row>
      <xdr:rowOff>0</xdr:rowOff>
    </xdr:from>
    <xdr:to>
      <xdr:col>10</xdr:col>
      <xdr:colOff>209550</xdr:colOff>
      <xdr:row>56</xdr:row>
      <xdr:rowOff>0</xdr:rowOff>
    </xdr:to>
    <xdr:grpSp>
      <xdr:nvGrpSpPr>
        <xdr:cNvPr id="31953" name="Group 209">
          <a:extLst>
            <a:ext uri="{FF2B5EF4-FFF2-40B4-BE49-F238E27FC236}">
              <a16:creationId xmlns:a16="http://schemas.microsoft.com/office/drawing/2014/main" id="{00000000-0008-0000-2100-0000D17C0000}"/>
            </a:ext>
          </a:extLst>
        </xdr:cNvPr>
        <xdr:cNvGrpSpPr>
          <a:grpSpLocks/>
        </xdr:cNvGrpSpPr>
      </xdr:nvGrpSpPr>
      <xdr:grpSpPr bwMode="auto">
        <a:xfrm>
          <a:off x="0" y="6210300"/>
          <a:ext cx="6248400" cy="3562350"/>
          <a:chOff x="933" y="115"/>
          <a:chExt cx="656" cy="374"/>
        </a:xfrm>
      </xdr:grpSpPr>
      <xdr:sp macro="[0]!Макрос2б1" textlink="">
        <xdr:nvSpPr>
          <xdr:cNvPr id="31954" name="Rectangle 210">
            <a:extLst>
              <a:ext uri="{FF2B5EF4-FFF2-40B4-BE49-F238E27FC236}">
                <a16:creationId xmlns:a16="http://schemas.microsoft.com/office/drawing/2014/main" id="{00000000-0008-0000-2100-0000D27C0000}"/>
              </a:ext>
            </a:extLst>
          </xdr:cNvPr>
          <xdr:cNvSpPr>
            <a:spLocks noChangeArrowheads="1"/>
          </xdr:cNvSpPr>
        </xdr:nvSpPr>
        <xdr:spPr bwMode="auto">
          <a:xfrm>
            <a:off x="933" y="115"/>
            <a:ext cx="656" cy="37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31955" name="Group 211">
            <a:extLst>
              <a:ext uri="{FF2B5EF4-FFF2-40B4-BE49-F238E27FC236}">
                <a16:creationId xmlns:a16="http://schemas.microsoft.com/office/drawing/2014/main" id="{00000000-0008-0000-2100-0000D37C0000}"/>
              </a:ext>
            </a:extLst>
          </xdr:cNvPr>
          <xdr:cNvGrpSpPr>
            <a:grpSpLocks/>
          </xdr:cNvGrpSpPr>
        </xdr:nvGrpSpPr>
        <xdr:grpSpPr bwMode="auto">
          <a:xfrm>
            <a:off x="942" y="117"/>
            <a:ext cx="633" cy="363"/>
            <a:chOff x="942" y="117"/>
            <a:chExt cx="633" cy="363"/>
          </a:xfrm>
        </xdr:grpSpPr>
        <xdr:grpSp>
          <xdr:nvGrpSpPr>
            <xdr:cNvPr id="31956" name="Group 212">
              <a:extLst>
                <a:ext uri="{FF2B5EF4-FFF2-40B4-BE49-F238E27FC236}">
                  <a16:creationId xmlns:a16="http://schemas.microsoft.com/office/drawing/2014/main" id="{00000000-0008-0000-2100-0000D47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28" y="348"/>
              <a:ext cx="164" cy="117"/>
              <a:chOff x="540" y="459"/>
              <a:chExt cx="164" cy="117"/>
            </a:xfrm>
          </xdr:grpSpPr>
          <xdr:grpSp>
            <xdr:nvGrpSpPr>
              <xdr:cNvPr id="31957" name="Group 213">
                <a:extLst>
                  <a:ext uri="{FF2B5EF4-FFF2-40B4-BE49-F238E27FC236}">
                    <a16:creationId xmlns:a16="http://schemas.microsoft.com/office/drawing/2014/main" id="{00000000-0008-0000-2100-0000D5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54" y="488"/>
                <a:ext cx="150" cy="88"/>
                <a:chOff x="554" y="488"/>
                <a:chExt cx="150" cy="88"/>
              </a:xfrm>
            </xdr:grpSpPr>
            <xdr:grpSp>
              <xdr:nvGrpSpPr>
                <xdr:cNvPr id="31958" name="Group 214">
                  <a:extLst>
                    <a:ext uri="{FF2B5EF4-FFF2-40B4-BE49-F238E27FC236}">
                      <a16:creationId xmlns:a16="http://schemas.microsoft.com/office/drawing/2014/main" id="{00000000-0008-0000-2100-0000D6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92" y="519"/>
                  <a:ext cx="112" cy="45"/>
                  <a:chOff x="592" y="519"/>
                  <a:chExt cx="112" cy="45"/>
                </a:xfrm>
              </xdr:grpSpPr>
              <xdr:sp macro="[0]!Макрос2б1" textlink="">
                <xdr:nvSpPr>
                  <xdr:cNvPr id="31959" name="Freeform 215">
                    <a:extLst>
                      <a:ext uri="{FF2B5EF4-FFF2-40B4-BE49-F238E27FC236}">
                        <a16:creationId xmlns:a16="http://schemas.microsoft.com/office/drawing/2014/main" id="{00000000-0008-0000-2100-0000D7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594" y="519"/>
                    <a:ext cx="110" cy="15"/>
                  </a:xfrm>
                  <a:custGeom>
                    <a:avLst/>
                    <a:gdLst/>
                    <a:ahLst/>
                    <a:cxnLst>
                      <a:cxn ang="0">
                        <a:pos x="0" y="6"/>
                      </a:cxn>
                      <a:cxn ang="0">
                        <a:pos x="6" y="4"/>
                      </a:cxn>
                      <a:cxn ang="0">
                        <a:pos x="15" y="1"/>
                      </a:cxn>
                      <a:cxn ang="0">
                        <a:pos x="31" y="1"/>
                      </a:cxn>
                      <a:cxn ang="0">
                        <a:pos x="41" y="6"/>
                      </a:cxn>
                      <a:cxn ang="0">
                        <a:pos x="55" y="8"/>
                      </a:cxn>
                      <a:cxn ang="0">
                        <a:pos x="70" y="6"/>
                      </a:cxn>
                      <a:cxn ang="0">
                        <a:pos x="80" y="0"/>
                      </a:cxn>
                      <a:cxn ang="0">
                        <a:pos x="96" y="0"/>
                      </a:cxn>
                      <a:cxn ang="0">
                        <a:pos x="110" y="8"/>
                      </a:cxn>
                      <a:cxn ang="0">
                        <a:pos x="90" y="15"/>
                      </a:cxn>
                      <a:cxn ang="0">
                        <a:pos x="9" y="15"/>
                      </a:cxn>
                      <a:cxn ang="0">
                        <a:pos x="0" y="6"/>
                      </a:cxn>
                    </a:cxnLst>
                    <a:rect l="0" t="0" r="r" b="b"/>
                    <a:pathLst>
                      <a:path w="110" h="15">
                        <a:moveTo>
                          <a:pt x="0" y="6"/>
                        </a:moveTo>
                        <a:lnTo>
                          <a:pt x="6" y="4"/>
                        </a:lnTo>
                        <a:lnTo>
                          <a:pt x="15" y="1"/>
                        </a:lnTo>
                        <a:cubicBezTo>
                          <a:pt x="19" y="1"/>
                          <a:pt x="26" y="1"/>
                          <a:pt x="31" y="1"/>
                        </a:cubicBezTo>
                        <a:cubicBezTo>
                          <a:pt x="36" y="4"/>
                          <a:pt x="41" y="6"/>
                          <a:pt x="41" y="6"/>
                        </a:cubicBezTo>
                        <a:cubicBezTo>
                          <a:pt x="49" y="8"/>
                          <a:pt x="55" y="8"/>
                          <a:pt x="55" y="8"/>
                        </a:cubicBezTo>
                        <a:cubicBezTo>
                          <a:pt x="62" y="7"/>
                          <a:pt x="63" y="8"/>
                          <a:pt x="70" y="6"/>
                        </a:cubicBezTo>
                        <a:cubicBezTo>
                          <a:pt x="75" y="3"/>
                          <a:pt x="76" y="3"/>
                          <a:pt x="80" y="0"/>
                        </a:cubicBezTo>
                        <a:cubicBezTo>
                          <a:pt x="99" y="0"/>
                          <a:pt x="91" y="0"/>
                          <a:pt x="96" y="0"/>
                        </a:cubicBezTo>
                        <a:cubicBezTo>
                          <a:pt x="103" y="4"/>
                          <a:pt x="110" y="8"/>
                          <a:pt x="110" y="8"/>
                        </a:cubicBezTo>
                        <a:lnTo>
                          <a:pt x="90" y="15"/>
                        </a:lnTo>
                        <a:lnTo>
                          <a:pt x="9" y="15"/>
                        </a:lnTo>
                        <a:lnTo>
                          <a:pt x="0" y="6"/>
                        </a:lnTo>
                        <a:close/>
                      </a:path>
                    </a:pathLst>
                  </a:custGeom>
                  <a:noFill/>
                  <a:ln w="190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2б1" textlink="">
                <xdr:nvSpPr>
                  <xdr:cNvPr id="31960" name="Freeform 216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100-0000D8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592" y="519"/>
                    <a:ext cx="112" cy="45"/>
                  </a:xfrm>
                  <a:custGeom>
                    <a:avLst/>
                    <a:gdLst/>
                    <a:ahLst/>
                    <a:cxnLst>
                      <a:cxn ang="0">
                        <a:pos x="2" y="6"/>
                      </a:cxn>
                      <a:cxn ang="0">
                        <a:pos x="8" y="4"/>
                      </a:cxn>
                      <a:cxn ang="0">
                        <a:pos x="17" y="1"/>
                      </a:cxn>
                      <a:cxn ang="0">
                        <a:pos x="33" y="1"/>
                      </a:cxn>
                      <a:cxn ang="0">
                        <a:pos x="43" y="6"/>
                      </a:cxn>
                      <a:cxn ang="0">
                        <a:pos x="57" y="8"/>
                      </a:cxn>
                      <a:cxn ang="0">
                        <a:pos x="72" y="6"/>
                      </a:cxn>
                      <a:cxn ang="0">
                        <a:pos x="82" y="0"/>
                      </a:cxn>
                      <a:cxn ang="0">
                        <a:pos x="98" y="0"/>
                      </a:cxn>
                      <a:cxn ang="0">
                        <a:pos x="112" y="8"/>
                      </a:cxn>
                      <a:cxn ang="0">
                        <a:pos x="112" y="24"/>
                      </a:cxn>
                      <a:cxn ang="0">
                        <a:pos x="108" y="32"/>
                      </a:cxn>
                      <a:cxn ang="0">
                        <a:pos x="90" y="41"/>
                      </a:cxn>
                      <a:cxn ang="0">
                        <a:pos x="65" y="45"/>
                      </a:cxn>
                      <a:cxn ang="0">
                        <a:pos x="48" y="39"/>
                      </a:cxn>
                      <a:cxn ang="0">
                        <a:pos x="25" y="43"/>
                      </a:cxn>
                      <a:cxn ang="0">
                        <a:pos x="5" y="36"/>
                      </a:cxn>
                      <a:cxn ang="0">
                        <a:pos x="0" y="27"/>
                      </a:cxn>
                      <a:cxn ang="0">
                        <a:pos x="1" y="16"/>
                      </a:cxn>
                      <a:cxn ang="0">
                        <a:pos x="2" y="6"/>
                      </a:cxn>
                    </a:cxnLst>
                    <a:rect l="0" t="0" r="r" b="b"/>
                    <a:pathLst>
                      <a:path w="112" h="45">
                        <a:moveTo>
                          <a:pt x="2" y="6"/>
                        </a:moveTo>
                        <a:lnTo>
                          <a:pt x="8" y="4"/>
                        </a:lnTo>
                        <a:lnTo>
                          <a:pt x="17" y="1"/>
                        </a:lnTo>
                        <a:cubicBezTo>
                          <a:pt x="21" y="1"/>
                          <a:pt x="28" y="1"/>
                          <a:pt x="33" y="1"/>
                        </a:cubicBezTo>
                        <a:cubicBezTo>
                          <a:pt x="38" y="4"/>
                          <a:pt x="43" y="6"/>
                          <a:pt x="43" y="6"/>
                        </a:cubicBezTo>
                        <a:cubicBezTo>
                          <a:pt x="51" y="8"/>
                          <a:pt x="57" y="8"/>
                          <a:pt x="57" y="8"/>
                        </a:cubicBezTo>
                        <a:cubicBezTo>
                          <a:pt x="64" y="7"/>
                          <a:pt x="65" y="8"/>
                          <a:pt x="72" y="6"/>
                        </a:cubicBezTo>
                        <a:cubicBezTo>
                          <a:pt x="77" y="3"/>
                          <a:pt x="78" y="3"/>
                          <a:pt x="82" y="0"/>
                        </a:cubicBezTo>
                        <a:cubicBezTo>
                          <a:pt x="101" y="0"/>
                          <a:pt x="93" y="0"/>
                          <a:pt x="98" y="0"/>
                        </a:cubicBezTo>
                        <a:cubicBezTo>
                          <a:pt x="105" y="4"/>
                          <a:pt x="112" y="8"/>
                          <a:pt x="112" y="8"/>
                        </a:cubicBezTo>
                        <a:lnTo>
                          <a:pt x="112" y="24"/>
                        </a:lnTo>
                        <a:lnTo>
                          <a:pt x="108" y="32"/>
                        </a:lnTo>
                        <a:lnTo>
                          <a:pt x="90" y="41"/>
                        </a:lnTo>
                        <a:lnTo>
                          <a:pt x="65" y="45"/>
                        </a:lnTo>
                        <a:lnTo>
                          <a:pt x="48" y="39"/>
                        </a:lnTo>
                        <a:lnTo>
                          <a:pt x="25" y="43"/>
                        </a:lnTo>
                        <a:lnTo>
                          <a:pt x="5" y="36"/>
                        </a:lnTo>
                        <a:lnTo>
                          <a:pt x="0" y="27"/>
                        </a:lnTo>
                        <a:lnTo>
                          <a:pt x="1" y="16"/>
                        </a:lnTo>
                        <a:lnTo>
                          <a:pt x="2" y="6"/>
                        </a:lnTo>
                        <a:close/>
                      </a:path>
                    </a:pathLst>
                  </a:custGeom>
                  <a:pattFill prst="ltDn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63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961" name="Group 217">
                  <a:extLst>
                    <a:ext uri="{FF2B5EF4-FFF2-40B4-BE49-F238E27FC236}">
                      <a16:creationId xmlns:a16="http://schemas.microsoft.com/office/drawing/2014/main" id="{00000000-0008-0000-2100-0000D9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54" y="488"/>
                  <a:ext cx="117" cy="88"/>
                  <a:chOff x="554" y="488"/>
                  <a:chExt cx="117" cy="88"/>
                </a:xfrm>
              </xdr:grpSpPr>
              <xdr:grpSp>
                <xdr:nvGrpSpPr>
                  <xdr:cNvPr id="31962" name="Group 218">
                    <a:extLst>
                      <a:ext uri="{FF2B5EF4-FFF2-40B4-BE49-F238E27FC236}">
                        <a16:creationId xmlns:a16="http://schemas.microsoft.com/office/drawing/2014/main" id="{00000000-0008-0000-2100-0000DA7C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54" y="488"/>
                    <a:ext cx="117" cy="88"/>
                    <a:chOff x="554" y="488"/>
                    <a:chExt cx="117" cy="88"/>
                  </a:xfrm>
                </xdr:grpSpPr>
                <xdr:grpSp>
                  <xdr:nvGrpSpPr>
                    <xdr:cNvPr id="31963" name="Group 219">
                      <a:extLst>
                        <a:ext uri="{FF2B5EF4-FFF2-40B4-BE49-F238E27FC236}">
                          <a16:creationId xmlns:a16="http://schemas.microsoft.com/office/drawing/2014/main" id="{00000000-0008-0000-2100-0000DB7C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54" y="488"/>
                      <a:ext cx="117" cy="60"/>
                      <a:chOff x="554" y="488"/>
                      <a:chExt cx="117" cy="60"/>
                    </a:xfrm>
                  </xdr:grpSpPr>
                  <xdr:sp macro="[0]!Макрос2б1" textlink="">
                    <xdr:nvSpPr>
                      <xdr:cNvPr id="31964" name="Line 220">
                        <a:extLst>
                          <a:ext uri="{FF2B5EF4-FFF2-40B4-BE49-F238E27FC236}">
                            <a16:creationId xmlns:a16="http://schemas.microsoft.com/office/drawing/2014/main" id="{00000000-0008-0000-2100-0000DC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554" y="518"/>
                        <a:ext cx="11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1965" name="Line 221">
                        <a:extLst>
                          <a:ext uri="{FF2B5EF4-FFF2-40B4-BE49-F238E27FC236}">
                            <a16:creationId xmlns:a16="http://schemas.microsoft.com/office/drawing/2014/main" id="{00000000-0008-0000-2100-0000DD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554" y="528"/>
                        <a:ext cx="96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grpSp>
                    <xdr:nvGrpSpPr>
                      <xdr:cNvPr id="31966" name="Group 222">
                        <a:extLst>
                          <a:ext uri="{FF2B5EF4-FFF2-40B4-BE49-F238E27FC236}">
                            <a16:creationId xmlns:a16="http://schemas.microsoft.com/office/drawing/2014/main" id="{00000000-0008-0000-2100-0000DE7C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63" y="488"/>
                        <a:ext cx="0" cy="60"/>
                        <a:chOff x="563" y="488"/>
                        <a:chExt cx="0" cy="60"/>
                      </a:xfrm>
                    </xdr:grpSpPr>
                    <xdr:sp macro="[0]!Макрос2б1" textlink="">
                      <xdr:nvSpPr>
                        <xdr:cNvPr id="31967" name="Line 223">
                          <a:extLst>
                            <a:ext uri="{FF2B5EF4-FFF2-40B4-BE49-F238E27FC236}">
                              <a16:creationId xmlns:a16="http://schemas.microsoft.com/office/drawing/2014/main" id="{00000000-0008-0000-2100-0000DF7C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>
                          <a:off x="563" y="518"/>
                          <a:ext cx="0" cy="9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2б1" textlink="">
                      <xdr:nvSpPr>
                        <xdr:cNvPr id="31968" name="Line 224">
                          <a:extLst>
                            <a:ext uri="{FF2B5EF4-FFF2-40B4-BE49-F238E27FC236}">
                              <a16:creationId xmlns:a16="http://schemas.microsoft.com/office/drawing/2014/main" id="{00000000-0008-0000-2100-0000E07C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flipV="1">
                          <a:off x="563" y="488"/>
                          <a:ext cx="0" cy="30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 type="stealth" w="sm" len="lg"/>
                          <a:tailEnd/>
                        </a:ln>
                      </xdr:spPr>
                    </xdr:sp>
                    <xdr:sp macro="[0]!Макрос2б1" textlink="">
                      <xdr:nvSpPr>
                        <xdr:cNvPr id="31969" name="Line 225">
                          <a:extLst>
                            <a:ext uri="{FF2B5EF4-FFF2-40B4-BE49-F238E27FC236}">
                              <a16:creationId xmlns:a16="http://schemas.microsoft.com/office/drawing/2014/main" id="{00000000-0008-0000-2100-0000E17C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>
                          <a:off x="563" y="528"/>
                          <a:ext cx="0" cy="20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 type="stealth" w="sm" len="lg"/>
                          <a:tailEnd/>
                        </a:ln>
                      </xdr:spPr>
                    </xdr:sp>
                  </xdr:grpSp>
                </xdr:grpSp>
                <xdr:sp macro="[0]!Макрос2б1" textlink="">
                  <xdr:nvSpPr>
                    <xdr:cNvPr id="31970" name="Line 226">
                      <a:extLst>
                        <a:ext uri="{FF2B5EF4-FFF2-40B4-BE49-F238E27FC236}">
                          <a16:creationId xmlns:a16="http://schemas.microsoft.com/office/drawing/2014/main" id="{00000000-0008-0000-2100-0000E27C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582" y="528"/>
                      <a:ext cx="0" cy="4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sp macro="[0]!Макрос2б1" textlink="">
                <xdr:nvSpPr>
                  <xdr:cNvPr id="31971" name="Freeform 227">
                    <a:extLst>
                      <a:ext uri="{FF2B5EF4-FFF2-40B4-BE49-F238E27FC236}">
                        <a16:creationId xmlns:a16="http://schemas.microsoft.com/office/drawing/2014/main" id="{00000000-0008-0000-2100-0000E3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19" y="506"/>
                    <a:ext cx="44" cy="19"/>
                  </a:xfrm>
                  <a:custGeom>
                    <a:avLst/>
                    <a:gdLst/>
                    <a:ahLst/>
                    <a:cxnLst>
                      <a:cxn ang="0">
                        <a:pos x="44" y="19"/>
                      </a:cxn>
                      <a:cxn ang="0">
                        <a:pos x="25" y="0"/>
                      </a:cxn>
                      <a:cxn ang="0">
                        <a:pos x="0" y="0"/>
                      </a:cxn>
                    </a:cxnLst>
                    <a:rect l="0" t="0" r="r" b="b"/>
                    <a:pathLst>
                      <a:path w="44" h="19">
                        <a:moveTo>
                          <a:pt x="44" y="19"/>
                        </a:moveTo>
                        <a:lnTo>
                          <a:pt x="25" y="0"/>
                        </a:lnTo>
                        <a:lnTo>
                          <a:pt x="0" y="0"/>
                        </a:lnTo>
                      </a:path>
                    </a:pathLst>
                  </a:custGeom>
                  <a:noFill/>
                  <a:ln w="9525" cap="flat" cmpd="sng">
                    <a:solidFill>
                      <a:srgbClr val="0000FF"/>
                    </a:solidFill>
                    <a:prstDash val="solid"/>
                    <a:round/>
                    <a:headEnd type="stealth" w="sm" len="lg"/>
                    <a:tailEnd type="none" w="med" len="med"/>
                  </a:ln>
                </xdr:spPr>
              </xdr:sp>
            </xdr:grpSp>
          </xdr:grpSp>
          <xdr:sp macro="[0]!Макрос2б1" textlink="">
            <xdr:nvSpPr>
              <xdr:cNvPr id="31972" name="Text Box 228">
                <a:extLst>
                  <a:ext uri="{FF2B5EF4-FFF2-40B4-BE49-F238E27FC236}">
                    <a16:creationId xmlns:a16="http://schemas.microsoft.com/office/drawing/2014/main" id="{00000000-0008-0000-2100-0000E47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621" y="481"/>
                <a:ext cx="21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r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б1" textlink="">
            <xdr:nvSpPr>
              <xdr:cNvPr id="31973" name="Text Box 229">
                <a:extLst>
                  <a:ext uri="{FF2B5EF4-FFF2-40B4-BE49-F238E27FC236}">
                    <a16:creationId xmlns:a16="http://schemas.microsoft.com/office/drawing/2014/main" id="{00000000-0008-0000-2100-0000E57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40" y="486"/>
                <a:ext cx="32" cy="22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2б1" textlink="">
            <xdr:nvSpPr>
              <xdr:cNvPr id="31974" name="Text Box 230">
                <a:extLst>
                  <a:ext uri="{FF2B5EF4-FFF2-40B4-BE49-F238E27FC236}">
                    <a16:creationId xmlns:a16="http://schemas.microsoft.com/office/drawing/2014/main" id="{00000000-0008-0000-2100-0000E67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60" y="552"/>
                <a:ext cx="26" cy="17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</a:p>
            </xdr:txBody>
          </xdr:sp>
          <xdr:sp macro="[0]!Макрос2б1" textlink="">
            <xdr:nvSpPr>
              <xdr:cNvPr id="31975" name="Text Box 231">
                <a:extLst>
                  <a:ext uri="{FF2B5EF4-FFF2-40B4-BE49-F238E27FC236}">
                    <a16:creationId xmlns:a16="http://schemas.microsoft.com/office/drawing/2014/main" id="{00000000-0008-0000-2100-0000E77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602" y="459"/>
                <a:ext cx="47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sng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Б - Б</a:t>
                </a:r>
              </a:p>
            </xdr:txBody>
          </xdr:sp>
        </xdr:grpSp>
        <xdr:grpSp>
          <xdr:nvGrpSpPr>
            <xdr:cNvPr id="31976" name="Group 232">
              <a:extLst>
                <a:ext uri="{FF2B5EF4-FFF2-40B4-BE49-F238E27FC236}">
                  <a16:creationId xmlns:a16="http://schemas.microsoft.com/office/drawing/2014/main" id="{00000000-0008-0000-2100-0000E87C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946" y="346"/>
              <a:ext cx="245" cy="134"/>
              <a:chOff x="894" y="283"/>
              <a:chExt cx="245" cy="134"/>
            </a:xfrm>
          </xdr:grpSpPr>
          <xdr:grpSp>
            <xdr:nvGrpSpPr>
              <xdr:cNvPr id="31977" name="Group 233">
                <a:extLst>
                  <a:ext uri="{FF2B5EF4-FFF2-40B4-BE49-F238E27FC236}">
                    <a16:creationId xmlns:a16="http://schemas.microsoft.com/office/drawing/2014/main" id="{00000000-0008-0000-2100-0000E97C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94" y="305"/>
                <a:ext cx="245" cy="112"/>
                <a:chOff x="712" y="359"/>
                <a:chExt cx="245" cy="112"/>
              </a:xfrm>
            </xdr:grpSpPr>
            <xdr:grpSp>
              <xdr:nvGrpSpPr>
                <xdr:cNvPr id="31978" name="Group 234">
                  <a:extLst>
                    <a:ext uri="{FF2B5EF4-FFF2-40B4-BE49-F238E27FC236}">
                      <a16:creationId xmlns:a16="http://schemas.microsoft.com/office/drawing/2014/main" id="{00000000-0008-0000-2100-0000EA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20" y="400"/>
                  <a:ext cx="141" cy="43"/>
                  <a:chOff x="720" y="400"/>
                  <a:chExt cx="141" cy="43"/>
                </a:xfrm>
              </xdr:grpSpPr>
              <xdr:sp macro="[0]!Макрос2б1" textlink="">
                <xdr:nvSpPr>
                  <xdr:cNvPr id="31979" name="Freeform 235">
                    <a:extLst>
                      <a:ext uri="{FF2B5EF4-FFF2-40B4-BE49-F238E27FC236}">
                        <a16:creationId xmlns:a16="http://schemas.microsoft.com/office/drawing/2014/main" id="{00000000-0008-0000-2100-0000EB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21" y="400"/>
                    <a:ext cx="140" cy="31"/>
                  </a:xfrm>
                  <a:custGeom>
                    <a:avLst/>
                    <a:gdLst/>
                    <a:ahLst/>
                    <a:cxnLst>
                      <a:cxn ang="0">
                        <a:pos x="0" y="19"/>
                      </a:cxn>
                      <a:cxn ang="0">
                        <a:pos x="15" y="13"/>
                      </a:cxn>
                      <a:cxn ang="0">
                        <a:pos x="21" y="0"/>
                      </a:cxn>
                      <a:cxn ang="0">
                        <a:pos x="34" y="0"/>
                      </a:cxn>
                      <a:cxn ang="0">
                        <a:pos x="39" y="14"/>
                      </a:cxn>
                      <a:cxn ang="0">
                        <a:pos x="53" y="20"/>
                      </a:cxn>
                      <a:cxn ang="0">
                        <a:pos x="78" y="23"/>
                      </a:cxn>
                      <a:cxn ang="0">
                        <a:pos x="98" y="20"/>
                      </a:cxn>
                      <a:cxn ang="0">
                        <a:pos x="109" y="14"/>
                      </a:cxn>
                      <a:cxn ang="0">
                        <a:pos x="113" y="1"/>
                      </a:cxn>
                      <a:cxn ang="0">
                        <a:pos x="124" y="1"/>
                      </a:cxn>
                      <a:cxn ang="0">
                        <a:pos x="128" y="14"/>
                      </a:cxn>
                      <a:cxn ang="0">
                        <a:pos x="140" y="20"/>
                      </a:cxn>
                      <a:cxn ang="0">
                        <a:pos x="117" y="29"/>
                      </a:cxn>
                      <a:cxn ang="0">
                        <a:pos x="45" y="31"/>
                      </a:cxn>
                      <a:cxn ang="0">
                        <a:pos x="17" y="28"/>
                      </a:cxn>
                      <a:cxn ang="0">
                        <a:pos x="0" y="19"/>
                      </a:cxn>
                    </a:cxnLst>
                    <a:rect l="0" t="0" r="r" b="b"/>
                    <a:pathLst>
                      <a:path w="140" h="31">
                        <a:moveTo>
                          <a:pt x="0" y="19"/>
                        </a:moveTo>
                        <a:lnTo>
                          <a:pt x="15" y="13"/>
                        </a:lnTo>
                        <a:lnTo>
                          <a:pt x="21" y="0"/>
                        </a:lnTo>
                        <a:lnTo>
                          <a:pt x="34" y="0"/>
                        </a:lnTo>
                        <a:cubicBezTo>
                          <a:pt x="34" y="0"/>
                          <a:pt x="36" y="7"/>
                          <a:pt x="39" y="14"/>
                        </a:cubicBezTo>
                        <a:cubicBezTo>
                          <a:pt x="46" y="18"/>
                          <a:pt x="45" y="17"/>
                          <a:pt x="53" y="20"/>
                        </a:cubicBezTo>
                        <a:cubicBezTo>
                          <a:pt x="65" y="23"/>
                          <a:pt x="65" y="23"/>
                          <a:pt x="78" y="23"/>
                        </a:cubicBezTo>
                        <a:cubicBezTo>
                          <a:pt x="89" y="23"/>
                          <a:pt x="90" y="22"/>
                          <a:pt x="98" y="20"/>
                        </a:cubicBezTo>
                        <a:cubicBezTo>
                          <a:pt x="104" y="17"/>
                          <a:pt x="104" y="17"/>
                          <a:pt x="109" y="14"/>
                        </a:cubicBezTo>
                        <a:cubicBezTo>
                          <a:pt x="111" y="7"/>
                          <a:pt x="113" y="1"/>
                          <a:pt x="113" y="1"/>
                        </a:cubicBezTo>
                        <a:lnTo>
                          <a:pt x="124" y="1"/>
                        </a:lnTo>
                        <a:lnTo>
                          <a:pt x="128" y="14"/>
                        </a:lnTo>
                        <a:lnTo>
                          <a:pt x="140" y="20"/>
                        </a:lnTo>
                        <a:lnTo>
                          <a:pt x="117" y="29"/>
                        </a:lnTo>
                        <a:lnTo>
                          <a:pt x="45" y="31"/>
                        </a:lnTo>
                        <a:lnTo>
                          <a:pt x="17" y="28"/>
                        </a:lnTo>
                        <a:lnTo>
                          <a:pt x="0" y="19"/>
                        </a:lnTo>
                        <a:close/>
                      </a:path>
                    </a:pathLst>
                  </a:custGeom>
                  <a:noFill/>
                  <a:ln w="190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sp macro="[0]!Макрос2б1" textlink="">
                <xdr:nvSpPr>
                  <xdr:cNvPr id="31980" name="Freeform 236" descr="Светлый диагональный 1">
                    <a:extLst>
                      <a:ext uri="{FF2B5EF4-FFF2-40B4-BE49-F238E27FC236}">
                        <a16:creationId xmlns:a16="http://schemas.microsoft.com/office/drawing/2014/main" id="{00000000-0008-0000-2100-0000EC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20" y="400"/>
                    <a:ext cx="141" cy="43"/>
                  </a:xfrm>
                  <a:custGeom>
                    <a:avLst/>
                    <a:gdLst/>
                    <a:ahLst/>
                    <a:cxnLst>
                      <a:cxn ang="0">
                        <a:pos x="1" y="19"/>
                      </a:cxn>
                      <a:cxn ang="0">
                        <a:pos x="16" y="13"/>
                      </a:cxn>
                      <a:cxn ang="0">
                        <a:pos x="22" y="0"/>
                      </a:cxn>
                      <a:cxn ang="0">
                        <a:pos x="35" y="0"/>
                      </a:cxn>
                      <a:cxn ang="0">
                        <a:pos x="40" y="14"/>
                      </a:cxn>
                      <a:cxn ang="0">
                        <a:pos x="54" y="20"/>
                      </a:cxn>
                      <a:cxn ang="0">
                        <a:pos x="79" y="23"/>
                      </a:cxn>
                      <a:cxn ang="0">
                        <a:pos x="99" y="20"/>
                      </a:cxn>
                      <a:cxn ang="0">
                        <a:pos x="110" y="14"/>
                      </a:cxn>
                      <a:cxn ang="0">
                        <a:pos x="114" y="1"/>
                      </a:cxn>
                      <a:cxn ang="0">
                        <a:pos x="125" y="1"/>
                      </a:cxn>
                      <a:cxn ang="0">
                        <a:pos x="129" y="14"/>
                      </a:cxn>
                      <a:cxn ang="0">
                        <a:pos x="141" y="20"/>
                      </a:cxn>
                      <a:cxn ang="0">
                        <a:pos x="141" y="33"/>
                      </a:cxn>
                      <a:cxn ang="0">
                        <a:pos x="140" y="40"/>
                      </a:cxn>
                      <a:cxn ang="0">
                        <a:pos x="124" y="39"/>
                      </a:cxn>
                      <a:cxn ang="0">
                        <a:pos x="110" y="41"/>
                      </a:cxn>
                      <a:cxn ang="0">
                        <a:pos x="86" y="42"/>
                      </a:cxn>
                      <a:cxn ang="0">
                        <a:pos x="63" y="40"/>
                      </a:cxn>
                      <a:cxn ang="0">
                        <a:pos x="42" y="43"/>
                      </a:cxn>
                      <a:cxn ang="0">
                        <a:pos x="10" y="42"/>
                      </a:cxn>
                      <a:cxn ang="0">
                        <a:pos x="0" y="37"/>
                      </a:cxn>
                      <a:cxn ang="0">
                        <a:pos x="3" y="29"/>
                      </a:cxn>
                      <a:cxn ang="0">
                        <a:pos x="1" y="19"/>
                      </a:cxn>
                    </a:cxnLst>
                    <a:rect l="0" t="0" r="r" b="b"/>
                    <a:pathLst>
                      <a:path w="141" h="43">
                        <a:moveTo>
                          <a:pt x="1" y="19"/>
                        </a:moveTo>
                        <a:lnTo>
                          <a:pt x="16" y="13"/>
                        </a:lnTo>
                        <a:lnTo>
                          <a:pt x="22" y="0"/>
                        </a:lnTo>
                        <a:lnTo>
                          <a:pt x="35" y="0"/>
                        </a:lnTo>
                        <a:cubicBezTo>
                          <a:pt x="35" y="0"/>
                          <a:pt x="37" y="7"/>
                          <a:pt x="40" y="14"/>
                        </a:cubicBezTo>
                        <a:cubicBezTo>
                          <a:pt x="46" y="18"/>
                          <a:pt x="46" y="17"/>
                          <a:pt x="54" y="20"/>
                        </a:cubicBezTo>
                        <a:cubicBezTo>
                          <a:pt x="64" y="22"/>
                          <a:pt x="68" y="23"/>
                          <a:pt x="79" y="23"/>
                        </a:cubicBezTo>
                        <a:cubicBezTo>
                          <a:pt x="90" y="23"/>
                          <a:pt x="88" y="22"/>
                          <a:pt x="99" y="20"/>
                        </a:cubicBezTo>
                        <a:cubicBezTo>
                          <a:pt x="104" y="17"/>
                          <a:pt x="105" y="18"/>
                          <a:pt x="110" y="14"/>
                        </a:cubicBezTo>
                        <a:cubicBezTo>
                          <a:pt x="112" y="7"/>
                          <a:pt x="114" y="1"/>
                          <a:pt x="114" y="1"/>
                        </a:cubicBezTo>
                        <a:lnTo>
                          <a:pt x="125" y="1"/>
                        </a:lnTo>
                        <a:lnTo>
                          <a:pt x="129" y="14"/>
                        </a:lnTo>
                        <a:lnTo>
                          <a:pt x="141" y="20"/>
                        </a:lnTo>
                        <a:lnTo>
                          <a:pt x="141" y="33"/>
                        </a:lnTo>
                        <a:lnTo>
                          <a:pt x="140" y="40"/>
                        </a:lnTo>
                        <a:lnTo>
                          <a:pt x="124" y="39"/>
                        </a:lnTo>
                        <a:lnTo>
                          <a:pt x="110" y="41"/>
                        </a:lnTo>
                        <a:lnTo>
                          <a:pt x="86" y="42"/>
                        </a:lnTo>
                        <a:lnTo>
                          <a:pt x="63" y="40"/>
                        </a:lnTo>
                        <a:lnTo>
                          <a:pt x="42" y="43"/>
                        </a:lnTo>
                        <a:lnTo>
                          <a:pt x="10" y="42"/>
                        </a:lnTo>
                        <a:lnTo>
                          <a:pt x="0" y="37"/>
                        </a:lnTo>
                        <a:lnTo>
                          <a:pt x="3" y="29"/>
                        </a:lnTo>
                        <a:lnTo>
                          <a:pt x="1" y="19"/>
                        </a:lnTo>
                        <a:close/>
                      </a:path>
                    </a:pathLst>
                  </a:custGeom>
                  <a:pattFill prst="ltDnDiag">
                    <a:fgClr>
                      <a:srgbClr val="000000"/>
                    </a:fgClr>
                    <a:bgClr>
                      <a:srgbClr val="FFFFFF"/>
                    </a:bgClr>
                  </a:pattFill>
                  <a:ln w="6350" cap="flat" cmpd="sng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</xdr:grpSp>
            <xdr:grpSp>
              <xdr:nvGrpSpPr>
                <xdr:cNvPr id="31981" name="Group 237">
                  <a:extLst>
                    <a:ext uri="{FF2B5EF4-FFF2-40B4-BE49-F238E27FC236}">
                      <a16:creationId xmlns:a16="http://schemas.microsoft.com/office/drawing/2014/main" id="{00000000-0008-0000-2100-0000ED7C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57" y="359"/>
                  <a:ext cx="200" cy="112"/>
                  <a:chOff x="757" y="359"/>
                  <a:chExt cx="200" cy="112"/>
                </a:xfrm>
              </xdr:grpSpPr>
              <xdr:grpSp>
                <xdr:nvGrpSpPr>
                  <xdr:cNvPr id="31982" name="Group 238">
                    <a:extLst>
                      <a:ext uri="{FF2B5EF4-FFF2-40B4-BE49-F238E27FC236}">
                        <a16:creationId xmlns:a16="http://schemas.microsoft.com/office/drawing/2014/main" id="{00000000-0008-0000-2100-0000EE7C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57" y="359"/>
                    <a:ext cx="200" cy="112"/>
                    <a:chOff x="757" y="359"/>
                    <a:chExt cx="200" cy="112"/>
                  </a:xfrm>
                </xdr:grpSpPr>
                <xdr:grpSp>
                  <xdr:nvGrpSpPr>
                    <xdr:cNvPr id="31983" name="Group 239">
                      <a:extLst>
                        <a:ext uri="{FF2B5EF4-FFF2-40B4-BE49-F238E27FC236}">
                          <a16:creationId xmlns:a16="http://schemas.microsoft.com/office/drawing/2014/main" id="{00000000-0008-0000-2100-0000EF7C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757" y="359"/>
                      <a:ext cx="200" cy="95"/>
                      <a:chOff x="757" y="359"/>
                      <a:chExt cx="200" cy="95"/>
                    </a:xfrm>
                  </xdr:grpSpPr>
                  <xdr:sp macro="[0]!Макрос2б1" textlink="">
                    <xdr:nvSpPr>
                      <xdr:cNvPr id="31984" name="Line 240">
                        <a:extLst>
                          <a:ext uri="{FF2B5EF4-FFF2-40B4-BE49-F238E27FC236}">
                            <a16:creationId xmlns:a16="http://schemas.microsoft.com/office/drawing/2014/main" id="{00000000-0008-0000-2100-0000F0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757" y="399"/>
                        <a:ext cx="200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1985" name="Line 241">
                        <a:extLst>
                          <a:ext uri="{FF2B5EF4-FFF2-40B4-BE49-F238E27FC236}">
                            <a16:creationId xmlns:a16="http://schemas.microsoft.com/office/drawing/2014/main" id="{00000000-0008-0000-2100-0000F1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02" y="424"/>
                        <a:ext cx="155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1986" name="Line 242">
                        <a:extLst>
                          <a:ext uri="{FF2B5EF4-FFF2-40B4-BE49-F238E27FC236}">
                            <a16:creationId xmlns:a16="http://schemas.microsoft.com/office/drawing/2014/main" id="{00000000-0008-0000-2100-0000F2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943" y="399"/>
                        <a:ext cx="0" cy="23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1987" name="Line 243">
                        <a:extLst>
                          <a:ext uri="{FF2B5EF4-FFF2-40B4-BE49-F238E27FC236}">
                            <a16:creationId xmlns:a16="http://schemas.microsoft.com/office/drawing/2014/main" id="{00000000-0008-0000-2100-0000F3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943" y="359"/>
                        <a:ext cx="0" cy="4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б1" textlink="">
                    <xdr:nvSpPr>
                      <xdr:cNvPr id="31988" name="Line 244">
                        <a:extLst>
                          <a:ext uri="{FF2B5EF4-FFF2-40B4-BE49-F238E27FC236}">
                            <a16:creationId xmlns:a16="http://schemas.microsoft.com/office/drawing/2014/main" id="{00000000-0008-0000-2100-0000F4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943" y="424"/>
                        <a:ext cx="0" cy="3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sp macro="[0]!Макрос2б1" textlink="">
                  <xdr:nvSpPr>
                    <xdr:cNvPr id="31989" name="Line 245">
                      <a:extLst>
                        <a:ext uri="{FF2B5EF4-FFF2-40B4-BE49-F238E27FC236}">
                          <a16:creationId xmlns:a16="http://schemas.microsoft.com/office/drawing/2014/main" id="{00000000-0008-0000-2100-0000F57C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>
                      <a:off x="916" y="414"/>
                      <a:ext cx="0" cy="11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1990" name="Line 246">
                      <a:extLst>
                        <a:ext uri="{FF2B5EF4-FFF2-40B4-BE49-F238E27FC236}">
                          <a16:creationId xmlns:a16="http://schemas.microsoft.com/office/drawing/2014/main" id="{00000000-0008-0000-2100-0000F67C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 flipV="1">
                      <a:off x="916" y="388"/>
                      <a:ext cx="0" cy="26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2б1" textlink="">
                  <xdr:nvSpPr>
                    <xdr:cNvPr id="31991" name="Line 247">
                      <a:extLst>
                        <a:ext uri="{FF2B5EF4-FFF2-40B4-BE49-F238E27FC236}">
                          <a16:creationId xmlns:a16="http://schemas.microsoft.com/office/drawing/2014/main" id="{00000000-0008-0000-2100-0000F77C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>
                      <a:off x="916" y="426"/>
                      <a:ext cx="0" cy="45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grpSp>
                  <xdr:nvGrpSpPr>
                    <xdr:cNvPr id="31992" name="Group 248">
                      <a:extLst>
                        <a:ext uri="{FF2B5EF4-FFF2-40B4-BE49-F238E27FC236}">
                          <a16:creationId xmlns:a16="http://schemas.microsoft.com/office/drawing/2014/main" id="{00000000-0008-0000-2100-0000F87C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855" y="359"/>
                      <a:ext cx="73" cy="79"/>
                      <a:chOff x="855" y="359"/>
                      <a:chExt cx="73" cy="79"/>
                    </a:xfrm>
                  </xdr:grpSpPr>
                  <xdr:sp macro="[0]!Макрос2б1" textlink="">
                    <xdr:nvSpPr>
                      <xdr:cNvPr id="31993" name="Line 249">
                        <a:extLst>
                          <a:ext uri="{FF2B5EF4-FFF2-40B4-BE49-F238E27FC236}">
                            <a16:creationId xmlns:a16="http://schemas.microsoft.com/office/drawing/2014/main" id="{00000000-0008-0000-2100-0000F9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55" y="399"/>
                        <a:ext cx="49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1994" name="Line 250">
                        <a:extLst>
                          <a:ext uri="{FF2B5EF4-FFF2-40B4-BE49-F238E27FC236}">
                            <a16:creationId xmlns:a16="http://schemas.microsoft.com/office/drawing/2014/main" id="{00000000-0008-0000-2100-0000FA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55" y="414"/>
                        <a:ext cx="73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1995" name="Line 251">
                        <a:extLst>
                          <a:ext uri="{FF2B5EF4-FFF2-40B4-BE49-F238E27FC236}">
                            <a16:creationId xmlns:a16="http://schemas.microsoft.com/office/drawing/2014/main" id="{00000000-0008-0000-2100-0000FB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89" y="399"/>
                        <a:ext cx="0" cy="15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1996" name="Line 252">
                        <a:extLst>
                          <a:ext uri="{FF2B5EF4-FFF2-40B4-BE49-F238E27FC236}">
                            <a16:creationId xmlns:a16="http://schemas.microsoft.com/office/drawing/2014/main" id="{00000000-0008-0000-2100-0000FC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889" y="359"/>
                        <a:ext cx="0" cy="4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б1" textlink="">
                    <xdr:nvSpPr>
                      <xdr:cNvPr id="31997" name="Line 253">
                        <a:extLst>
                          <a:ext uri="{FF2B5EF4-FFF2-40B4-BE49-F238E27FC236}">
                            <a16:creationId xmlns:a16="http://schemas.microsoft.com/office/drawing/2014/main" id="{00000000-0008-0000-2100-0000FD7C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>
                        <a:off x="889" y="414"/>
                        <a:ext cx="0" cy="24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sp macro="[0]!Макрос2б1" textlink="">
                  <xdr:nvSpPr>
                    <xdr:cNvPr id="31998" name="Line 254">
                      <a:extLst>
                        <a:ext uri="{FF2B5EF4-FFF2-40B4-BE49-F238E27FC236}">
                          <a16:creationId xmlns:a16="http://schemas.microsoft.com/office/drawing/2014/main" id="{00000000-0008-0000-2100-0000FE7C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flipH="1">
                      <a:off x="873" y="425"/>
                      <a:ext cx="0" cy="46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sp macro="[0]!Макрос2б1" textlink="">
                <xdr:nvSpPr>
                  <xdr:cNvPr id="31999" name="Freeform 255">
                    <a:extLst>
                      <a:ext uri="{FF2B5EF4-FFF2-40B4-BE49-F238E27FC236}">
                        <a16:creationId xmlns:a16="http://schemas.microsoft.com/office/drawing/2014/main" id="{00000000-0008-0000-2100-0000FF7C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80" y="391"/>
                    <a:ext cx="38" cy="28"/>
                  </a:xfrm>
                  <a:custGeom>
                    <a:avLst/>
                    <a:gdLst/>
                    <a:ahLst/>
                    <a:cxnLst>
                      <a:cxn ang="0">
                        <a:pos x="38" y="28"/>
                      </a:cxn>
                      <a:cxn ang="0">
                        <a:pos x="30" y="0"/>
                      </a:cxn>
                      <a:cxn ang="0">
                        <a:pos x="0" y="0"/>
                      </a:cxn>
                    </a:cxnLst>
                    <a:rect l="0" t="0" r="r" b="b"/>
                    <a:pathLst>
                      <a:path w="38" h="28">
                        <a:moveTo>
                          <a:pt x="38" y="28"/>
                        </a:moveTo>
                        <a:lnTo>
                          <a:pt x="30" y="0"/>
                        </a:lnTo>
                        <a:lnTo>
                          <a:pt x="0" y="0"/>
                        </a:lnTo>
                      </a:path>
                    </a:pathLst>
                  </a:custGeom>
                  <a:noFill/>
                  <a:ln w="9525" cap="flat" cmpd="sng">
                    <a:solidFill>
                      <a:srgbClr val="0000FF"/>
                    </a:solidFill>
                    <a:prstDash val="solid"/>
                    <a:round/>
                    <a:headEnd type="stealth" w="sm" len="lg"/>
                    <a:tailEnd type="none" w="med" len="med"/>
                  </a:ln>
                </xdr:spPr>
              </xdr:sp>
            </xdr:grpSp>
            <xdr:grpSp>
              <xdr:nvGrpSpPr>
                <xdr:cNvPr id="32000" name="Group 256">
                  <a:extLst>
                    <a:ext uri="{FF2B5EF4-FFF2-40B4-BE49-F238E27FC236}">
                      <a16:creationId xmlns:a16="http://schemas.microsoft.com/office/drawing/2014/main" id="{00000000-0008-0000-2100-000000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12" y="413"/>
                  <a:ext cx="65" cy="49"/>
                  <a:chOff x="712" y="413"/>
                  <a:chExt cx="65" cy="49"/>
                </a:xfrm>
              </xdr:grpSpPr>
              <xdr:sp macro="[0]!Макрос2б1" textlink="">
                <xdr:nvSpPr>
                  <xdr:cNvPr id="32001" name="Line 257">
                    <a:extLst>
                      <a:ext uri="{FF2B5EF4-FFF2-40B4-BE49-F238E27FC236}">
                        <a16:creationId xmlns:a16="http://schemas.microsoft.com/office/drawing/2014/main" id="{00000000-0008-0000-2100-0000017D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flipH="1">
                    <a:off x="712" y="413"/>
                    <a:ext cx="24" cy="4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2б1" textlink="">
                <xdr:nvSpPr>
                  <xdr:cNvPr id="32002" name="Line 258">
                    <a:extLst>
                      <a:ext uri="{FF2B5EF4-FFF2-40B4-BE49-F238E27FC236}">
                        <a16:creationId xmlns:a16="http://schemas.microsoft.com/office/drawing/2014/main" id="{00000000-0008-0000-2100-0000027D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>
                    <a:off x="760" y="414"/>
                    <a:ext cx="17" cy="48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2б1" textlink="">
                <xdr:nvSpPr>
                  <xdr:cNvPr id="32003" name="Freeform 259">
                    <a:extLst>
                      <a:ext uri="{FF2B5EF4-FFF2-40B4-BE49-F238E27FC236}">
                        <a16:creationId xmlns:a16="http://schemas.microsoft.com/office/drawing/2014/main" id="{00000000-0008-0000-2100-0000037D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717" y="454"/>
                    <a:ext cx="57" cy="6"/>
                  </a:xfrm>
                  <a:custGeom>
                    <a:avLst/>
                    <a:gdLst/>
                    <a:ahLst/>
                    <a:cxnLst>
                      <a:cxn ang="0">
                        <a:pos x="0" y="0"/>
                      </a:cxn>
                      <a:cxn ang="0">
                        <a:pos x="26" y="6"/>
                      </a:cxn>
                      <a:cxn ang="0">
                        <a:pos x="57" y="0"/>
                      </a:cxn>
                    </a:cxnLst>
                    <a:rect l="0" t="0" r="r" b="b"/>
                    <a:pathLst>
                      <a:path w="57" h="6">
                        <a:moveTo>
                          <a:pt x="0" y="0"/>
                        </a:moveTo>
                        <a:cubicBezTo>
                          <a:pt x="8" y="3"/>
                          <a:pt x="17" y="6"/>
                          <a:pt x="26" y="6"/>
                        </a:cubicBezTo>
                        <a:cubicBezTo>
                          <a:pt x="35" y="6"/>
                          <a:pt x="52" y="1"/>
                          <a:pt x="57" y="0"/>
                        </a:cubicBezTo>
                      </a:path>
                    </a:pathLst>
                  </a:custGeom>
                  <a:noFill/>
                  <a:ln w="9525" cap="flat" cmpd="sng">
                    <a:solidFill>
                      <a:srgbClr val="0000FF"/>
                    </a:solidFill>
                    <a:prstDash val="solid"/>
                    <a:round/>
                    <a:headEnd type="stealth" w="sm" len="lg"/>
                    <a:tailEnd type="stealth" w="sm" len="lg"/>
                  </a:ln>
                </xdr:spPr>
              </xdr:sp>
            </xdr:grpSp>
          </xdr:grpSp>
          <xdr:sp macro="[0]!Макрос2б1" textlink="">
            <xdr:nvSpPr>
              <xdr:cNvPr id="32004" name="Text Box 260">
                <a:extLst>
                  <a:ext uri="{FF2B5EF4-FFF2-40B4-BE49-F238E27FC236}">
                    <a16:creationId xmlns:a16="http://schemas.microsoft.com/office/drawing/2014/main" id="{00000000-0008-0000-2100-000004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19" y="385"/>
                <a:ext cx="19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Symbol"/>
                  </a:rPr>
                  <a:t>a</a:t>
                </a:r>
              </a:p>
            </xdr:txBody>
          </xdr:sp>
          <xdr:sp macro="[0]!Макрос2б1" textlink="">
            <xdr:nvSpPr>
              <xdr:cNvPr id="32005" name="Text Box 261">
                <a:extLst>
                  <a:ext uri="{FF2B5EF4-FFF2-40B4-BE49-F238E27FC236}">
                    <a16:creationId xmlns:a16="http://schemas.microsoft.com/office/drawing/2014/main" id="{00000000-0008-0000-2100-000005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66" y="312"/>
                <a:ext cx="21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r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б1" textlink="">
            <xdr:nvSpPr>
              <xdr:cNvPr id="32006" name="Text Box 262">
                <a:extLst>
                  <a:ext uri="{FF2B5EF4-FFF2-40B4-BE49-F238E27FC236}">
                    <a16:creationId xmlns:a16="http://schemas.microsoft.com/office/drawing/2014/main" id="{00000000-0008-0000-2100-000006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36" y="393"/>
                <a:ext cx="26" cy="17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</a:p>
            </xdr:txBody>
          </xdr:sp>
          <xdr:sp macro="[0]!Макрос2б1" textlink="">
            <xdr:nvSpPr>
              <xdr:cNvPr id="32007" name="Text Box 263">
                <a:extLst>
                  <a:ext uri="{FF2B5EF4-FFF2-40B4-BE49-F238E27FC236}">
                    <a16:creationId xmlns:a16="http://schemas.microsoft.com/office/drawing/2014/main" id="{00000000-0008-0000-2100-000007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75" y="389"/>
                <a:ext cx="32" cy="22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б1" textlink="">
            <xdr:nvSpPr>
              <xdr:cNvPr id="32008" name="Text Box 264">
                <a:extLst>
                  <a:ext uri="{FF2B5EF4-FFF2-40B4-BE49-F238E27FC236}">
                    <a16:creationId xmlns:a16="http://schemas.microsoft.com/office/drawing/2014/main" id="{00000000-0008-0000-2100-000008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04" y="316"/>
                <a:ext cx="26" cy="16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</a:p>
            </xdr:txBody>
          </xdr:sp>
          <xdr:sp macro="[0]!Макрос2б1" textlink="">
            <xdr:nvSpPr>
              <xdr:cNvPr id="32009" name="Text Box 265">
                <a:extLst>
                  <a:ext uri="{FF2B5EF4-FFF2-40B4-BE49-F238E27FC236}">
                    <a16:creationId xmlns:a16="http://schemas.microsoft.com/office/drawing/2014/main" id="{00000000-0008-0000-2100-000009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47" y="312"/>
                <a:ext cx="32" cy="2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r</a:t>
                </a:r>
              </a:p>
            </xdr:txBody>
          </xdr:sp>
          <xdr:sp macro="[0]!Макрос2б1" textlink="">
            <xdr:nvSpPr>
              <xdr:cNvPr id="32010" name="Text Box 266">
                <a:extLst>
                  <a:ext uri="{FF2B5EF4-FFF2-40B4-BE49-F238E27FC236}">
                    <a16:creationId xmlns:a16="http://schemas.microsoft.com/office/drawing/2014/main" id="{00000000-0008-0000-2100-00000A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87" y="283"/>
                <a:ext cx="47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sng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 - B</a:t>
                </a:r>
              </a:p>
            </xdr:txBody>
          </xdr:sp>
        </xdr:grpSp>
        <xdr:grpSp>
          <xdr:nvGrpSpPr>
            <xdr:cNvPr id="32011" name="Group 267">
              <a:extLst>
                <a:ext uri="{FF2B5EF4-FFF2-40B4-BE49-F238E27FC236}">
                  <a16:creationId xmlns:a16="http://schemas.microsoft.com/office/drawing/2014/main" id="{00000000-0008-0000-2100-00000B7D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42" y="117"/>
              <a:ext cx="233" cy="238"/>
              <a:chOff x="669" y="163"/>
              <a:chExt cx="233" cy="238"/>
            </a:xfrm>
          </xdr:grpSpPr>
          <xdr:grpSp>
            <xdr:nvGrpSpPr>
              <xdr:cNvPr id="32012" name="Group 268">
                <a:extLst>
                  <a:ext uri="{FF2B5EF4-FFF2-40B4-BE49-F238E27FC236}">
                    <a16:creationId xmlns:a16="http://schemas.microsoft.com/office/drawing/2014/main" id="{00000000-0008-0000-2100-00000C7D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69" y="215"/>
                <a:ext cx="233" cy="186"/>
                <a:chOff x="669" y="215"/>
                <a:chExt cx="233" cy="186"/>
              </a:xfrm>
            </xdr:grpSpPr>
            <xdr:grpSp>
              <xdr:nvGrpSpPr>
                <xdr:cNvPr id="32013" name="Group 269">
                  <a:extLst>
                    <a:ext uri="{FF2B5EF4-FFF2-40B4-BE49-F238E27FC236}">
                      <a16:creationId xmlns:a16="http://schemas.microsoft.com/office/drawing/2014/main" id="{00000000-0008-0000-2100-00000D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82" y="215"/>
                  <a:ext cx="157" cy="146"/>
                  <a:chOff x="561" y="193"/>
                  <a:chExt cx="157" cy="148"/>
                </a:xfrm>
              </xdr:grpSpPr>
              <xdr:grpSp>
                <xdr:nvGrpSpPr>
                  <xdr:cNvPr id="32014" name="Group 270">
                    <a:extLst>
                      <a:ext uri="{FF2B5EF4-FFF2-40B4-BE49-F238E27FC236}">
                        <a16:creationId xmlns:a16="http://schemas.microsoft.com/office/drawing/2014/main" id="{00000000-0008-0000-2100-00000E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87" y="215"/>
                    <a:ext cx="103" cy="103"/>
                    <a:chOff x="590" y="221"/>
                    <a:chExt cx="103" cy="103"/>
                  </a:xfrm>
                </xdr:grpSpPr>
                <xdr:sp macro="[0]!Макрос2б1" textlink="">
                  <xdr:nvSpPr>
                    <xdr:cNvPr id="32015" name="AutoShape 271">
                      <a:extLst>
                        <a:ext uri="{FF2B5EF4-FFF2-40B4-BE49-F238E27FC236}">
                          <a16:creationId xmlns:a16="http://schemas.microsoft.com/office/drawing/2014/main" id="{00000000-0008-0000-2100-00000F7D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 rot="16200000" flipV="1">
                      <a:off x="620" y="258"/>
                      <a:ext cx="44" cy="88"/>
                    </a:xfrm>
                    <a:prstGeom prst="moon">
                      <a:avLst>
                        <a:gd name="adj" fmla="val 29162"/>
                      </a:avLst>
                    </a:prstGeom>
                    <a:noFill/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016" name="AutoShape 272">
                      <a:extLst>
                        <a:ext uri="{FF2B5EF4-FFF2-40B4-BE49-F238E27FC236}">
                          <a16:creationId xmlns:a16="http://schemas.microsoft.com/office/drawing/2014/main" id="{00000000-0008-0000-2100-0000107D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 rot="5400000">
                      <a:off x="620" y="200"/>
                      <a:ext cx="44" cy="88"/>
                    </a:xfrm>
                    <a:prstGeom prst="moon">
                      <a:avLst>
                        <a:gd name="adj" fmla="val 29162"/>
                      </a:avLst>
                    </a:prstGeom>
                    <a:noFill/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017" name="Freeform 273" descr="Светлый диагональный 1">
                      <a:extLst>
                        <a:ext uri="{FF2B5EF4-FFF2-40B4-BE49-F238E27FC236}">
                          <a16:creationId xmlns:a16="http://schemas.microsoft.com/office/drawing/2014/main" id="{00000000-0008-0000-2100-000011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590" y="221"/>
                      <a:ext cx="103" cy="101"/>
                    </a:xfrm>
                    <a:custGeom>
                      <a:avLst/>
                      <a:gdLst/>
                      <a:ahLst/>
                      <a:cxnLst>
                        <a:cxn ang="0">
                          <a:pos x="38" y="22"/>
                        </a:cxn>
                        <a:cxn ang="0">
                          <a:pos x="29" y="29"/>
                        </a:cxn>
                        <a:cxn ang="0">
                          <a:pos x="23" y="37"/>
                        </a:cxn>
                        <a:cxn ang="0">
                          <a:pos x="20" y="46"/>
                        </a:cxn>
                        <a:cxn ang="0">
                          <a:pos x="1" y="46"/>
                        </a:cxn>
                        <a:cxn ang="0">
                          <a:pos x="1" y="59"/>
                        </a:cxn>
                        <a:cxn ang="0">
                          <a:pos x="9" y="59"/>
                        </a:cxn>
                        <a:cxn ang="0">
                          <a:pos x="12" y="65"/>
                        </a:cxn>
                        <a:cxn ang="0">
                          <a:pos x="25" y="68"/>
                        </a:cxn>
                        <a:cxn ang="0">
                          <a:pos x="40" y="81"/>
                        </a:cxn>
                        <a:cxn ang="0">
                          <a:pos x="53" y="84"/>
                        </a:cxn>
                        <a:cxn ang="0">
                          <a:pos x="59" y="92"/>
                        </a:cxn>
                        <a:cxn ang="0">
                          <a:pos x="64" y="101"/>
                        </a:cxn>
                        <a:cxn ang="0">
                          <a:pos x="75" y="97"/>
                        </a:cxn>
                        <a:cxn ang="0">
                          <a:pos x="84" y="89"/>
                        </a:cxn>
                        <a:cxn ang="0">
                          <a:pos x="77" y="71"/>
                        </a:cxn>
                        <a:cxn ang="0">
                          <a:pos x="81" y="65"/>
                        </a:cxn>
                        <a:cxn ang="0">
                          <a:pos x="84" y="58"/>
                        </a:cxn>
                        <a:cxn ang="0">
                          <a:pos x="102" y="58"/>
                        </a:cxn>
                        <a:cxn ang="0">
                          <a:pos x="103" y="51"/>
                        </a:cxn>
                        <a:cxn ang="0">
                          <a:pos x="102" y="45"/>
                        </a:cxn>
                        <a:cxn ang="0">
                          <a:pos x="84" y="45"/>
                        </a:cxn>
                        <a:cxn ang="0">
                          <a:pos x="80" y="35"/>
                        </a:cxn>
                        <a:cxn ang="0">
                          <a:pos x="74" y="24"/>
                        </a:cxn>
                        <a:cxn ang="0">
                          <a:pos x="63" y="13"/>
                        </a:cxn>
                        <a:cxn ang="0">
                          <a:pos x="63" y="2"/>
                        </a:cxn>
                        <a:cxn ang="0">
                          <a:pos x="52" y="0"/>
                        </a:cxn>
                        <a:cxn ang="0">
                          <a:pos x="41" y="1"/>
                        </a:cxn>
                        <a:cxn ang="0">
                          <a:pos x="38" y="22"/>
                        </a:cxn>
                      </a:cxnLst>
                      <a:rect l="0" t="0" r="r" b="b"/>
                      <a:pathLst>
                        <a:path w="103" h="101">
                          <a:moveTo>
                            <a:pt x="38" y="22"/>
                          </a:moveTo>
                          <a:cubicBezTo>
                            <a:pt x="35" y="24"/>
                            <a:pt x="33" y="26"/>
                            <a:pt x="29" y="29"/>
                          </a:cubicBezTo>
                          <a:cubicBezTo>
                            <a:pt x="25" y="33"/>
                            <a:pt x="26" y="33"/>
                            <a:pt x="23" y="37"/>
                          </a:cubicBezTo>
                          <a:cubicBezTo>
                            <a:pt x="21" y="41"/>
                            <a:pt x="21" y="42"/>
                            <a:pt x="20" y="46"/>
                          </a:cubicBezTo>
                          <a:cubicBezTo>
                            <a:pt x="15" y="46"/>
                            <a:pt x="8" y="46"/>
                            <a:pt x="1" y="46"/>
                          </a:cubicBezTo>
                          <a:cubicBezTo>
                            <a:pt x="0" y="53"/>
                            <a:pt x="0" y="53"/>
                            <a:pt x="1" y="59"/>
                          </a:cubicBezTo>
                          <a:cubicBezTo>
                            <a:pt x="7" y="59"/>
                            <a:pt x="4" y="59"/>
                            <a:pt x="9" y="59"/>
                          </a:cubicBezTo>
                          <a:cubicBezTo>
                            <a:pt x="11" y="62"/>
                            <a:pt x="9" y="61"/>
                            <a:pt x="12" y="65"/>
                          </a:cubicBezTo>
                          <a:cubicBezTo>
                            <a:pt x="15" y="69"/>
                            <a:pt x="22" y="65"/>
                            <a:pt x="25" y="68"/>
                          </a:cubicBezTo>
                          <a:cubicBezTo>
                            <a:pt x="29" y="74"/>
                            <a:pt x="33" y="77"/>
                            <a:pt x="40" y="81"/>
                          </a:cubicBezTo>
                          <a:cubicBezTo>
                            <a:pt x="43" y="82"/>
                            <a:pt x="47" y="83"/>
                            <a:pt x="53" y="84"/>
                          </a:cubicBezTo>
                          <a:cubicBezTo>
                            <a:pt x="56" y="89"/>
                            <a:pt x="56" y="88"/>
                            <a:pt x="59" y="92"/>
                          </a:cubicBezTo>
                          <a:cubicBezTo>
                            <a:pt x="61" y="97"/>
                            <a:pt x="62" y="96"/>
                            <a:pt x="64" y="101"/>
                          </a:cubicBezTo>
                          <a:cubicBezTo>
                            <a:pt x="69" y="100"/>
                            <a:pt x="71" y="99"/>
                            <a:pt x="75" y="97"/>
                          </a:cubicBezTo>
                          <a:cubicBezTo>
                            <a:pt x="80" y="94"/>
                            <a:pt x="81" y="92"/>
                            <a:pt x="84" y="89"/>
                          </a:cubicBezTo>
                          <a:cubicBezTo>
                            <a:pt x="81" y="84"/>
                            <a:pt x="79" y="76"/>
                            <a:pt x="77" y="71"/>
                          </a:cubicBezTo>
                          <a:cubicBezTo>
                            <a:pt x="80" y="68"/>
                            <a:pt x="79" y="69"/>
                            <a:pt x="81" y="65"/>
                          </a:cubicBezTo>
                          <a:cubicBezTo>
                            <a:pt x="83" y="61"/>
                            <a:pt x="83" y="62"/>
                            <a:pt x="84" y="58"/>
                          </a:cubicBezTo>
                          <a:cubicBezTo>
                            <a:pt x="90" y="58"/>
                            <a:pt x="96" y="58"/>
                            <a:pt x="102" y="58"/>
                          </a:cubicBezTo>
                          <a:cubicBezTo>
                            <a:pt x="103" y="53"/>
                            <a:pt x="103" y="54"/>
                            <a:pt x="103" y="51"/>
                          </a:cubicBezTo>
                          <a:cubicBezTo>
                            <a:pt x="103" y="47"/>
                            <a:pt x="103" y="50"/>
                            <a:pt x="102" y="45"/>
                          </a:cubicBezTo>
                          <a:cubicBezTo>
                            <a:pt x="95" y="45"/>
                            <a:pt x="89" y="45"/>
                            <a:pt x="84" y="45"/>
                          </a:cubicBezTo>
                          <a:cubicBezTo>
                            <a:pt x="83" y="43"/>
                            <a:pt x="82" y="38"/>
                            <a:pt x="80" y="35"/>
                          </a:cubicBezTo>
                          <a:cubicBezTo>
                            <a:pt x="78" y="30"/>
                            <a:pt x="77" y="29"/>
                            <a:pt x="74" y="24"/>
                          </a:cubicBezTo>
                          <a:cubicBezTo>
                            <a:pt x="71" y="20"/>
                            <a:pt x="65" y="16"/>
                            <a:pt x="63" y="13"/>
                          </a:cubicBezTo>
                          <a:cubicBezTo>
                            <a:pt x="63" y="8"/>
                            <a:pt x="63" y="7"/>
                            <a:pt x="63" y="2"/>
                          </a:cubicBezTo>
                          <a:cubicBezTo>
                            <a:pt x="60" y="1"/>
                            <a:pt x="57" y="0"/>
                            <a:pt x="52" y="0"/>
                          </a:cubicBezTo>
                          <a:cubicBezTo>
                            <a:pt x="47" y="0"/>
                            <a:pt x="44" y="0"/>
                            <a:pt x="41" y="1"/>
                          </a:cubicBezTo>
                          <a:cubicBezTo>
                            <a:pt x="41" y="12"/>
                            <a:pt x="39" y="11"/>
                            <a:pt x="38" y="22"/>
                          </a:cubicBezTo>
                          <a:close/>
                        </a:path>
                      </a:pathLst>
                    </a:custGeom>
                    <a:pattFill prst="ltDnDiag">
                      <a:fgClr>
                        <a:srgbClr val="000000"/>
                      </a:fgClr>
                      <a:bgClr>
                        <a:srgbClr val="FFFFFF"/>
                      </a:bgClr>
                    </a:pattFill>
                    <a:ln w="6350" cap="flat" cmpd="sng">
                      <a:solidFill>
                        <a:srgbClr val="000000"/>
                      </a:solidFill>
                      <a:prstDash val="solid"/>
                      <a:round/>
                      <a:headEnd/>
                      <a:tailEnd/>
                    </a:ln>
                    <a:effectLst/>
                  </xdr:spPr>
                </xdr:sp>
                <xdr:sp macro="[0]!Макрос2б1" textlink="">
                  <xdr:nvSpPr>
                    <xdr:cNvPr id="32018" name="Oval 274">
                      <a:extLst>
                        <a:ext uri="{FF2B5EF4-FFF2-40B4-BE49-F238E27FC236}">
                          <a16:creationId xmlns:a16="http://schemas.microsoft.com/office/drawing/2014/main" id="{00000000-0008-0000-2100-0000127D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610" y="240"/>
                      <a:ext cx="64" cy="64"/>
                    </a:xfrm>
                    <a:prstGeom prst="ellipse">
                      <a:avLst/>
                    </a:pr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32019" name="Group 275">
                    <a:extLst>
                      <a:ext uri="{FF2B5EF4-FFF2-40B4-BE49-F238E27FC236}">
                        <a16:creationId xmlns:a16="http://schemas.microsoft.com/office/drawing/2014/main" id="{00000000-0008-0000-2100-000013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61" y="193"/>
                    <a:ext cx="157" cy="148"/>
                    <a:chOff x="115" y="28"/>
                    <a:chExt cx="157" cy="148"/>
                  </a:xfrm>
                </xdr:grpSpPr>
                <xdr:sp macro="[0]!Макрос2б1" textlink="">
                  <xdr:nvSpPr>
                    <xdr:cNvPr id="32020" name="Line 276">
                      <a:extLst>
                        <a:ext uri="{FF2B5EF4-FFF2-40B4-BE49-F238E27FC236}">
                          <a16:creationId xmlns:a16="http://schemas.microsoft.com/office/drawing/2014/main" id="{00000000-0008-0000-2100-000014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92" y="28"/>
                      <a:ext cx="0" cy="148"/>
                    </a:xfrm>
                    <a:prstGeom prst="line">
                      <a:avLst/>
                    </a:prstGeom>
                    <a:noFill/>
                    <a:ln w="6350">
                      <a:solidFill>
                        <a:srgbClr val="FF0000"/>
                      </a:solidFill>
                      <a:prstDash val="lgDashDot"/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021" name="Line 277">
                      <a:extLst>
                        <a:ext uri="{FF2B5EF4-FFF2-40B4-BE49-F238E27FC236}">
                          <a16:creationId xmlns:a16="http://schemas.microsoft.com/office/drawing/2014/main" id="{00000000-0008-0000-2100-000015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115" y="102"/>
                      <a:ext cx="157" cy="0"/>
                    </a:xfrm>
                    <a:prstGeom prst="line">
                      <a:avLst/>
                    </a:prstGeom>
                    <a:noFill/>
                    <a:ln w="6350">
                      <a:solidFill>
                        <a:srgbClr val="FF0000"/>
                      </a:solidFill>
                      <a:prstDash val="lgDashDot"/>
                      <a:round/>
                      <a:headEnd/>
                      <a:tailEnd/>
                    </a:ln>
                  </xdr:spPr>
                </xdr:sp>
              </xdr:grpSp>
            </xdr:grpSp>
            <xdr:grpSp>
              <xdr:nvGrpSpPr>
                <xdr:cNvPr id="32022" name="Group 278">
                  <a:extLst>
                    <a:ext uri="{FF2B5EF4-FFF2-40B4-BE49-F238E27FC236}">
                      <a16:creationId xmlns:a16="http://schemas.microsoft.com/office/drawing/2014/main" id="{00000000-0008-0000-2100-000016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669" y="220"/>
                  <a:ext cx="233" cy="181"/>
                  <a:chOff x="669" y="220"/>
                  <a:chExt cx="233" cy="181"/>
                </a:xfrm>
              </xdr:grpSpPr>
              <xdr:grpSp>
                <xdr:nvGrpSpPr>
                  <xdr:cNvPr id="32023" name="Group 279">
                    <a:extLst>
                      <a:ext uri="{FF2B5EF4-FFF2-40B4-BE49-F238E27FC236}">
                        <a16:creationId xmlns:a16="http://schemas.microsoft.com/office/drawing/2014/main" id="{00000000-0008-0000-2100-000017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669" y="220"/>
                    <a:ext cx="78" cy="62"/>
                    <a:chOff x="669" y="220"/>
                    <a:chExt cx="78" cy="62"/>
                  </a:xfrm>
                </xdr:grpSpPr>
                <xdr:grpSp>
                  <xdr:nvGrpSpPr>
                    <xdr:cNvPr id="32024" name="Group 280">
                      <a:extLst>
                        <a:ext uri="{FF2B5EF4-FFF2-40B4-BE49-F238E27FC236}">
                          <a16:creationId xmlns:a16="http://schemas.microsoft.com/office/drawing/2014/main" id="{00000000-0008-0000-2100-000018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69" y="229"/>
                      <a:ext cx="78" cy="0"/>
                      <a:chOff x="669" y="229"/>
                      <a:chExt cx="78" cy="0"/>
                    </a:xfrm>
                  </xdr:grpSpPr>
                  <xdr:sp macro="[0]!Макрос2б1" textlink="">
                    <xdr:nvSpPr>
                      <xdr:cNvPr id="32025" name="Line 281">
                        <a:extLst>
                          <a:ext uri="{FF2B5EF4-FFF2-40B4-BE49-F238E27FC236}">
                            <a16:creationId xmlns:a16="http://schemas.microsoft.com/office/drawing/2014/main" id="{00000000-0008-0000-2100-000019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>
                        <a:off x="718" y="220"/>
                        <a:ext cx="0" cy="1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26" name="Line 282">
                        <a:extLst>
                          <a:ext uri="{FF2B5EF4-FFF2-40B4-BE49-F238E27FC236}">
                            <a16:creationId xmlns:a16="http://schemas.microsoft.com/office/drawing/2014/main" id="{00000000-0008-0000-2100-00001A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 flipV="1">
                        <a:off x="737" y="219"/>
                        <a:ext cx="0" cy="2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б1" textlink="">
                    <xdr:nvSpPr>
                      <xdr:cNvPr id="32027" name="Line 283">
                        <a:extLst>
                          <a:ext uri="{FF2B5EF4-FFF2-40B4-BE49-F238E27FC236}">
                            <a16:creationId xmlns:a16="http://schemas.microsoft.com/office/drawing/2014/main" id="{00000000-0008-0000-2100-00001B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>
                        <a:off x="689" y="209"/>
                        <a:ext cx="0" cy="4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028" name="Group 284">
                      <a:extLst>
                        <a:ext uri="{FF2B5EF4-FFF2-40B4-BE49-F238E27FC236}">
                          <a16:creationId xmlns:a16="http://schemas.microsoft.com/office/drawing/2014/main" id="{00000000-0008-0000-2100-00001C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5400000">
                      <a:off x="689" y="242"/>
                      <a:ext cx="62" cy="17"/>
                      <a:chOff x="989" y="494"/>
                      <a:chExt cx="57" cy="25"/>
                    </a:xfrm>
                  </xdr:grpSpPr>
                  <xdr:sp macro="[0]!Макрос2б1" textlink="">
                    <xdr:nvSpPr>
                      <xdr:cNvPr id="32029" name="Line 285">
                        <a:extLst>
                          <a:ext uri="{FF2B5EF4-FFF2-40B4-BE49-F238E27FC236}">
                            <a16:creationId xmlns:a16="http://schemas.microsoft.com/office/drawing/2014/main" id="{00000000-0008-0000-2100-00001D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30" name="Line 286">
                        <a:extLst>
                          <a:ext uri="{FF2B5EF4-FFF2-40B4-BE49-F238E27FC236}">
                            <a16:creationId xmlns:a16="http://schemas.microsoft.com/office/drawing/2014/main" id="{00000000-0008-0000-2100-00001E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031" name="Group 287">
                    <a:extLst>
                      <a:ext uri="{FF2B5EF4-FFF2-40B4-BE49-F238E27FC236}">
                        <a16:creationId xmlns:a16="http://schemas.microsoft.com/office/drawing/2014/main" id="{00000000-0008-0000-2100-00001F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flipH="1">
                    <a:off x="774" y="220"/>
                    <a:ext cx="78" cy="62"/>
                    <a:chOff x="669" y="220"/>
                    <a:chExt cx="78" cy="62"/>
                  </a:xfrm>
                </xdr:grpSpPr>
                <xdr:grpSp>
                  <xdr:nvGrpSpPr>
                    <xdr:cNvPr id="32032" name="Group 288">
                      <a:extLst>
                        <a:ext uri="{FF2B5EF4-FFF2-40B4-BE49-F238E27FC236}">
                          <a16:creationId xmlns:a16="http://schemas.microsoft.com/office/drawing/2014/main" id="{00000000-0008-0000-2100-000020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69" y="229"/>
                      <a:ext cx="78" cy="0"/>
                      <a:chOff x="669" y="229"/>
                      <a:chExt cx="78" cy="0"/>
                    </a:xfrm>
                  </xdr:grpSpPr>
                  <xdr:sp macro="[0]!Макрос2б1" textlink="">
                    <xdr:nvSpPr>
                      <xdr:cNvPr id="32033" name="Line 289">
                        <a:extLst>
                          <a:ext uri="{FF2B5EF4-FFF2-40B4-BE49-F238E27FC236}">
                            <a16:creationId xmlns:a16="http://schemas.microsoft.com/office/drawing/2014/main" id="{00000000-0008-0000-2100-000021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>
                        <a:off x="718" y="220"/>
                        <a:ext cx="0" cy="1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34" name="Line 290">
                        <a:extLst>
                          <a:ext uri="{FF2B5EF4-FFF2-40B4-BE49-F238E27FC236}">
                            <a16:creationId xmlns:a16="http://schemas.microsoft.com/office/drawing/2014/main" id="{00000000-0008-0000-2100-000022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 flipV="1">
                        <a:off x="737" y="219"/>
                        <a:ext cx="0" cy="2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б1" textlink="">
                    <xdr:nvSpPr>
                      <xdr:cNvPr id="32035" name="Line 291">
                        <a:extLst>
                          <a:ext uri="{FF2B5EF4-FFF2-40B4-BE49-F238E27FC236}">
                            <a16:creationId xmlns:a16="http://schemas.microsoft.com/office/drawing/2014/main" id="{00000000-0008-0000-2100-000023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5400000" flipH="1">
                        <a:off x="689" y="209"/>
                        <a:ext cx="0" cy="4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036" name="Group 292">
                      <a:extLst>
                        <a:ext uri="{FF2B5EF4-FFF2-40B4-BE49-F238E27FC236}">
                          <a16:creationId xmlns:a16="http://schemas.microsoft.com/office/drawing/2014/main" id="{00000000-0008-0000-2100-000024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5400000">
                      <a:off x="689" y="242"/>
                      <a:ext cx="62" cy="17"/>
                      <a:chOff x="989" y="494"/>
                      <a:chExt cx="57" cy="25"/>
                    </a:xfrm>
                  </xdr:grpSpPr>
                  <xdr:sp macro="[0]!Макрос2б1" textlink="">
                    <xdr:nvSpPr>
                      <xdr:cNvPr id="32037" name="Line 293">
                        <a:extLst>
                          <a:ext uri="{FF2B5EF4-FFF2-40B4-BE49-F238E27FC236}">
                            <a16:creationId xmlns:a16="http://schemas.microsoft.com/office/drawing/2014/main" id="{00000000-0008-0000-2100-000025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38" name="Line 294">
                        <a:extLst>
                          <a:ext uri="{FF2B5EF4-FFF2-40B4-BE49-F238E27FC236}">
                            <a16:creationId xmlns:a16="http://schemas.microsoft.com/office/drawing/2014/main" id="{00000000-0008-0000-2100-000026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039" name="Group 295">
                    <a:extLst>
                      <a:ext uri="{FF2B5EF4-FFF2-40B4-BE49-F238E27FC236}">
                        <a16:creationId xmlns:a16="http://schemas.microsoft.com/office/drawing/2014/main" id="{00000000-0008-0000-2100-000027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813" y="246"/>
                    <a:ext cx="47" cy="71"/>
                    <a:chOff x="813" y="246"/>
                    <a:chExt cx="47" cy="71"/>
                  </a:xfrm>
                </xdr:grpSpPr>
                <xdr:grpSp>
                  <xdr:nvGrpSpPr>
                    <xdr:cNvPr id="32040" name="Group 296">
                      <a:extLst>
                        <a:ext uri="{FF2B5EF4-FFF2-40B4-BE49-F238E27FC236}">
                          <a16:creationId xmlns:a16="http://schemas.microsoft.com/office/drawing/2014/main" id="{00000000-0008-0000-2100-000028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850" y="246"/>
                      <a:ext cx="0" cy="71"/>
                      <a:chOff x="850" y="246"/>
                      <a:chExt cx="0" cy="71"/>
                    </a:xfrm>
                  </xdr:grpSpPr>
                  <xdr:sp macro="[0]!Макрос2б1" textlink="">
                    <xdr:nvSpPr>
                      <xdr:cNvPr id="32041" name="Line 297">
                        <a:extLst>
                          <a:ext uri="{FF2B5EF4-FFF2-40B4-BE49-F238E27FC236}">
                            <a16:creationId xmlns:a16="http://schemas.microsoft.com/office/drawing/2014/main" id="{00000000-0008-0000-2100-000029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>
                        <a:off x="850" y="280"/>
                        <a:ext cx="0" cy="13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42" name="Line 298">
                        <a:extLst>
                          <a:ext uri="{FF2B5EF4-FFF2-40B4-BE49-F238E27FC236}">
                            <a16:creationId xmlns:a16="http://schemas.microsoft.com/office/drawing/2014/main" id="{00000000-0008-0000-2100-00002A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 flipV="1">
                        <a:off x="850" y="292"/>
                        <a:ext cx="0" cy="25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б1" textlink="">
                    <xdr:nvSpPr>
                      <xdr:cNvPr id="32043" name="Line 299">
                        <a:extLst>
                          <a:ext uri="{FF2B5EF4-FFF2-40B4-BE49-F238E27FC236}">
                            <a16:creationId xmlns:a16="http://schemas.microsoft.com/office/drawing/2014/main" id="{00000000-0008-0000-2100-00002B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0800000" flipH="1">
                        <a:off x="850" y="246"/>
                        <a:ext cx="0" cy="35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044" name="Group 300">
                      <a:extLst>
                        <a:ext uri="{FF2B5EF4-FFF2-40B4-BE49-F238E27FC236}">
                          <a16:creationId xmlns:a16="http://schemas.microsoft.com/office/drawing/2014/main" id="{00000000-0008-0000-2100-00002C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10800000">
                      <a:off x="813" y="281"/>
                      <a:ext cx="47" cy="13"/>
                      <a:chOff x="989" y="494"/>
                      <a:chExt cx="57" cy="25"/>
                    </a:xfrm>
                  </xdr:grpSpPr>
                  <xdr:sp macro="[0]!Макрос2б1" textlink="">
                    <xdr:nvSpPr>
                      <xdr:cNvPr id="32045" name="Line 301">
                        <a:extLst>
                          <a:ext uri="{FF2B5EF4-FFF2-40B4-BE49-F238E27FC236}">
                            <a16:creationId xmlns:a16="http://schemas.microsoft.com/office/drawing/2014/main" id="{00000000-0008-0000-2100-00002D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46" name="Line 302">
                        <a:extLst>
                          <a:ext uri="{FF2B5EF4-FFF2-40B4-BE49-F238E27FC236}">
                            <a16:creationId xmlns:a16="http://schemas.microsoft.com/office/drawing/2014/main" id="{00000000-0008-0000-2100-00002E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047" name="Group 303">
                    <a:extLst>
                      <a:ext uri="{FF2B5EF4-FFF2-40B4-BE49-F238E27FC236}">
                        <a16:creationId xmlns:a16="http://schemas.microsoft.com/office/drawing/2014/main" id="{00000000-0008-0000-2100-00002F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61" y="237"/>
                    <a:ext cx="141" cy="102"/>
                    <a:chOff x="761" y="237"/>
                    <a:chExt cx="141" cy="102"/>
                  </a:xfrm>
                </xdr:grpSpPr>
                <xdr:sp macro="[0]!Макрос2б1" textlink="">
                  <xdr:nvSpPr>
                    <xdr:cNvPr id="32048" name="Line 304">
                      <a:extLst>
                        <a:ext uri="{FF2B5EF4-FFF2-40B4-BE49-F238E27FC236}">
                          <a16:creationId xmlns:a16="http://schemas.microsoft.com/office/drawing/2014/main" id="{00000000-0008-0000-2100-000030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0800000" flipH="1">
                      <a:off x="891" y="237"/>
                      <a:ext cx="0" cy="102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grpSp>
                  <xdr:nvGrpSpPr>
                    <xdr:cNvPr id="32049" name="Group 305">
                      <a:extLst>
                        <a:ext uri="{FF2B5EF4-FFF2-40B4-BE49-F238E27FC236}">
                          <a16:creationId xmlns:a16="http://schemas.microsoft.com/office/drawing/2014/main" id="{00000000-0008-0000-2100-000031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10800000">
                      <a:off x="761" y="237"/>
                      <a:ext cx="141" cy="102"/>
                      <a:chOff x="989" y="494"/>
                      <a:chExt cx="57" cy="25"/>
                    </a:xfrm>
                  </xdr:grpSpPr>
                  <xdr:sp macro="[0]!Макрос2б1" textlink="">
                    <xdr:nvSpPr>
                      <xdr:cNvPr id="32050" name="Line 306">
                        <a:extLst>
                          <a:ext uri="{FF2B5EF4-FFF2-40B4-BE49-F238E27FC236}">
                            <a16:creationId xmlns:a16="http://schemas.microsoft.com/office/drawing/2014/main" id="{00000000-0008-0000-2100-000032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51" name="Line 307">
                        <a:extLst>
                          <a:ext uri="{FF2B5EF4-FFF2-40B4-BE49-F238E27FC236}">
                            <a16:creationId xmlns:a16="http://schemas.microsoft.com/office/drawing/2014/main" id="{00000000-0008-0000-2100-000033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052" name="Group 308">
                    <a:extLst>
                      <a:ext uri="{FF2B5EF4-FFF2-40B4-BE49-F238E27FC236}">
                        <a16:creationId xmlns:a16="http://schemas.microsoft.com/office/drawing/2014/main" id="{00000000-0008-0000-2100-000034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08" y="295"/>
                    <a:ext cx="104" cy="106"/>
                    <a:chOff x="708" y="295"/>
                    <a:chExt cx="104" cy="106"/>
                  </a:xfrm>
                </xdr:grpSpPr>
                <xdr:sp macro="[0]!Макрос2б1" textlink="">
                  <xdr:nvSpPr>
                    <xdr:cNvPr id="32053" name="Line 309">
                      <a:extLst>
                        <a:ext uri="{FF2B5EF4-FFF2-40B4-BE49-F238E27FC236}">
                          <a16:creationId xmlns:a16="http://schemas.microsoft.com/office/drawing/2014/main" id="{00000000-0008-0000-2100-000035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6200000" flipH="1">
                      <a:off x="759" y="337"/>
                      <a:ext cx="0" cy="102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grpSp>
                  <xdr:nvGrpSpPr>
                    <xdr:cNvPr id="32054" name="Group 310">
                      <a:extLst>
                        <a:ext uri="{FF2B5EF4-FFF2-40B4-BE49-F238E27FC236}">
                          <a16:creationId xmlns:a16="http://schemas.microsoft.com/office/drawing/2014/main" id="{00000000-0008-0000-2100-000036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rot="16200000">
                      <a:off x="708" y="296"/>
                      <a:ext cx="106" cy="103"/>
                      <a:chOff x="989" y="494"/>
                      <a:chExt cx="57" cy="25"/>
                    </a:xfrm>
                  </xdr:grpSpPr>
                  <xdr:sp macro="[0]!Макрос2б1" textlink="">
                    <xdr:nvSpPr>
                      <xdr:cNvPr id="32055" name="Line 311">
                        <a:extLst>
                          <a:ext uri="{FF2B5EF4-FFF2-40B4-BE49-F238E27FC236}">
                            <a16:creationId xmlns:a16="http://schemas.microsoft.com/office/drawing/2014/main" id="{00000000-0008-0000-2100-000037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494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56" name="Line 312">
                        <a:extLst>
                          <a:ext uri="{FF2B5EF4-FFF2-40B4-BE49-F238E27FC236}">
                            <a16:creationId xmlns:a16="http://schemas.microsoft.com/office/drawing/2014/main" id="{00000000-0008-0000-2100-000038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989" y="519"/>
                        <a:ext cx="57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</xdr:grpSp>
              <xdr:grpSp>
                <xdr:nvGrpSpPr>
                  <xdr:cNvPr id="32057" name="Group 313">
                    <a:extLst>
                      <a:ext uri="{FF2B5EF4-FFF2-40B4-BE49-F238E27FC236}">
                        <a16:creationId xmlns:a16="http://schemas.microsoft.com/office/drawing/2014/main" id="{00000000-0008-0000-2100-000039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714" y="258"/>
                    <a:ext cx="58" cy="103"/>
                    <a:chOff x="714" y="258"/>
                    <a:chExt cx="58" cy="103"/>
                  </a:xfrm>
                </xdr:grpSpPr>
                <xdr:sp macro="[0]!Макрос2б1" textlink="">
                  <xdr:nvSpPr>
                    <xdr:cNvPr id="32058" name="Line 314">
                      <a:extLst>
                        <a:ext uri="{FF2B5EF4-FFF2-40B4-BE49-F238E27FC236}">
                          <a16:creationId xmlns:a16="http://schemas.microsoft.com/office/drawing/2014/main" id="{00000000-0008-0000-2100-00003A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641945" flipH="1">
                      <a:off x="748" y="258"/>
                      <a:ext cx="24" cy="5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 type="stealth" w="sm" len="lg"/>
                    </a:ln>
                  </xdr:spPr>
                </xdr:sp>
                <xdr:sp macro="[0]!Макрос2б1" textlink="">
                  <xdr:nvSpPr>
                    <xdr:cNvPr id="32059" name="Freeform 315">
                      <a:extLst>
                        <a:ext uri="{FF2B5EF4-FFF2-40B4-BE49-F238E27FC236}">
                          <a16:creationId xmlns:a16="http://schemas.microsoft.com/office/drawing/2014/main" id="{00000000-0008-0000-2100-00003B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14" y="315"/>
                      <a:ext cx="42" cy="46"/>
                    </a:xfrm>
                    <a:custGeom>
                      <a:avLst/>
                      <a:gdLst/>
                      <a:ahLst/>
                      <a:cxnLst>
                        <a:cxn ang="0">
                          <a:pos x="28" y="0"/>
                        </a:cxn>
                        <a:cxn ang="0">
                          <a:pos x="0" y="46"/>
                        </a:cxn>
                        <a:cxn ang="0">
                          <a:pos x="42" y="46"/>
                        </a:cxn>
                      </a:cxnLst>
                      <a:rect l="0" t="0" r="r" b="b"/>
                      <a:pathLst>
                        <a:path w="42" h="46">
                          <a:moveTo>
                            <a:pt x="28" y="0"/>
                          </a:moveTo>
                          <a:lnTo>
                            <a:pt x="0" y="46"/>
                          </a:lnTo>
                          <a:lnTo>
                            <a:pt x="42" y="46"/>
                          </a:lnTo>
                        </a:path>
                      </a:pathLst>
                    </a:cu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</xdr:grpSp>
          <xdr:grpSp>
            <xdr:nvGrpSpPr>
              <xdr:cNvPr id="32060" name="Group 316">
                <a:extLst>
                  <a:ext uri="{FF2B5EF4-FFF2-40B4-BE49-F238E27FC236}">
                    <a16:creationId xmlns:a16="http://schemas.microsoft.com/office/drawing/2014/main" id="{00000000-0008-0000-2100-00003C7D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711" y="203"/>
                <a:ext cx="44" cy="72"/>
                <a:chOff x="711" y="203"/>
                <a:chExt cx="44" cy="72"/>
              </a:xfrm>
            </xdr:grpSpPr>
            <xdr:grpSp>
              <xdr:nvGrpSpPr>
                <xdr:cNvPr id="32061" name="Group 317">
                  <a:extLst>
                    <a:ext uri="{FF2B5EF4-FFF2-40B4-BE49-F238E27FC236}">
                      <a16:creationId xmlns:a16="http://schemas.microsoft.com/office/drawing/2014/main" id="{00000000-0008-0000-2100-00003D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11" y="203"/>
                  <a:ext cx="44" cy="19"/>
                  <a:chOff x="711" y="203"/>
                  <a:chExt cx="44" cy="19"/>
                </a:xfrm>
              </xdr:grpSpPr>
              <xdr:sp macro="[0]!Макрос2б1" textlink="">
                <xdr:nvSpPr>
                  <xdr:cNvPr id="32062" name="Line 318">
                    <a:extLst>
                      <a:ext uri="{FF2B5EF4-FFF2-40B4-BE49-F238E27FC236}">
                        <a16:creationId xmlns:a16="http://schemas.microsoft.com/office/drawing/2014/main" id="{00000000-0008-0000-2100-00003E7D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H="1">
                    <a:off x="745" y="213"/>
                    <a:ext cx="19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2б1" textlink="">
                <xdr:nvSpPr>
                  <xdr:cNvPr id="32063" name="Line 319">
                    <a:extLst>
                      <a:ext uri="{FF2B5EF4-FFF2-40B4-BE49-F238E27FC236}">
                        <a16:creationId xmlns:a16="http://schemas.microsoft.com/office/drawing/2014/main" id="{00000000-0008-0000-2100-00003F7D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 flipH="1" flipV="1">
                    <a:off x="733" y="195"/>
                    <a:ext cx="0" cy="44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  <xdr:grpSp>
              <xdr:nvGrpSpPr>
                <xdr:cNvPr id="32064" name="Group 320">
                  <a:extLst>
                    <a:ext uri="{FF2B5EF4-FFF2-40B4-BE49-F238E27FC236}">
                      <a16:creationId xmlns:a16="http://schemas.microsoft.com/office/drawing/2014/main" id="{00000000-0008-0000-2100-000040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713" y="255"/>
                  <a:ext cx="42" cy="20"/>
                  <a:chOff x="713" y="248"/>
                  <a:chExt cx="42" cy="20"/>
                </a:xfrm>
              </xdr:grpSpPr>
              <xdr:sp macro="[0]!Макрос2б1" textlink="">
                <xdr:nvSpPr>
                  <xdr:cNvPr id="32065" name="Line 321">
                    <a:extLst>
                      <a:ext uri="{FF2B5EF4-FFF2-40B4-BE49-F238E27FC236}">
                        <a16:creationId xmlns:a16="http://schemas.microsoft.com/office/drawing/2014/main" id="{00000000-0008-0000-2100-0000417D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-5400000">
                    <a:off x="745" y="258"/>
                    <a:ext cx="20" cy="0"/>
                  </a:xfrm>
                  <a:prstGeom prst="line">
                    <a:avLst/>
                  </a:prstGeom>
                  <a:noFill/>
                  <a:ln w="38100">
                    <a:solidFill>
                      <a:srgbClr val="0000FF"/>
                    </a:solidFill>
                    <a:round/>
                    <a:headEnd/>
                    <a:tailEnd/>
                  </a:ln>
                </xdr:spPr>
              </xdr:sp>
              <xdr:sp macro="[0]!Макрос2б1" textlink="">
                <xdr:nvSpPr>
                  <xdr:cNvPr id="32066" name="Line 322">
                    <a:extLst>
                      <a:ext uri="{FF2B5EF4-FFF2-40B4-BE49-F238E27FC236}">
                        <a16:creationId xmlns:a16="http://schemas.microsoft.com/office/drawing/2014/main" id="{00000000-0008-0000-2100-0000427D0000}"/>
                      </a:ext>
                    </a:extLst>
                  </xdr:cNvPr>
                  <xdr:cNvSpPr>
                    <a:spLocks noChangeShapeType="1"/>
                  </xdr:cNvSpPr>
                </xdr:nvSpPr>
                <xdr:spPr bwMode="auto">
                  <a:xfrm rot="16200000" flipV="1">
                    <a:off x="734" y="233"/>
                    <a:ext cx="0" cy="42"/>
                  </a:xfrm>
                  <a:prstGeom prst="line">
                    <a:avLst/>
                  </a:prstGeom>
                  <a:noFill/>
                  <a:ln w="9525">
                    <a:solidFill>
                      <a:srgbClr val="0000FF"/>
                    </a:solidFill>
                    <a:round/>
                    <a:headEnd type="stealth" w="sm" len="lg"/>
                    <a:tailEnd/>
                  </a:ln>
                </xdr:spPr>
              </xdr:sp>
            </xdr:grpSp>
          </xdr:grpSp>
          <xdr:sp macro="[0]!Макрос2б1" textlink="">
            <xdr:nvSpPr>
              <xdr:cNvPr id="32067" name="Text Box 323">
                <a:extLst>
                  <a:ext uri="{FF2B5EF4-FFF2-40B4-BE49-F238E27FC236}">
                    <a16:creationId xmlns:a16="http://schemas.microsoft.com/office/drawing/2014/main" id="{00000000-0008-0000-2100-000043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2" y="197"/>
                <a:ext cx="22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2б1" textlink="">
            <xdr:nvSpPr>
              <xdr:cNvPr id="32068" name="Text Box 324">
                <a:extLst>
                  <a:ext uri="{FF2B5EF4-FFF2-40B4-BE49-F238E27FC236}">
                    <a16:creationId xmlns:a16="http://schemas.microsoft.com/office/drawing/2014/main" id="{00000000-0008-0000-2100-000044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6" y="261"/>
                <a:ext cx="22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2б1" textlink="">
            <xdr:nvSpPr>
              <xdr:cNvPr id="32069" name="Text Box 325">
                <a:extLst>
                  <a:ext uri="{FF2B5EF4-FFF2-40B4-BE49-F238E27FC236}">
                    <a16:creationId xmlns:a16="http://schemas.microsoft.com/office/drawing/2014/main" id="{00000000-0008-0000-2100-000045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676" y="204"/>
                <a:ext cx="24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б1" textlink="">
            <xdr:nvSpPr>
              <xdr:cNvPr id="32070" name="Text Box 326">
                <a:extLst>
                  <a:ext uri="{FF2B5EF4-FFF2-40B4-BE49-F238E27FC236}">
                    <a16:creationId xmlns:a16="http://schemas.microsoft.com/office/drawing/2014/main" id="{00000000-0008-0000-2100-000046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51" y="362"/>
                <a:ext cx="25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б1" textlink="">
            <xdr:nvSpPr>
              <xdr:cNvPr id="32071" name="Text Box 327">
                <a:extLst>
                  <a:ext uri="{FF2B5EF4-FFF2-40B4-BE49-F238E27FC236}">
                    <a16:creationId xmlns:a16="http://schemas.microsoft.com/office/drawing/2014/main" id="{00000000-0008-0000-2100-000047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7" y="340"/>
                <a:ext cx="31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18288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Symbol"/>
                  </a:rPr>
                  <a:t>Æ</a:t>
                </a: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</a:p>
            </xdr:txBody>
          </xdr:sp>
          <xdr:sp macro="[0]!Макрос2б1" textlink="">
            <xdr:nvSpPr>
              <xdr:cNvPr id="32072" name="Text Box 328">
                <a:extLst>
                  <a:ext uri="{FF2B5EF4-FFF2-40B4-BE49-F238E27FC236}">
                    <a16:creationId xmlns:a16="http://schemas.microsoft.com/office/drawing/2014/main" id="{00000000-0008-0000-2100-000048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28" y="204"/>
                <a:ext cx="24" cy="3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h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б1" textlink="">
            <xdr:nvSpPr>
              <xdr:cNvPr id="32073" name="Text Box 329">
                <a:extLst>
                  <a:ext uri="{FF2B5EF4-FFF2-40B4-BE49-F238E27FC236}">
                    <a16:creationId xmlns:a16="http://schemas.microsoft.com/office/drawing/2014/main" id="{00000000-0008-0000-2100-000049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67" y="276"/>
                <a:ext cx="32" cy="23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d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б1" textlink="">
            <xdr:nvSpPr>
              <xdr:cNvPr id="32074" name="Text Box 330">
                <a:extLst>
                  <a:ext uri="{FF2B5EF4-FFF2-40B4-BE49-F238E27FC236}">
                    <a16:creationId xmlns:a16="http://schemas.microsoft.com/office/drawing/2014/main" id="{00000000-0008-0000-2100-00004A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26" y="246"/>
                <a:ext cx="32" cy="23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  <xdr:sp macro="[0]!Макрос2б1" textlink="">
            <xdr:nvSpPr>
              <xdr:cNvPr id="32075" name="Text Box 331">
                <a:extLst>
                  <a:ext uri="{FF2B5EF4-FFF2-40B4-BE49-F238E27FC236}">
                    <a16:creationId xmlns:a16="http://schemas.microsoft.com/office/drawing/2014/main" id="{00000000-0008-0000-2100-00004B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39" y="163"/>
                <a:ext cx="45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sng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A - A</a:t>
                </a:r>
              </a:p>
            </xdr:txBody>
          </xdr:sp>
        </xdr:grpSp>
        <xdr:grpSp>
          <xdr:nvGrpSpPr>
            <xdr:cNvPr id="32076" name="Group 332">
              <a:extLst>
                <a:ext uri="{FF2B5EF4-FFF2-40B4-BE49-F238E27FC236}">
                  <a16:creationId xmlns:a16="http://schemas.microsoft.com/office/drawing/2014/main" id="{00000000-0008-0000-2100-00004C7D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942" y="151"/>
              <a:ext cx="407" cy="191"/>
              <a:chOff x="1164" y="212"/>
              <a:chExt cx="407" cy="191"/>
            </a:xfrm>
          </xdr:grpSpPr>
          <xdr:sp macro="[0]!Макрос2б1" textlink="">
            <xdr:nvSpPr>
              <xdr:cNvPr id="32077" name="Line 333">
                <a:extLst>
                  <a:ext uri="{FF2B5EF4-FFF2-40B4-BE49-F238E27FC236}">
                    <a16:creationId xmlns:a16="http://schemas.microsoft.com/office/drawing/2014/main" id="{00000000-0008-0000-2100-00004D7D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64" y="303"/>
                <a:ext cx="385" cy="0"/>
              </a:xfrm>
              <a:prstGeom prst="line">
                <a:avLst/>
              </a:prstGeom>
              <a:noFill/>
              <a:ln w="9525">
                <a:solidFill>
                  <a:srgbClr val="FF0000"/>
                </a:solidFill>
                <a:prstDash val="lgDashDot"/>
                <a:round/>
                <a:headEnd/>
                <a:tailEnd/>
              </a:ln>
            </xdr:spPr>
          </xdr:sp>
          <xdr:sp macro="[0]!Макрос2б1" textlink="">
            <xdr:nvSpPr>
              <xdr:cNvPr id="32078" name="Text Box 334">
                <a:extLst>
                  <a:ext uri="{FF2B5EF4-FFF2-40B4-BE49-F238E27FC236}">
                    <a16:creationId xmlns:a16="http://schemas.microsoft.com/office/drawing/2014/main" id="{00000000-0008-0000-2100-00004E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48" y="320"/>
                <a:ext cx="22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Б</a:t>
                </a:r>
              </a:p>
            </xdr:txBody>
          </xdr:sp>
          <xdr:sp macro="[0]!Макрос2б1" textlink="">
            <xdr:nvSpPr>
              <xdr:cNvPr id="32079" name="Text Box 335">
                <a:extLst>
                  <a:ext uri="{FF2B5EF4-FFF2-40B4-BE49-F238E27FC236}">
                    <a16:creationId xmlns:a16="http://schemas.microsoft.com/office/drawing/2014/main" id="{00000000-0008-0000-2100-00004F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06" y="318"/>
                <a:ext cx="22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Б</a:t>
                </a:r>
              </a:p>
            </xdr:txBody>
          </xdr:sp>
          <xdr:sp macro="[0]!Макрос2б1" textlink="">
            <xdr:nvSpPr>
              <xdr:cNvPr id="32080" name="Text Box 336">
                <a:extLst>
                  <a:ext uri="{FF2B5EF4-FFF2-40B4-BE49-F238E27FC236}">
                    <a16:creationId xmlns:a16="http://schemas.microsoft.com/office/drawing/2014/main" id="{00000000-0008-0000-2100-000050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395" y="367"/>
                <a:ext cx="14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[0]!Макрос2б1" textlink="">
            <xdr:nvSpPr>
              <xdr:cNvPr id="32081" name="Text Box 337">
                <a:extLst>
                  <a:ext uri="{FF2B5EF4-FFF2-40B4-BE49-F238E27FC236}">
                    <a16:creationId xmlns:a16="http://schemas.microsoft.com/office/drawing/2014/main" id="{00000000-0008-0000-2100-000051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97" y="368"/>
                <a:ext cx="14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t</a:t>
                </a:r>
              </a:p>
            </xdr:txBody>
          </xdr:sp>
          <xdr:sp macro="[0]!Макрос2б1" textlink="">
            <xdr:nvSpPr>
              <xdr:cNvPr id="32082" name="Text Box 338">
                <a:extLst>
                  <a:ext uri="{FF2B5EF4-FFF2-40B4-BE49-F238E27FC236}">
                    <a16:creationId xmlns:a16="http://schemas.microsoft.com/office/drawing/2014/main" id="{00000000-0008-0000-2100-000052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290" y="274"/>
                <a:ext cx="22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0" i="1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</a:p>
            </xdr:txBody>
          </xdr:sp>
          <xdr:sp macro="[0]!Макрос2б1" textlink="">
            <xdr:nvSpPr>
              <xdr:cNvPr id="32083" name="Text Box 339">
                <a:extLst>
                  <a:ext uri="{FF2B5EF4-FFF2-40B4-BE49-F238E27FC236}">
                    <a16:creationId xmlns:a16="http://schemas.microsoft.com/office/drawing/2014/main" id="{00000000-0008-0000-2100-000053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96" y="372"/>
                <a:ext cx="21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A</a:t>
                </a:r>
              </a:p>
            </xdr:txBody>
          </xdr:sp>
          <xdr:sp macro="[0]!Макрос2б1" textlink="">
            <xdr:nvSpPr>
              <xdr:cNvPr id="32084" name="Text Box 340">
                <a:extLst>
                  <a:ext uri="{FF2B5EF4-FFF2-40B4-BE49-F238E27FC236}">
                    <a16:creationId xmlns:a16="http://schemas.microsoft.com/office/drawing/2014/main" id="{00000000-0008-0000-2100-000054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197" y="212"/>
                <a:ext cx="21" cy="25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7432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en-US" sz="1200" b="1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A</a:t>
                </a:r>
              </a:p>
            </xdr:txBody>
          </xdr:sp>
          <xdr:grpSp>
            <xdr:nvGrpSpPr>
              <xdr:cNvPr id="32085" name="Group 341">
                <a:extLst>
                  <a:ext uri="{FF2B5EF4-FFF2-40B4-BE49-F238E27FC236}">
                    <a16:creationId xmlns:a16="http://schemas.microsoft.com/office/drawing/2014/main" id="{00000000-0008-0000-2100-0000557D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188" y="213"/>
                <a:ext cx="383" cy="190"/>
                <a:chOff x="1188" y="213"/>
                <a:chExt cx="383" cy="190"/>
              </a:xfrm>
            </xdr:grpSpPr>
            <xdr:grpSp>
              <xdr:nvGrpSpPr>
                <xdr:cNvPr id="32086" name="Group 342">
                  <a:extLst>
                    <a:ext uri="{FF2B5EF4-FFF2-40B4-BE49-F238E27FC236}">
                      <a16:creationId xmlns:a16="http://schemas.microsoft.com/office/drawing/2014/main" id="{00000000-0008-0000-2100-000056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188" y="213"/>
                  <a:ext cx="341" cy="190"/>
                  <a:chOff x="1188" y="213"/>
                  <a:chExt cx="341" cy="190"/>
                </a:xfrm>
              </xdr:grpSpPr>
              <xdr:grpSp>
                <xdr:nvGrpSpPr>
                  <xdr:cNvPr id="32087" name="Group 343">
                    <a:extLst>
                      <a:ext uri="{FF2B5EF4-FFF2-40B4-BE49-F238E27FC236}">
                        <a16:creationId xmlns:a16="http://schemas.microsoft.com/office/drawing/2014/main" id="{00000000-0008-0000-2100-000057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189" y="252"/>
                    <a:ext cx="340" cy="102"/>
                    <a:chOff x="697" y="220"/>
                    <a:chExt cx="340" cy="104"/>
                  </a:xfrm>
                </xdr:grpSpPr>
                <xdr:sp macro="[0]!Макрос2б1" textlink="">
                  <xdr:nvSpPr>
                    <xdr:cNvPr id="32088" name="Freeform 344">
                      <a:extLst>
                        <a:ext uri="{FF2B5EF4-FFF2-40B4-BE49-F238E27FC236}">
                          <a16:creationId xmlns:a16="http://schemas.microsoft.com/office/drawing/2014/main" id="{00000000-0008-0000-2100-000058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97" y="221"/>
                      <a:ext cx="106" cy="33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33"/>
                        </a:cxn>
                        <a:cxn ang="0">
                          <a:pos x="46" y="2"/>
                        </a:cxn>
                        <a:cxn ang="0">
                          <a:pos x="83" y="22"/>
                        </a:cxn>
                        <a:cxn ang="0">
                          <a:pos x="106" y="12"/>
                        </a:cxn>
                      </a:cxnLst>
                      <a:rect l="0" t="0" r="r" b="b"/>
                      <a:pathLst>
                        <a:path w="106" h="33">
                          <a:moveTo>
                            <a:pt x="0" y="33"/>
                          </a:moveTo>
                          <a:cubicBezTo>
                            <a:pt x="9" y="25"/>
                            <a:pt x="32" y="4"/>
                            <a:pt x="46" y="2"/>
                          </a:cubicBezTo>
                          <a:cubicBezTo>
                            <a:pt x="60" y="0"/>
                            <a:pt x="73" y="20"/>
                            <a:pt x="83" y="22"/>
                          </a:cubicBezTo>
                          <a:cubicBezTo>
                            <a:pt x="93" y="24"/>
                            <a:pt x="102" y="14"/>
                            <a:pt x="106" y="1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089" name="Freeform 345">
                      <a:extLst>
                        <a:ext uri="{FF2B5EF4-FFF2-40B4-BE49-F238E27FC236}">
                          <a16:creationId xmlns:a16="http://schemas.microsoft.com/office/drawing/2014/main" id="{00000000-0008-0000-2100-000059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03" y="221"/>
                      <a:ext cx="45" cy="18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18"/>
                        </a:cxn>
                        <a:cxn ang="0">
                          <a:pos x="23" y="2"/>
                        </a:cxn>
                        <a:cxn ang="0">
                          <a:pos x="45" y="2"/>
                        </a:cxn>
                      </a:cxnLst>
                      <a:rect l="0" t="0" r="r" b="b"/>
                      <a:pathLst>
                        <a:path w="45" h="18">
                          <a:moveTo>
                            <a:pt x="0" y="18"/>
                          </a:moveTo>
                          <a:cubicBezTo>
                            <a:pt x="6" y="12"/>
                            <a:pt x="16" y="5"/>
                            <a:pt x="23" y="2"/>
                          </a:cubicBezTo>
                          <a:cubicBezTo>
                            <a:pt x="34" y="0"/>
                            <a:pt x="35" y="2"/>
                            <a:pt x="45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090" name="Freeform 346">
                      <a:extLst>
                        <a:ext uri="{FF2B5EF4-FFF2-40B4-BE49-F238E27FC236}">
                          <a16:creationId xmlns:a16="http://schemas.microsoft.com/office/drawing/2014/main" id="{00000000-0008-0000-2100-00005A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13" y="234"/>
                      <a:ext cx="61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7"/>
                        </a:cxn>
                        <a:cxn ang="0">
                          <a:pos x="30" y="0"/>
                        </a:cxn>
                        <a:cxn ang="0">
                          <a:pos x="61" y="7"/>
                        </a:cxn>
                      </a:cxnLst>
                      <a:rect l="0" t="0" r="r" b="b"/>
                      <a:pathLst>
                        <a:path w="61" h="7">
                          <a:moveTo>
                            <a:pt x="0" y="7"/>
                          </a:moveTo>
                          <a:cubicBezTo>
                            <a:pt x="7" y="3"/>
                            <a:pt x="15" y="0"/>
                            <a:pt x="30" y="0"/>
                          </a:cubicBezTo>
                          <a:cubicBezTo>
                            <a:pt x="41" y="1"/>
                            <a:pt x="46" y="1"/>
                            <a:pt x="61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grpSp>
                  <xdr:nvGrpSpPr>
                    <xdr:cNvPr id="32091" name="Group 347">
                      <a:extLst>
                        <a:ext uri="{FF2B5EF4-FFF2-40B4-BE49-F238E27FC236}">
                          <a16:creationId xmlns:a16="http://schemas.microsoft.com/office/drawing/2014/main" id="{00000000-0008-0000-2100-00005B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764" y="220"/>
                      <a:ext cx="131" cy="47"/>
                      <a:chOff x="752" y="89"/>
                      <a:chExt cx="131" cy="47"/>
                    </a:xfrm>
                  </xdr:grpSpPr>
                  <xdr:sp macro="[0]!Макрос2б1" textlink="">
                    <xdr:nvSpPr>
                      <xdr:cNvPr id="32092" name="Freeform 348">
                        <a:extLst>
                          <a:ext uri="{FF2B5EF4-FFF2-40B4-BE49-F238E27FC236}">
                            <a16:creationId xmlns:a16="http://schemas.microsoft.com/office/drawing/2014/main" id="{00000000-0008-0000-2100-00005C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63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93" name="Freeform 349">
                        <a:extLst>
                          <a:ext uri="{FF2B5EF4-FFF2-40B4-BE49-F238E27FC236}">
                            <a16:creationId xmlns:a16="http://schemas.microsoft.com/office/drawing/2014/main" id="{00000000-0008-0000-2100-00005D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52" y="90"/>
                        <a:ext cx="76" cy="45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5"/>
                          </a:cxn>
                          <a:cxn ang="0">
                            <a:pos x="54" y="2"/>
                          </a:cxn>
                          <a:cxn ang="0">
                            <a:pos x="76" y="2"/>
                          </a:cxn>
                        </a:cxnLst>
                        <a:rect l="0" t="0" r="r" b="b"/>
                        <a:pathLst>
                          <a:path w="76" h="45">
                            <a:moveTo>
                              <a:pt x="0" y="45"/>
                            </a:moveTo>
                            <a:cubicBezTo>
                              <a:pt x="17" y="27"/>
                              <a:pt x="41" y="9"/>
                              <a:pt x="54" y="2"/>
                            </a:cubicBezTo>
                            <a:cubicBezTo>
                              <a:pt x="65" y="0"/>
                              <a:pt x="66" y="2"/>
                              <a:pt x="76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94" name="Freeform 350">
                        <a:extLst>
                          <a:ext uri="{FF2B5EF4-FFF2-40B4-BE49-F238E27FC236}">
                            <a16:creationId xmlns:a16="http://schemas.microsoft.com/office/drawing/2014/main" id="{00000000-0008-0000-2100-00005E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93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32095" name="Group 351">
                      <a:extLst>
                        <a:ext uri="{FF2B5EF4-FFF2-40B4-BE49-F238E27FC236}">
                          <a16:creationId xmlns:a16="http://schemas.microsoft.com/office/drawing/2014/main" id="{00000000-0008-0000-2100-00005F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857" y="220"/>
                      <a:ext cx="131" cy="47"/>
                      <a:chOff x="752" y="89"/>
                      <a:chExt cx="131" cy="47"/>
                    </a:xfrm>
                  </xdr:grpSpPr>
                  <xdr:sp macro="[0]!Макрос2б1" textlink="">
                    <xdr:nvSpPr>
                      <xdr:cNvPr id="32096" name="Freeform 352">
                        <a:extLst>
                          <a:ext uri="{FF2B5EF4-FFF2-40B4-BE49-F238E27FC236}">
                            <a16:creationId xmlns:a16="http://schemas.microsoft.com/office/drawing/2014/main" id="{00000000-0008-0000-2100-000060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63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97" name="Freeform 353">
                        <a:extLst>
                          <a:ext uri="{FF2B5EF4-FFF2-40B4-BE49-F238E27FC236}">
                            <a16:creationId xmlns:a16="http://schemas.microsoft.com/office/drawing/2014/main" id="{00000000-0008-0000-2100-000061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52" y="90"/>
                        <a:ext cx="76" cy="45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5"/>
                          </a:cxn>
                          <a:cxn ang="0">
                            <a:pos x="54" y="2"/>
                          </a:cxn>
                          <a:cxn ang="0">
                            <a:pos x="76" y="2"/>
                          </a:cxn>
                        </a:cxnLst>
                        <a:rect l="0" t="0" r="r" b="b"/>
                        <a:pathLst>
                          <a:path w="76" h="45">
                            <a:moveTo>
                              <a:pt x="0" y="45"/>
                            </a:moveTo>
                            <a:cubicBezTo>
                              <a:pt x="17" y="27"/>
                              <a:pt x="41" y="9"/>
                              <a:pt x="54" y="2"/>
                            </a:cubicBezTo>
                            <a:cubicBezTo>
                              <a:pt x="65" y="0"/>
                              <a:pt x="66" y="2"/>
                              <a:pt x="76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098" name="Freeform 354">
                        <a:extLst>
                          <a:ext uri="{FF2B5EF4-FFF2-40B4-BE49-F238E27FC236}">
                            <a16:creationId xmlns:a16="http://schemas.microsoft.com/office/drawing/2014/main" id="{00000000-0008-0000-2100-000062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93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2б1" textlink="">
                  <xdr:nvSpPr>
                    <xdr:cNvPr id="32099" name="Freeform 355">
                      <a:extLst>
                        <a:ext uri="{FF2B5EF4-FFF2-40B4-BE49-F238E27FC236}">
                          <a16:creationId xmlns:a16="http://schemas.microsoft.com/office/drawing/2014/main" id="{00000000-0008-0000-2100-000063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60" y="222"/>
                      <a:ext cx="71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60" y="1"/>
                        </a:cxn>
                        <a:cxn ang="0">
                          <a:pos x="71" y="3"/>
                        </a:cxn>
                      </a:cxnLst>
                      <a:rect l="0" t="0" r="r" b="b"/>
                      <a:pathLst>
                        <a:path w="71" h="45">
                          <a:moveTo>
                            <a:pt x="0" y="45"/>
                          </a:moveTo>
                          <a:cubicBezTo>
                            <a:pt x="29" y="20"/>
                            <a:pt x="46" y="6"/>
                            <a:pt x="60" y="1"/>
                          </a:cubicBezTo>
                          <a:cubicBezTo>
                            <a:pt x="69" y="0"/>
                            <a:pt x="66" y="1"/>
                            <a:pt x="71" y="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00" name="Freeform 356">
                      <a:extLst>
                        <a:ext uri="{FF2B5EF4-FFF2-40B4-BE49-F238E27FC236}">
                          <a16:creationId xmlns:a16="http://schemas.microsoft.com/office/drawing/2014/main" id="{00000000-0008-0000-2100-000064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49" y="221"/>
                      <a:ext cx="76" cy="45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45"/>
                        </a:cxn>
                        <a:cxn ang="0">
                          <a:pos x="54" y="2"/>
                        </a:cxn>
                        <a:cxn ang="0">
                          <a:pos x="76" y="2"/>
                        </a:cxn>
                      </a:cxnLst>
                      <a:rect l="0" t="0" r="r" b="b"/>
                      <a:pathLst>
                        <a:path w="76" h="45">
                          <a:moveTo>
                            <a:pt x="0" y="45"/>
                          </a:moveTo>
                          <a:cubicBezTo>
                            <a:pt x="17" y="27"/>
                            <a:pt x="41" y="9"/>
                            <a:pt x="54" y="2"/>
                          </a:cubicBezTo>
                          <a:cubicBezTo>
                            <a:pt x="65" y="0"/>
                            <a:pt x="66" y="2"/>
                            <a:pt x="76" y="2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01" name="Freeform 357">
                      <a:extLst>
                        <a:ext uri="{FF2B5EF4-FFF2-40B4-BE49-F238E27FC236}">
                          <a16:creationId xmlns:a16="http://schemas.microsoft.com/office/drawing/2014/main" id="{00000000-0008-0000-2100-000065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91" y="233"/>
                      <a:ext cx="45" cy="8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8"/>
                        </a:cxn>
                        <a:cxn ang="0">
                          <a:pos x="30" y="1"/>
                        </a:cxn>
                        <a:cxn ang="0">
                          <a:pos x="45" y="3"/>
                        </a:cxn>
                      </a:cxnLst>
                      <a:rect l="0" t="0" r="r" b="b"/>
                      <a:pathLst>
                        <a:path w="45" h="8">
                          <a:moveTo>
                            <a:pt x="0" y="8"/>
                          </a:moveTo>
                          <a:cubicBezTo>
                            <a:pt x="7" y="4"/>
                            <a:pt x="15" y="1"/>
                            <a:pt x="30" y="1"/>
                          </a:cubicBezTo>
                          <a:cubicBezTo>
                            <a:pt x="37" y="0"/>
                            <a:pt x="43" y="3"/>
                            <a:pt x="45" y="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grpSp>
                  <xdr:nvGrpSpPr>
                    <xdr:cNvPr id="32102" name="Group 358">
                      <a:extLst>
                        <a:ext uri="{FF2B5EF4-FFF2-40B4-BE49-F238E27FC236}">
                          <a16:creationId xmlns:a16="http://schemas.microsoft.com/office/drawing/2014/main" id="{00000000-0008-0000-2100-000066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V="1">
                      <a:off x="702" y="277"/>
                      <a:ext cx="120" cy="47"/>
                      <a:chOff x="671" y="89"/>
                      <a:chExt cx="120" cy="47"/>
                    </a:xfrm>
                  </xdr:grpSpPr>
                  <xdr:sp macro="[0]!Макрос2б1" textlink="">
                    <xdr:nvSpPr>
                      <xdr:cNvPr id="32103" name="Freeform 359">
                        <a:extLst>
                          <a:ext uri="{FF2B5EF4-FFF2-40B4-BE49-F238E27FC236}">
                            <a16:creationId xmlns:a16="http://schemas.microsoft.com/office/drawing/2014/main" id="{00000000-0008-0000-2100-000067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671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04" name="Freeform 360">
                        <a:extLst>
                          <a:ext uri="{FF2B5EF4-FFF2-40B4-BE49-F238E27FC236}">
                            <a16:creationId xmlns:a16="http://schemas.microsoft.com/office/drawing/2014/main" id="{00000000-0008-0000-2100-000068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672" y="90"/>
                        <a:ext cx="64" cy="33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33"/>
                          </a:cxn>
                          <a:cxn ang="0">
                            <a:pos x="42" y="2"/>
                          </a:cxn>
                          <a:cxn ang="0">
                            <a:pos x="64" y="2"/>
                          </a:cxn>
                        </a:cxnLst>
                        <a:rect l="0" t="0" r="r" b="b"/>
                        <a:pathLst>
                          <a:path w="64" h="33">
                            <a:moveTo>
                              <a:pt x="0" y="33"/>
                            </a:moveTo>
                            <a:cubicBezTo>
                              <a:pt x="7" y="28"/>
                              <a:pt x="31" y="7"/>
                              <a:pt x="42" y="2"/>
                            </a:cubicBezTo>
                            <a:cubicBezTo>
                              <a:pt x="53" y="0"/>
                              <a:pt x="54" y="2"/>
                              <a:pt x="64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05" name="Freeform 361">
                        <a:extLst>
                          <a:ext uri="{FF2B5EF4-FFF2-40B4-BE49-F238E27FC236}">
                            <a16:creationId xmlns:a16="http://schemas.microsoft.com/office/drawing/2014/main" id="{00000000-0008-0000-2100-000069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01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32106" name="Group 362">
                      <a:extLst>
                        <a:ext uri="{FF2B5EF4-FFF2-40B4-BE49-F238E27FC236}">
                          <a16:creationId xmlns:a16="http://schemas.microsoft.com/office/drawing/2014/main" id="{00000000-0008-0000-2100-00006A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V="1">
                      <a:off x="783" y="277"/>
                      <a:ext cx="131" cy="47"/>
                      <a:chOff x="752" y="89"/>
                      <a:chExt cx="131" cy="47"/>
                    </a:xfrm>
                  </xdr:grpSpPr>
                  <xdr:sp macro="[0]!Макрос2б1" textlink="">
                    <xdr:nvSpPr>
                      <xdr:cNvPr id="32107" name="Freeform 363">
                        <a:extLst>
                          <a:ext uri="{FF2B5EF4-FFF2-40B4-BE49-F238E27FC236}">
                            <a16:creationId xmlns:a16="http://schemas.microsoft.com/office/drawing/2014/main" id="{00000000-0008-0000-2100-00006B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63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08" name="Freeform 364">
                        <a:extLst>
                          <a:ext uri="{FF2B5EF4-FFF2-40B4-BE49-F238E27FC236}">
                            <a16:creationId xmlns:a16="http://schemas.microsoft.com/office/drawing/2014/main" id="{00000000-0008-0000-2100-00006C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52" y="90"/>
                        <a:ext cx="76" cy="45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5"/>
                          </a:cxn>
                          <a:cxn ang="0">
                            <a:pos x="54" y="2"/>
                          </a:cxn>
                          <a:cxn ang="0">
                            <a:pos x="76" y="2"/>
                          </a:cxn>
                        </a:cxnLst>
                        <a:rect l="0" t="0" r="r" b="b"/>
                        <a:pathLst>
                          <a:path w="76" h="45">
                            <a:moveTo>
                              <a:pt x="0" y="45"/>
                            </a:moveTo>
                            <a:cubicBezTo>
                              <a:pt x="17" y="27"/>
                              <a:pt x="41" y="9"/>
                              <a:pt x="54" y="2"/>
                            </a:cubicBezTo>
                            <a:cubicBezTo>
                              <a:pt x="65" y="0"/>
                              <a:pt x="66" y="2"/>
                              <a:pt x="76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09" name="Freeform 365">
                        <a:extLst>
                          <a:ext uri="{FF2B5EF4-FFF2-40B4-BE49-F238E27FC236}">
                            <a16:creationId xmlns:a16="http://schemas.microsoft.com/office/drawing/2014/main" id="{00000000-0008-0000-2100-00006D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93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32110" name="Group 366">
                      <a:extLst>
                        <a:ext uri="{FF2B5EF4-FFF2-40B4-BE49-F238E27FC236}">
                          <a16:creationId xmlns:a16="http://schemas.microsoft.com/office/drawing/2014/main" id="{00000000-0008-0000-2100-00006E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V="1">
                      <a:off x="876" y="277"/>
                      <a:ext cx="131" cy="47"/>
                      <a:chOff x="752" y="89"/>
                      <a:chExt cx="131" cy="47"/>
                    </a:xfrm>
                  </xdr:grpSpPr>
                  <xdr:sp macro="[0]!Макрос2б1" textlink="">
                    <xdr:nvSpPr>
                      <xdr:cNvPr id="32111" name="Freeform 367">
                        <a:extLst>
                          <a:ext uri="{FF2B5EF4-FFF2-40B4-BE49-F238E27FC236}">
                            <a16:creationId xmlns:a16="http://schemas.microsoft.com/office/drawing/2014/main" id="{00000000-0008-0000-2100-00006F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63" y="89"/>
                        <a:ext cx="120" cy="4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7"/>
                          </a:cxn>
                          <a:cxn ang="0">
                            <a:pos x="60" y="4"/>
                          </a:cxn>
                          <a:cxn ang="0">
                            <a:pos x="97" y="23"/>
                          </a:cxn>
                          <a:cxn ang="0">
                            <a:pos x="120" y="13"/>
                          </a:cxn>
                        </a:cxnLst>
                        <a:rect l="0" t="0" r="r" b="b"/>
                        <a:pathLst>
                          <a:path w="120" h="47">
                            <a:moveTo>
                              <a:pt x="0" y="47"/>
                            </a:moveTo>
                            <a:cubicBezTo>
                              <a:pt x="22" y="27"/>
                              <a:pt x="44" y="8"/>
                              <a:pt x="60" y="4"/>
                            </a:cubicBezTo>
                            <a:cubicBezTo>
                              <a:pt x="77" y="0"/>
                              <a:pt x="87" y="21"/>
                              <a:pt x="97" y="23"/>
                            </a:cubicBezTo>
                            <a:cubicBezTo>
                              <a:pt x="107" y="25"/>
                              <a:pt x="116" y="15"/>
                              <a:pt x="120" y="13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12" name="Freeform 368">
                        <a:extLst>
                          <a:ext uri="{FF2B5EF4-FFF2-40B4-BE49-F238E27FC236}">
                            <a16:creationId xmlns:a16="http://schemas.microsoft.com/office/drawing/2014/main" id="{00000000-0008-0000-2100-000070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52" y="90"/>
                        <a:ext cx="76" cy="45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45"/>
                          </a:cxn>
                          <a:cxn ang="0">
                            <a:pos x="54" y="2"/>
                          </a:cxn>
                          <a:cxn ang="0">
                            <a:pos x="76" y="2"/>
                          </a:cxn>
                        </a:cxnLst>
                        <a:rect l="0" t="0" r="r" b="b"/>
                        <a:pathLst>
                          <a:path w="76" h="45">
                            <a:moveTo>
                              <a:pt x="0" y="45"/>
                            </a:moveTo>
                            <a:cubicBezTo>
                              <a:pt x="17" y="27"/>
                              <a:pt x="41" y="9"/>
                              <a:pt x="54" y="2"/>
                            </a:cubicBezTo>
                            <a:cubicBezTo>
                              <a:pt x="65" y="0"/>
                              <a:pt x="66" y="2"/>
                              <a:pt x="76" y="2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13" name="Freeform 369">
                        <a:extLst>
                          <a:ext uri="{FF2B5EF4-FFF2-40B4-BE49-F238E27FC236}">
                            <a16:creationId xmlns:a16="http://schemas.microsoft.com/office/drawing/2014/main" id="{00000000-0008-0000-2100-0000717D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793" y="103"/>
                        <a:ext cx="61" cy="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0" y="7"/>
                          </a:cxn>
                          <a:cxn ang="0">
                            <a:pos x="30" y="0"/>
                          </a:cxn>
                          <a:cxn ang="0">
                            <a:pos x="61" y="7"/>
                          </a:cxn>
                        </a:cxnLst>
                        <a:rect l="0" t="0" r="r" b="b"/>
                        <a:pathLst>
                          <a:path w="61" h="7">
                            <a:moveTo>
                              <a:pt x="0" y="7"/>
                            </a:moveTo>
                            <a:cubicBezTo>
                              <a:pt x="7" y="3"/>
                              <a:pt x="15" y="0"/>
                              <a:pt x="30" y="0"/>
                            </a:cubicBezTo>
                            <a:cubicBezTo>
                              <a:pt x="41" y="1"/>
                              <a:pt x="46" y="1"/>
                              <a:pt x="61" y="7"/>
                            </a:cubicBezTo>
                          </a:path>
                        </a:pathLst>
                      </a:custGeom>
                      <a:noFill/>
                      <a:ln w="9525">
                        <a:solidFill>
                          <a:srgbClr val="000000"/>
                        </a:solidFill>
                        <a:round/>
                        <a:headEnd/>
                        <a:tailEnd/>
                      </a:ln>
                    </xdr:spPr>
                  </xdr:sp>
                </xdr:grpSp>
                <xdr:sp macro="[0]!Макрос2б1" textlink="">
                  <xdr:nvSpPr>
                    <xdr:cNvPr id="32114" name="Freeform 370">
                      <a:extLst>
                        <a:ext uri="{FF2B5EF4-FFF2-40B4-BE49-F238E27FC236}">
                          <a16:creationId xmlns:a16="http://schemas.microsoft.com/office/drawing/2014/main" id="{00000000-0008-0000-2100-000072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79" y="278"/>
                      <a:ext cx="52" cy="3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0"/>
                        </a:cxn>
                        <a:cxn ang="0">
                          <a:pos x="52" y="37"/>
                        </a:cxn>
                      </a:cxnLst>
                      <a:rect l="0" t="0" r="r" b="b"/>
                      <a:pathLst>
                        <a:path w="52" h="37">
                          <a:moveTo>
                            <a:pt x="0" y="0"/>
                          </a:moveTo>
                          <a:cubicBezTo>
                            <a:pt x="29" y="25"/>
                            <a:pt x="38" y="32"/>
                            <a:pt x="52" y="3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15" name="Freeform 371">
                      <a:extLst>
                        <a:ext uri="{FF2B5EF4-FFF2-40B4-BE49-F238E27FC236}">
                          <a16:creationId xmlns:a16="http://schemas.microsoft.com/office/drawing/2014/main" id="{00000000-0008-0000-2100-000073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968" y="279"/>
                      <a:ext cx="66" cy="44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0"/>
                        </a:cxn>
                        <a:cxn ang="0">
                          <a:pos x="55" y="42"/>
                        </a:cxn>
                        <a:cxn ang="0">
                          <a:pos x="65" y="43"/>
                        </a:cxn>
                      </a:cxnLst>
                      <a:rect l="0" t="0" r="r" b="b"/>
                      <a:pathLst>
                        <a:path w="66" h="44">
                          <a:moveTo>
                            <a:pt x="0" y="0"/>
                          </a:moveTo>
                          <a:cubicBezTo>
                            <a:pt x="17" y="18"/>
                            <a:pt x="42" y="35"/>
                            <a:pt x="55" y="42"/>
                          </a:cubicBezTo>
                          <a:cubicBezTo>
                            <a:pt x="66" y="44"/>
                            <a:pt x="55" y="42"/>
                            <a:pt x="65" y="43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16" name="Freeform 372">
                      <a:extLst>
                        <a:ext uri="{FF2B5EF4-FFF2-40B4-BE49-F238E27FC236}">
                          <a16:creationId xmlns:a16="http://schemas.microsoft.com/office/drawing/2014/main" id="{00000000-0008-0000-2100-000074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1010" y="303"/>
                      <a:ext cx="22" cy="7"/>
                    </a:xfrm>
                    <a:custGeom>
                      <a:avLst/>
                      <a:gdLst/>
                      <a:ahLst/>
                      <a:cxnLst>
                        <a:cxn ang="0">
                          <a:pos x="0" y="0"/>
                        </a:cxn>
                        <a:cxn ang="0">
                          <a:pos x="22" y="7"/>
                        </a:cxn>
                      </a:cxnLst>
                      <a:rect l="0" t="0" r="r" b="b"/>
                      <a:pathLst>
                        <a:path w="22" h="7">
                          <a:moveTo>
                            <a:pt x="0" y="0"/>
                          </a:moveTo>
                          <a:cubicBezTo>
                            <a:pt x="7" y="4"/>
                            <a:pt x="7" y="7"/>
                            <a:pt x="22" y="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17" name="Freeform 373">
                      <a:extLst>
                        <a:ext uri="{FF2B5EF4-FFF2-40B4-BE49-F238E27FC236}">
                          <a16:creationId xmlns:a16="http://schemas.microsoft.com/office/drawing/2014/main" id="{00000000-0008-0000-2100-000075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02" y="266"/>
                      <a:ext cx="331" cy="12"/>
                    </a:xfrm>
                    <a:custGeom>
                      <a:avLst/>
                      <a:gdLst/>
                      <a:ahLst/>
                      <a:cxnLst>
                        <a:cxn ang="0">
                          <a:pos x="331" y="12"/>
                        </a:cxn>
                        <a:cxn ang="0">
                          <a:pos x="0" y="12"/>
                        </a:cxn>
                        <a:cxn ang="0">
                          <a:pos x="1" y="0"/>
                        </a:cxn>
                        <a:cxn ang="0">
                          <a:pos x="327" y="0"/>
                        </a:cxn>
                        <a:cxn ang="0">
                          <a:pos x="331" y="12"/>
                        </a:cxn>
                      </a:cxnLst>
                      <a:rect l="0" t="0" r="r" b="b"/>
                      <a:pathLst>
                        <a:path w="331" h="12">
                          <a:moveTo>
                            <a:pt x="331" y="12"/>
                          </a:moveTo>
                          <a:cubicBezTo>
                            <a:pt x="274" y="12"/>
                            <a:pt x="61" y="12"/>
                            <a:pt x="0" y="12"/>
                          </a:cubicBezTo>
                          <a:cubicBezTo>
                            <a:pt x="0" y="7"/>
                            <a:pt x="1" y="6"/>
                            <a:pt x="1" y="0"/>
                          </a:cubicBezTo>
                          <a:cubicBezTo>
                            <a:pt x="177" y="0"/>
                            <a:pt x="267" y="0"/>
                            <a:pt x="327" y="0"/>
                          </a:cubicBezTo>
                          <a:cubicBezTo>
                            <a:pt x="328" y="5"/>
                            <a:pt x="328" y="4"/>
                            <a:pt x="331" y="12"/>
                          </a:cubicBezTo>
                          <a:close/>
                        </a:path>
                      </a:pathLst>
                    </a:custGeom>
                    <a:noFill/>
                    <a:ln w="9525" cap="flat" cmpd="sng">
                      <a:solidFill>
                        <a:srgbClr val="000000"/>
                      </a:solidFill>
                      <a:prstDash val="solid"/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18" name="Freeform 374">
                      <a:extLst>
                        <a:ext uri="{FF2B5EF4-FFF2-40B4-BE49-F238E27FC236}">
                          <a16:creationId xmlns:a16="http://schemas.microsoft.com/office/drawing/2014/main" id="{00000000-0008-0000-2100-000076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703" y="303"/>
                      <a:ext cx="30" cy="11"/>
                    </a:xfrm>
                    <a:custGeom>
                      <a:avLst/>
                      <a:gdLst/>
                      <a:ahLst/>
                      <a:cxnLst>
                        <a:cxn ang="0">
                          <a:pos x="1" y="4"/>
                        </a:cxn>
                        <a:cxn ang="0">
                          <a:pos x="7" y="1"/>
                        </a:cxn>
                        <a:cxn ang="0">
                          <a:pos x="30" y="11"/>
                        </a:cxn>
                      </a:cxnLst>
                      <a:rect l="0" t="0" r="r" b="b"/>
                      <a:pathLst>
                        <a:path w="30" h="11">
                          <a:moveTo>
                            <a:pt x="1" y="4"/>
                          </a:moveTo>
                          <a:cubicBezTo>
                            <a:pt x="4" y="0"/>
                            <a:pt x="0" y="2"/>
                            <a:pt x="7" y="1"/>
                          </a:cubicBezTo>
                          <a:cubicBezTo>
                            <a:pt x="12" y="2"/>
                            <a:pt x="26" y="9"/>
                            <a:pt x="30" y="11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19" name="Freeform 375">
                      <a:extLst>
                        <a:ext uri="{FF2B5EF4-FFF2-40B4-BE49-F238E27FC236}">
                          <a16:creationId xmlns:a16="http://schemas.microsoft.com/office/drawing/2014/main" id="{00000000-0008-0000-2100-000077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697" y="239"/>
                      <a:ext cx="9" cy="69"/>
                    </a:xfrm>
                    <a:custGeom>
                      <a:avLst/>
                      <a:gdLst/>
                      <a:ahLst/>
                      <a:cxnLst>
                        <a:cxn ang="0">
                          <a:pos x="6" y="0"/>
                        </a:cxn>
                        <a:cxn ang="0">
                          <a:pos x="0" y="18"/>
                        </a:cxn>
                        <a:cxn ang="0">
                          <a:pos x="6" y="28"/>
                        </a:cxn>
                        <a:cxn ang="0">
                          <a:pos x="4" y="37"/>
                        </a:cxn>
                        <a:cxn ang="0">
                          <a:pos x="9" y="57"/>
                        </a:cxn>
                        <a:cxn ang="0">
                          <a:pos x="6" y="69"/>
                        </a:cxn>
                      </a:cxnLst>
                      <a:rect l="0" t="0" r="r" b="b"/>
                      <a:pathLst>
                        <a:path w="9" h="69">
                          <a:moveTo>
                            <a:pt x="6" y="0"/>
                          </a:moveTo>
                          <a:cubicBezTo>
                            <a:pt x="3" y="6"/>
                            <a:pt x="0" y="13"/>
                            <a:pt x="0" y="18"/>
                          </a:cubicBezTo>
                          <a:cubicBezTo>
                            <a:pt x="0" y="23"/>
                            <a:pt x="5" y="25"/>
                            <a:pt x="6" y="28"/>
                          </a:cubicBezTo>
                          <a:cubicBezTo>
                            <a:pt x="7" y="31"/>
                            <a:pt x="4" y="32"/>
                            <a:pt x="4" y="37"/>
                          </a:cubicBezTo>
                          <a:cubicBezTo>
                            <a:pt x="4" y="42"/>
                            <a:pt x="9" y="52"/>
                            <a:pt x="9" y="57"/>
                          </a:cubicBezTo>
                          <a:cubicBezTo>
                            <a:pt x="9" y="62"/>
                            <a:pt x="7" y="67"/>
                            <a:pt x="6" y="69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20" name="Freeform 376">
                      <a:extLst>
                        <a:ext uri="{FF2B5EF4-FFF2-40B4-BE49-F238E27FC236}">
                          <a16:creationId xmlns:a16="http://schemas.microsoft.com/office/drawing/2014/main" id="{00000000-0008-0000-2100-0000787D0000}"/>
                        </a:ext>
                      </a:extLst>
                    </xdr:cNvPr>
                    <xdr:cNvSpPr>
                      <a:spLocks/>
                    </xdr:cNvSpPr>
                  </xdr:nvSpPr>
                  <xdr:spPr bwMode="auto">
                    <a:xfrm>
                      <a:off x="1028" y="225"/>
                      <a:ext cx="9" cy="97"/>
                    </a:xfrm>
                    <a:custGeom>
                      <a:avLst/>
                      <a:gdLst/>
                      <a:ahLst/>
                      <a:cxnLst>
                        <a:cxn ang="0">
                          <a:pos x="2" y="0"/>
                        </a:cxn>
                        <a:cxn ang="0">
                          <a:pos x="9" y="13"/>
                        </a:cxn>
                        <a:cxn ang="0">
                          <a:pos x="4" y="29"/>
                        </a:cxn>
                        <a:cxn ang="0">
                          <a:pos x="0" y="41"/>
                        </a:cxn>
                        <a:cxn ang="0">
                          <a:pos x="5" y="53"/>
                        </a:cxn>
                        <a:cxn ang="0">
                          <a:pos x="3" y="65"/>
                        </a:cxn>
                        <a:cxn ang="0">
                          <a:pos x="6" y="72"/>
                        </a:cxn>
                        <a:cxn ang="0">
                          <a:pos x="3" y="83"/>
                        </a:cxn>
                        <a:cxn ang="0">
                          <a:pos x="4" y="97"/>
                        </a:cxn>
                      </a:cxnLst>
                      <a:rect l="0" t="0" r="r" b="b"/>
                      <a:pathLst>
                        <a:path w="9" h="97">
                          <a:moveTo>
                            <a:pt x="2" y="0"/>
                          </a:moveTo>
                          <a:cubicBezTo>
                            <a:pt x="5" y="4"/>
                            <a:pt x="9" y="8"/>
                            <a:pt x="9" y="13"/>
                          </a:cubicBezTo>
                          <a:cubicBezTo>
                            <a:pt x="9" y="18"/>
                            <a:pt x="5" y="24"/>
                            <a:pt x="4" y="29"/>
                          </a:cubicBezTo>
                          <a:cubicBezTo>
                            <a:pt x="3" y="34"/>
                            <a:pt x="0" y="37"/>
                            <a:pt x="0" y="41"/>
                          </a:cubicBezTo>
                          <a:cubicBezTo>
                            <a:pt x="0" y="45"/>
                            <a:pt x="4" y="49"/>
                            <a:pt x="5" y="53"/>
                          </a:cubicBezTo>
                          <a:cubicBezTo>
                            <a:pt x="6" y="57"/>
                            <a:pt x="3" y="62"/>
                            <a:pt x="3" y="65"/>
                          </a:cubicBezTo>
                          <a:cubicBezTo>
                            <a:pt x="3" y="68"/>
                            <a:pt x="6" y="69"/>
                            <a:pt x="6" y="72"/>
                          </a:cubicBezTo>
                          <a:cubicBezTo>
                            <a:pt x="6" y="75"/>
                            <a:pt x="3" y="79"/>
                            <a:pt x="3" y="83"/>
                          </a:cubicBezTo>
                          <a:cubicBezTo>
                            <a:pt x="3" y="87"/>
                            <a:pt x="3" y="92"/>
                            <a:pt x="4" y="97"/>
                          </a:cubicBezTo>
                        </a:path>
                      </a:pathLst>
                    </a:custGeom>
                    <a:noFill/>
                    <a:ln w="9525">
                      <a:solidFill>
                        <a:srgbClr val="000000"/>
                      </a:solidFill>
                      <a:round/>
                      <a:headEnd/>
                      <a:tailEnd/>
                    </a:ln>
                  </xdr:spPr>
                </xdr:sp>
              </xdr:grpSp>
              <xdr:grpSp>
                <xdr:nvGrpSpPr>
                  <xdr:cNvPr id="32121" name="Group 377">
                    <a:extLst>
                      <a:ext uri="{FF2B5EF4-FFF2-40B4-BE49-F238E27FC236}">
                        <a16:creationId xmlns:a16="http://schemas.microsoft.com/office/drawing/2014/main" id="{00000000-0008-0000-2100-000079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188" y="213"/>
                    <a:ext cx="259" cy="190"/>
                    <a:chOff x="1188" y="213"/>
                    <a:chExt cx="259" cy="190"/>
                  </a:xfrm>
                </xdr:grpSpPr>
                <xdr:grpSp>
                  <xdr:nvGrpSpPr>
                    <xdr:cNvPr id="32122" name="Group 378">
                      <a:extLst>
                        <a:ext uri="{FF2B5EF4-FFF2-40B4-BE49-F238E27FC236}">
                          <a16:creationId xmlns:a16="http://schemas.microsoft.com/office/drawing/2014/main" id="{00000000-0008-0000-2100-00007A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 flipV="1">
                      <a:off x="1256" y="350"/>
                      <a:ext cx="191" cy="53"/>
                      <a:chOff x="1132" y="52"/>
                      <a:chExt cx="191" cy="32"/>
                    </a:xfrm>
                  </xdr:grpSpPr>
                  <xdr:sp macro="[0]!Макрос2б1" textlink="">
                    <xdr:nvSpPr>
                      <xdr:cNvPr id="32123" name="Line 379">
                        <a:extLst>
                          <a:ext uri="{FF2B5EF4-FFF2-40B4-BE49-F238E27FC236}">
                            <a16:creationId xmlns:a16="http://schemas.microsoft.com/office/drawing/2014/main" id="{00000000-0008-0000-2100-00007B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>
                        <a:off x="1116" y="68"/>
                        <a:ext cx="32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24" name="Line 380">
                        <a:extLst>
                          <a:ext uri="{FF2B5EF4-FFF2-40B4-BE49-F238E27FC236}">
                            <a16:creationId xmlns:a16="http://schemas.microsoft.com/office/drawing/2014/main" id="{00000000-0008-0000-2100-00007C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>
                        <a:off x="1213" y="68"/>
                        <a:ext cx="32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25" name="Line 381">
                        <a:extLst>
                          <a:ext uri="{FF2B5EF4-FFF2-40B4-BE49-F238E27FC236}">
                            <a16:creationId xmlns:a16="http://schemas.microsoft.com/office/drawing/2014/main" id="{00000000-0008-0000-2100-00007D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6200000">
                        <a:off x="1307" y="68"/>
                        <a:ext cx="32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26" name="Line 382">
                        <a:extLst>
                          <a:ext uri="{FF2B5EF4-FFF2-40B4-BE49-F238E27FC236}">
                            <a16:creationId xmlns:a16="http://schemas.microsoft.com/office/drawing/2014/main" id="{00000000-0008-0000-2100-00007E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1133" y="61"/>
                        <a:ext cx="96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 type="stealth" w="sm" len="lg"/>
                      </a:ln>
                    </xdr:spPr>
                  </xdr:sp>
                  <xdr:sp macro="[0]!Макрос2б1" textlink="">
                    <xdr:nvSpPr>
                      <xdr:cNvPr id="32127" name="Line 383">
                        <a:extLst>
                          <a:ext uri="{FF2B5EF4-FFF2-40B4-BE49-F238E27FC236}">
                            <a16:creationId xmlns:a16="http://schemas.microsoft.com/office/drawing/2014/main" id="{00000000-0008-0000-2100-00007F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1230" y="61"/>
                        <a:ext cx="92" cy="0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 type="stealth" w="sm" len="lg"/>
                      </a:ln>
                    </xdr:spPr>
                  </xdr:sp>
                </xdr:grpSp>
                <xdr:grpSp>
                  <xdr:nvGrpSpPr>
                    <xdr:cNvPr id="32128" name="Group 384">
                      <a:extLst>
                        <a:ext uri="{FF2B5EF4-FFF2-40B4-BE49-F238E27FC236}">
                          <a16:creationId xmlns:a16="http://schemas.microsoft.com/office/drawing/2014/main" id="{00000000-0008-0000-2100-000080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240" y="284"/>
                      <a:ext cx="61" cy="8"/>
                      <a:chOff x="1226" y="116"/>
                      <a:chExt cx="61" cy="8"/>
                    </a:xfrm>
                  </xdr:grpSpPr>
                  <xdr:sp macro="[0]!Макрос2б1" textlink="">
                    <xdr:nvSpPr>
                      <xdr:cNvPr id="32129" name="Line 385">
                        <a:extLst>
                          <a:ext uri="{FF2B5EF4-FFF2-40B4-BE49-F238E27FC236}">
                            <a16:creationId xmlns:a16="http://schemas.microsoft.com/office/drawing/2014/main" id="{00000000-0008-0000-2100-000081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7016995" flipH="1">
                        <a:off x="1259" y="115"/>
                        <a:ext cx="0" cy="9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/>
                        <a:tailEnd/>
                      </a:ln>
                    </xdr:spPr>
                  </xdr:sp>
                  <xdr:sp macro="[0]!Макрос2б1" textlink="">
                    <xdr:nvSpPr>
                      <xdr:cNvPr id="32130" name="Line 386">
                        <a:extLst>
                          <a:ext uri="{FF2B5EF4-FFF2-40B4-BE49-F238E27FC236}">
                            <a16:creationId xmlns:a16="http://schemas.microsoft.com/office/drawing/2014/main" id="{00000000-0008-0000-2100-000082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7016995" flipH="1" flipV="1">
                        <a:off x="1240" y="102"/>
                        <a:ext cx="0" cy="28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  <xdr:sp macro="[0]!Макрос2б1" textlink="">
                    <xdr:nvSpPr>
                      <xdr:cNvPr id="32131" name="Line 387">
                        <a:extLst>
                          <a:ext uri="{FF2B5EF4-FFF2-40B4-BE49-F238E27FC236}">
                            <a16:creationId xmlns:a16="http://schemas.microsoft.com/office/drawing/2014/main" id="{00000000-0008-0000-2100-0000837D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rot="17016995" flipH="1">
                        <a:off x="1274" y="111"/>
                        <a:ext cx="0" cy="26"/>
                      </a:xfrm>
                      <a:prstGeom prst="line">
                        <a:avLst/>
                      </a:prstGeom>
                      <a:noFill/>
                      <a:ln w="9525">
                        <a:solidFill>
                          <a:srgbClr val="0000FF"/>
                        </a:solidFill>
                        <a:round/>
                        <a:headEnd type="stealth" w="sm" len="lg"/>
                        <a:tailEnd/>
                      </a:ln>
                    </xdr:spPr>
                  </xdr:sp>
                </xdr:grpSp>
                <xdr:grpSp>
                  <xdr:nvGrpSpPr>
                    <xdr:cNvPr id="32132" name="Group 388">
                      <a:extLst>
                        <a:ext uri="{FF2B5EF4-FFF2-40B4-BE49-F238E27FC236}">
                          <a16:creationId xmlns:a16="http://schemas.microsoft.com/office/drawing/2014/main" id="{00000000-0008-0000-2100-000084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254" y="313"/>
                      <a:ext cx="162" cy="38"/>
                      <a:chOff x="1254" y="313"/>
                      <a:chExt cx="162" cy="38"/>
                    </a:xfrm>
                  </xdr:grpSpPr>
                  <xdr:grpSp>
                    <xdr:nvGrpSpPr>
                      <xdr:cNvPr id="32133" name="Group 389">
                        <a:extLst>
                          <a:ext uri="{FF2B5EF4-FFF2-40B4-BE49-F238E27FC236}">
                            <a16:creationId xmlns:a16="http://schemas.microsoft.com/office/drawing/2014/main" id="{00000000-0008-0000-2100-0000857D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1254" y="313"/>
                        <a:ext cx="20" cy="38"/>
                        <a:chOff x="1254" y="313"/>
                        <a:chExt cx="19" cy="44"/>
                      </a:xfrm>
                    </xdr:grpSpPr>
                    <xdr:sp macro="[0]!Макрос2б1" textlink="">
                      <xdr:nvSpPr>
                        <xdr:cNvPr id="32134" name="Line 390">
                          <a:extLst>
                            <a:ext uri="{FF2B5EF4-FFF2-40B4-BE49-F238E27FC236}">
                              <a16:creationId xmlns:a16="http://schemas.microsoft.com/office/drawing/2014/main" id="{00000000-0008-0000-2100-000086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rot="10800000" flipH="1">
                          <a:off x="1254" y="313"/>
                          <a:ext cx="19" cy="0"/>
                        </a:xfrm>
                        <a:prstGeom prst="line">
                          <a:avLst/>
                        </a:prstGeom>
                        <a:noFill/>
                        <a:ln w="38100">
                          <a:solidFill>
                            <a:srgbClr val="0000FF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2б1" textlink="">
                      <xdr:nvSpPr>
                        <xdr:cNvPr id="32135" name="Line 391">
                          <a:extLst>
                            <a:ext uri="{FF2B5EF4-FFF2-40B4-BE49-F238E27FC236}">
                              <a16:creationId xmlns:a16="http://schemas.microsoft.com/office/drawing/2014/main" id="{00000000-0008-0000-2100-000087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rot="-10800000" flipH="1" flipV="1">
                          <a:off x="1268" y="313"/>
                          <a:ext cx="0" cy="44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 type="stealth" w="sm" len="lg"/>
                          <a:tailEnd/>
                        </a:ln>
                      </xdr:spPr>
                    </xdr:sp>
                  </xdr:grpSp>
                  <xdr:grpSp>
                    <xdr:nvGrpSpPr>
                      <xdr:cNvPr id="32136" name="Group 392">
                        <a:extLst>
                          <a:ext uri="{FF2B5EF4-FFF2-40B4-BE49-F238E27FC236}">
                            <a16:creationId xmlns:a16="http://schemas.microsoft.com/office/drawing/2014/main" id="{00000000-0008-0000-2100-0000887D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1397" y="313"/>
                        <a:ext cx="19" cy="36"/>
                        <a:chOff x="1396" y="313"/>
                        <a:chExt cx="20" cy="42"/>
                      </a:xfrm>
                    </xdr:grpSpPr>
                    <xdr:sp macro="[0]!Макрос2б1" textlink="">
                      <xdr:nvSpPr>
                        <xdr:cNvPr id="32137" name="Line 393">
                          <a:extLst>
                            <a:ext uri="{FF2B5EF4-FFF2-40B4-BE49-F238E27FC236}">
                              <a16:creationId xmlns:a16="http://schemas.microsoft.com/office/drawing/2014/main" id="{00000000-0008-0000-2100-000089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rot="-10800000">
                          <a:off x="1396" y="313"/>
                          <a:ext cx="20" cy="0"/>
                        </a:xfrm>
                        <a:prstGeom prst="line">
                          <a:avLst/>
                        </a:prstGeom>
                        <a:noFill/>
                        <a:ln w="38100">
                          <a:solidFill>
                            <a:srgbClr val="0000FF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2б1" textlink="">
                      <xdr:nvSpPr>
                        <xdr:cNvPr id="32138" name="Line 394">
                          <a:extLst>
                            <a:ext uri="{FF2B5EF4-FFF2-40B4-BE49-F238E27FC236}">
                              <a16:creationId xmlns:a16="http://schemas.microsoft.com/office/drawing/2014/main" id="{00000000-0008-0000-2100-00008A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rot="10800000" flipV="1">
                          <a:off x="1402" y="313"/>
                          <a:ext cx="0" cy="42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 type="stealth" w="sm" len="lg"/>
                          <a:tailEnd/>
                        </a:ln>
                      </xdr:spPr>
                    </xdr:sp>
                  </xdr:grpSp>
                </xdr:grpSp>
                <xdr:grpSp>
                  <xdr:nvGrpSpPr>
                    <xdr:cNvPr id="32139" name="Group 395">
                      <a:extLst>
                        <a:ext uri="{FF2B5EF4-FFF2-40B4-BE49-F238E27FC236}">
                          <a16:creationId xmlns:a16="http://schemas.microsoft.com/office/drawing/2014/main" id="{00000000-0008-0000-2100-00008B7D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1188" y="213"/>
                      <a:ext cx="44" cy="177"/>
                      <a:chOff x="1188" y="213"/>
                      <a:chExt cx="44" cy="177"/>
                    </a:xfrm>
                  </xdr:grpSpPr>
                  <xdr:grpSp>
                    <xdr:nvGrpSpPr>
                      <xdr:cNvPr id="32140" name="Group 396">
                        <a:extLst>
                          <a:ext uri="{FF2B5EF4-FFF2-40B4-BE49-F238E27FC236}">
                            <a16:creationId xmlns:a16="http://schemas.microsoft.com/office/drawing/2014/main" id="{00000000-0008-0000-2100-00008C7D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1188" y="213"/>
                        <a:ext cx="44" cy="29"/>
                        <a:chOff x="1188" y="213"/>
                        <a:chExt cx="44" cy="29"/>
                      </a:xfrm>
                    </xdr:grpSpPr>
                    <xdr:sp macro="[0]!Макрос2б1" textlink="">
                      <xdr:nvSpPr>
                        <xdr:cNvPr id="32141" name="Line 397">
                          <a:extLst>
                            <a:ext uri="{FF2B5EF4-FFF2-40B4-BE49-F238E27FC236}">
                              <a16:creationId xmlns:a16="http://schemas.microsoft.com/office/drawing/2014/main" id="{00000000-0008-0000-2100-00008D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rot="16200000" flipH="1">
                          <a:off x="1217" y="228"/>
                          <a:ext cx="29" cy="0"/>
                        </a:xfrm>
                        <a:prstGeom prst="line">
                          <a:avLst/>
                        </a:prstGeom>
                        <a:noFill/>
                        <a:ln w="38100">
                          <a:solidFill>
                            <a:srgbClr val="0000FF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2б1" textlink="">
                      <xdr:nvSpPr>
                        <xdr:cNvPr id="32142" name="Line 398">
                          <a:extLst>
                            <a:ext uri="{FF2B5EF4-FFF2-40B4-BE49-F238E27FC236}">
                              <a16:creationId xmlns:a16="http://schemas.microsoft.com/office/drawing/2014/main" id="{00000000-0008-0000-2100-00008E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rot="-5400000" flipH="1" flipV="1">
                          <a:off x="1210" y="210"/>
                          <a:ext cx="0" cy="44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 type="stealth" w="sm" len="lg"/>
                          <a:tailEnd/>
                        </a:ln>
                      </xdr:spPr>
                    </xdr:sp>
                  </xdr:grpSp>
                  <xdr:grpSp>
                    <xdr:nvGrpSpPr>
                      <xdr:cNvPr id="32143" name="Group 399">
                        <a:extLst>
                          <a:ext uri="{FF2B5EF4-FFF2-40B4-BE49-F238E27FC236}">
                            <a16:creationId xmlns:a16="http://schemas.microsoft.com/office/drawing/2014/main" id="{00000000-0008-0000-2100-00008F7D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1190" y="362"/>
                        <a:ext cx="42" cy="28"/>
                        <a:chOff x="1190" y="362"/>
                        <a:chExt cx="42" cy="28"/>
                      </a:xfrm>
                    </xdr:grpSpPr>
                    <xdr:sp macro="[0]!Макрос2б1" textlink="">
                      <xdr:nvSpPr>
                        <xdr:cNvPr id="32144" name="Line 400">
                          <a:extLst>
                            <a:ext uri="{FF2B5EF4-FFF2-40B4-BE49-F238E27FC236}">
                              <a16:creationId xmlns:a16="http://schemas.microsoft.com/office/drawing/2014/main" id="{00000000-0008-0000-2100-000090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rot="-5400000">
                          <a:off x="1218" y="376"/>
                          <a:ext cx="28" cy="0"/>
                        </a:xfrm>
                        <a:prstGeom prst="line">
                          <a:avLst/>
                        </a:prstGeom>
                        <a:noFill/>
                        <a:ln w="38100">
                          <a:solidFill>
                            <a:srgbClr val="0000FF"/>
                          </a:solidFill>
                          <a:round/>
                          <a:headEnd/>
                          <a:tailEnd/>
                        </a:ln>
                      </xdr:spPr>
                    </xdr:sp>
                    <xdr:sp macro="[0]!Макрос2б1" textlink="">
                      <xdr:nvSpPr>
                        <xdr:cNvPr id="32145" name="Line 401">
                          <a:extLst>
                            <a:ext uri="{FF2B5EF4-FFF2-40B4-BE49-F238E27FC236}">
                              <a16:creationId xmlns:a16="http://schemas.microsoft.com/office/drawing/2014/main" id="{00000000-0008-0000-2100-0000917D0000}"/>
                            </a:ext>
                          </a:extLst>
                        </xdr:cNvPr>
                        <xdr:cNvSpPr>
                          <a:spLocks noChangeShapeType="1"/>
                        </xdr:cNvSpPr>
                      </xdr:nvSpPr>
                      <xdr:spPr bwMode="auto">
                        <a:xfrm rot="16200000" flipV="1">
                          <a:off x="1211" y="350"/>
                          <a:ext cx="0" cy="42"/>
                        </a:xfrm>
                        <a:prstGeom prst="line">
                          <a:avLst/>
                        </a:prstGeom>
                        <a:noFill/>
                        <a:ln w="9525">
                          <a:solidFill>
                            <a:srgbClr val="0000FF"/>
                          </a:solidFill>
                          <a:round/>
                          <a:headEnd type="stealth" w="sm" len="lg"/>
                          <a:tailEnd/>
                        </a:ln>
                      </xdr:spPr>
                    </xdr:sp>
                  </xdr:grpSp>
                </xdr:grpSp>
              </xdr:grpSp>
            </xdr:grpSp>
            <xdr:grpSp>
              <xdr:nvGrpSpPr>
                <xdr:cNvPr id="32146" name="Group 402">
                  <a:extLst>
                    <a:ext uri="{FF2B5EF4-FFF2-40B4-BE49-F238E27FC236}">
                      <a16:creationId xmlns:a16="http://schemas.microsoft.com/office/drawing/2014/main" id="{00000000-0008-0000-2100-0000927D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1528" y="269"/>
                  <a:ext cx="43" cy="77"/>
                  <a:chOff x="1430" y="101"/>
                  <a:chExt cx="43" cy="77"/>
                </a:xfrm>
              </xdr:grpSpPr>
              <xdr:grpSp>
                <xdr:nvGrpSpPr>
                  <xdr:cNvPr id="32147" name="Group 403">
                    <a:extLst>
                      <a:ext uri="{FF2B5EF4-FFF2-40B4-BE49-F238E27FC236}">
                        <a16:creationId xmlns:a16="http://schemas.microsoft.com/office/drawing/2014/main" id="{00000000-0008-0000-2100-000093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462" y="101"/>
                    <a:ext cx="0" cy="77"/>
                    <a:chOff x="1454" y="101"/>
                    <a:chExt cx="0" cy="77"/>
                  </a:xfrm>
                </xdr:grpSpPr>
                <xdr:sp macro="[0]!Макрос2б1" textlink="">
                  <xdr:nvSpPr>
                    <xdr:cNvPr id="32148" name="Line 404">
                      <a:extLst>
                        <a:ext uri="{FF2B5EF4-FFF2-40B4-BE49-F238E27FC236}">
                          <a16:creationId xmlns:a16="http://schemas.microsoft.com/office/drawing/2014/main" id="{00000000-0008-0000-2100-000094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0800000" flipH="1">
                      <a:off x="1454" y="128"/>
                      <a:ext cx="0" cy="13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49" name="Line 405">
                      <a:extLst>
                        <a:ext uri="{FF2B5EF4-FFF2-40B4-BE49-F238E27FC236}">
                          <a16:creationId xmlns:a16="http://schemas.microsoft.com/office/drawing/2014/main" id="{00000000-0008-0000-2100-000095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0800000" flipH="1" flipV="1">
                      <a:off x="1454" y="141"/>
                      <a:ext cx="0" cy="37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  <xdr:sp macro="[0]!Макрос2б1" textlink="">
                  <xdr:nvSpPr>
                    <xdr:cNvPr id="32150" name="Line 406">
                      <a:extLst>
                        <a:ext uri="{FF2B5EF4-FFF2-40B4-BE49-F238E27FC236}">
                          <a16:creationId xmlns:a16="http://schemas.microsoft.com/office/drawing/2014/main" id="{00000000-0008-0000-2100-000096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 rot="10800000" flipH="1">
                      <a:off x="1454" y="101"/>
                      <a:ext cx="0" cy="28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 type="stealth" w="sm" len="lg"/>
                      <a:tailEnd/>
                    </a:ln>
                  </xdr:spPr>
                </xdr:sp>
              </xdr:grpSp>
              <xdr:grpSp>
                <xdr:nvGrpSpPr>
                  <xdr:cNvPr id="32151" name="Group 407">
                    <a:extLst>
                      <a:ext uri="{FF2B5EF4-FFF2-40B4-BE49-F238E27FC236}">
                        <a16:creationId xmlns:a16="http://schemas.microsoft.com/office/drawing/2014/main" id="{00000000-0008-0000-2100-0000977D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 rot="10800000">
                    <a:off x="1430" y="130"/>
                    <a:ext cx="43" cy="12"/>
                    <a:chOff x="989" y="494"/>
                    <a:chExt cx="57" cy="25"/>
                  </a:xfrm>
                </xdr:grpSpPr>
                <xdr:sp macro="[0]!Макрос2б1" textlink="">
                  <xdr:nvSpPr>
                    <xdr:cNvPr id="32152" name="Line 408">
                      <a:extLst>
                        <a:ext uri="{FF2B5EF4-FFF2-40B4-BE49-F238E27FC236}">
                          <a16:creationId xmlns:a16="http://schemas.microsoft.com/office/drawing/2014/main" id="{00000000-0008-0000-2100-000098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989" y="494"/>
                      <a:ext cx="57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  <xdr:sp macro="[0]!Макрос2б1" textlink="">
                  <xdr:nvSpPr>
                    <xdr:cNvPr id="32153" name="Line 409">
                      <a:extLst>
                        <a:ext uri="{FF2B5EF4-FFF2-40B4-BE49-F238E27FC236}">
                          <a16:creationId xmlns:a16="http://schemas.microsoft.com/office/drawing/2014/main" id="{00000000-0008-0000-2100-0000997D0000}"/>
                        </a:ext>
                      </a:extLst>
                    </xdr:cNvPr>
                    <xdr:cNvSpPr>
                      <a:spLocks noChangeShapeType="1"/>
                    </xdr:cNvSpPr>
                  </xdr:nvSpPr>
                  <xdr:spPr bwMode="auto">
                    <a:xfrm>
                      <a:off x="989" y="519"/>
                      <a:ext cx="57" cy="0"/>
                    </a:xfrm>
                    <a:prstGeom prst="line">
                      <a:avLst/>
                    </a:prstGeom>
                    <a:noFill/>
                    <a:ln w="9525">
                      <a:solidFill>
                        <a:srgbClr val="0000FF"/>
                      </a:solidFill>
                      <a:round/>
                      <a:headEnd/>
                      <a:tailEnd/>
                    </a:ln>
                  </xdr:spPr>
                </xdr:sp>
              </xdr:grpSp>
            </xdr:grpSp>
          </xdr:grpSp>
          <xdr:sp macro="[0]!Макрос2б1" textlink="">
            <xdr:nvSpPr>
              <xdr:cNvPr id="32154" name="Text Box 410">
                <a:extLst>
                  <a:ext uri="{FF2B5EF4-FFF2-40B4-BE49-F238E27FC236}">
                    <a16:creationId xmlns:a16="http://schemas.microsoft.com/office/drawing/2014/main" id="{00000000-0008-0000-2100-00009A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534" y="321"/>
                <a:ext cx="32" cy="23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="vert270" wrap="none" lIns="27432" tIns="22860" rIns="0" bIns="0" anchor="t" upright="1">
                <a:spAutoFit/>
              </a:bodyPr>
              <a:lstStyle/>
              <a:p>
                <a:pPr algn="r" rtl="0">
                  <a:defRPr sz="1000"/>
                </a:pPr>
                <a:r>
                  <a:rPr lang="en-US" sz="1200" b="0" i="0" u="none" strike="noStrike" baseline="0">
                    <a:solidFill>
                      <a:srgbClr val="333399"/>
                    </a:solidFill>
                    <a:latin typeface="Arial Cyr"/>
                    <a:cs typeface="Arial Cyr"/>
                  </a:rPr>
                  <a:t>b</a:t>
                </a:r>
                <a:r>
                  <a:rPr lang="en-US" sz="1200" b="0" i="0" u="none" strike="noStrike" baseline="-25000">
                    <a:solidFill>
                      <a:srgbClr val="333399"/>
                    </a:solidFill>
                    <a:latin typeface="Arial Cyr"/>
                    <a:cs typeface="Arial Cyr"/>
                  </a:rPr>
                  <a:t>1</a:t>
                </a:r>
              </a:p>
            </xdr:txBody>
          </xdr:sp>
        </xdr:grpSp>
        <xdr:grpSp>
          <xdr:nvGrpSpPr>
            <xdr:cNvPr id="32155" name="Group 411">
              <a:extLst>
                <a:ext uri="{FF2B5EF4-FFF2-40B4-BE49-F238E27FC236}">
                  <a16:creationId xmlns:a16="http://schemas.microsoft.com/office/drawing/2014/main" id="{00000000-0008-0000-2100-00009B7D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31" y="143"/>
              <a:ext cx="33" cy="31"/>
              <a:chOff x="392" y="19"/>
              <a:chExt cx="33" cy="31"/>
            </a:xfrm>
          </xdr:grpSpPr>
          <xdr:sp macro="[0]!Макрос2б1" textlink="">
            <xdr:nvSpPr>
              <xdr:cNvPr id="32156" name="Oval 412">
                <a:extLst>
                  <a:ext uri="{FF2B5EF4-FFF2-40B4-BE49-F238E27FC236}">
                    <a16:creationId xmlns:a16="http://schemas.microsoft.com/office/drawing/2014/main" id="{00000000-0008-0000-2100-00009C7D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392" y="19"/>
                <a:ext cx="32" cy="31"/>
              </a:xfrm>
              <a:prstGeom prst="ellipse">
                <a:avLst/>
              </a:prstGeom>
              <a:noFill/>
              <a:ln w="158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[0]!Макрос2б1" textlink="">
            <xdr:nvSpPr>
              <xdr:cNvPr id="32157" name="Text Box 413">
                <a:extLst>
                  <a:ext uri="{FF2B5EF4-FFF2-40B4-BE49-F238E27FC236}">
                    <a16:creationId xmlns:a16="http://schemas.microsoft.com/office/drawing/2014/main" id="{00000000-0008-0000-2100-00009D7D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393" y="24"/>
                <a:ext cx="32" cy="24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wrap="none" lIns="27432" tIns="22860" rIns="0" bIns="0" anchor="t" upright="1">
                <a:spAutoFit/>
              </a:bodyPr>
              <a:lstStyle/>
              <a:p>
                <a:pPr algn="l" rtl="0">
                  <a:defRPr sz="1000"/>
                </a:pPr>
                <a:r>
                  <a:rPr lang="ru-RU" sz="1200" b="1" i="1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2б</a:t>
                </a:r>
              </a:p>
            </xdr:txBody>
          </xdr:sp>
        </xdr:grpSp>
      </xdr:grp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57150</xdr:rowOff>
        </xdr:from>
        <xdr:to>
          <xdr:col>9</xdr:col>
          <xdr:colOff>57150</xdr:colOff>
          <xdr:row>0</xdr:row>
          <xdr:rowOff>190500</xdr:rowOff>
        </xdr:to>
        <xdr:sp macro="" textlink="">
          <xdr:nvSpPr>
            <xdr:cNvPr id="32361" name="Button 617" hidden="1">
              <a:extLst>
                <a:ext uri="{63B3BB69-23CF-44E3-9099-C40C66FF867C}">
                  <a14:compatExt spid="_x0000_s32361"/>
                </a:ext>
                <a:ext uri="{FF2B5EF4-FFF2-40B4-BE49-F238E27FC236}">
                  <a16:creationId xmlns:a16="http://schemas.microsoft.com/office/drawing/2014/main" id="{00000000-0008-0000-2100-0000697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 начало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9525</xdr:rowOff>
        </xdr:from>
        <xdr:to>
          <xdr:col>4</xdr:col>
          <xdr:colOff>28575</xdr:colOff>
          <xdr:row>7</xdr:row>
          <xdr:rowOff>47625</xdr:rowOff>
        </xdr:to>
        <xdr:sp macro="" textlink="">
          <xdr:nvSpPr>
            <xdr:cNvPr id="32363" name="List Box 619" hidden="1">
              <a:extLst>
                <a:ext uri="{63B3BB69-23CF-44E3-9099-C40C66FF867C}">
                  <a14:compatExt spid="_x0000_s32363"/>
                </a:ext>
                <a:ext uri="{FF2B5EF4-FFF2-40B4-BE49-F238E27FC236}">
                  <a16:creationId xmlns:a16="http://schemas.microsoft.com/office/drawing/2014/main" id="{00000000-0008-0000-2100-00006B7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57150</xdr:rowOff>
        </xdr:from>
        <xdr:to>
          <xdr:col>4</xdr:col>
          <xdr:colOff>476250</xdr:colOff>
          <xdr:row>7</xdr:row>
          <xdr:rowOff>57150</xdr:rowOff>
        </xdr:to>
        <xdr:sp macro="" textlink="">
          <xdr:nvSpPr>
            <xdr:cNvPr id="32362" name="List Box 618" hidden="1">
              <a:extLst>
                <a:ext uri="{63B3BB69-23CF-44E3-9099-C40C66FF867C}">
                  <a14:compatExt spid="_x0000_s32362"/>
                </a:ext>
                <a:ext uri="{FF2B5EF4-FFF2-40B4-BE49-F238E27FC236}">
                  <a16:creationId xmlns:a16="http://schemas.microsoft.com/office/drawing/2014/main" id="{00000000-0008-0000-2100-00006A7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omments" Target="../comments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omments" Target="../comments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11" Type="http://schemas.openxmlformats.org/officeDocument/2006/relationships/comments" Target="../comments12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Relationship Id="rId9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10" Type="http://schemas.openxmlformats.org/officeDocument/2006/relationships/ctrlProp" Target="../ctrlProps/ctrlProp67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comments" Target="../comments1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73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8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57:H86"/>
  <sheetViews>
    <sheetView tabSelected="1" workbookViewId="0">
      <selection activeCell="AA9" sqref="AA9"/>
    </sheetView>
  </sheetViews>
  <sheetFormatPr defaultRowHeight="12.75"/>
  <sheetData>
    <row r="57" spans="1:8" hidden="1"/>
    <row r="58" spans="1:8" ht="13.5" hidden="1" thickBot="1"/>
    <row r="59" spans="1:8" ht="13.5" hidden="1" thickBot="1">
      <c r="A59" s="143"/>
      <c r="B59" s="150" t="s">
        <v>1446</v>
      </c>
      <c r="C59" s="150"/>
      <c r="D59" s="150"/>
      <c r="E59" s="144"/>
    </row>
    <row r="60" spans="1:8" ht="13.5" hidden="1" thickBot="1">
      <c r="A60" s="1012">
        <v>1</v>
      </c>
      <c r="B60" s="635" t="s">
        <v>1447</v>
      </c>
      <c r="C60" s="34"/>
      <c r="D60" s="34"/>
      <c r="E60" s="99"/>
      <c r="G60" s="1529"/>
    </row>
    <row r="61" spans="1:8" hidden="1">
      <c r="A61" s="1012">
        <v>2</v>
      </c>
      <c r="B61" s="394" t="s">
        <v>1448</v>
      </c>
      <c r="C61" s="394"/>
      <c r="D61" s="34"/>
      <c r="E61" s="99"/>
      <c r="G61" s="1">
        <v>1</v>
      </c>
      <c r="H61" t="s">
        <v>1449</v>
      </c>
    </row>
    <row r="62" spans="1:8" hidden="1">
      <c r="A62" s="1012">
        <v>3</v>
      </c>
      <c r="B62" s="394" t="s">
        <v>1450</v>
      </c>
      <c r="C62" s="394"/>
      <c r="D62" s="34"/>
      <c r="E62" s="99"/>
      <c r="G62" s="1">
        <v>2</v>
      </c>
      <c r="H62" t="s">
        <v>1451</v>
      </c>
    </row>
    <row r="63" spans="1:8" hidden="1">
      <c r="A63" s="1012">
        <v>4</v>
      </c>
      <c r="B63" s="394" t="s">
        <v>1452</v>
      </c>
      <c r="C63" s="394"/>
      <c r="D63" s="394"/>
      <c r="E63" s="99"/>
      <c r="G63" s="1">
        <v>3</v>
      </c>
      <c r="H63" t="s">
        <v>1453</v>
      </c>
    </row>
    <row r="64" spans="1:8" hidden="1">
      <c r="A64" s="1012">
        <v>5</v>
      </c>
      <c r="B64" s="394" t="s">
        <v>1454</v>
      </c>
      <c r="C64" s="394"/>
      <c r="D64" s="394"/>
      <c r="E64" s="336"/>
      <c r="G64" s="1">
        <v>4</v>
      </c>
      <c r="H64" t="s">
        <v>1455</v>
      </c>
    </row>
    <row r="65" spans="1:8" hidden="1">
      <c r="A65" s="1012">
        <v>6</v>
      </c>
      <c r="B65" s="394" t="s">
        <v>1456</v>
      </c>
      <c r="C65" s="394"/>
      <c r="D65" s="394"/>
      <c r="E65" s="99"/>
      <c r="G65" s="1">
        <v>5</v>
      </c>
      <c r="H65" t="s">
        <v>1457</v>
      </c>
    </row>
    <row r="66" spans="1:8" hidden="1">
      <c r="A66" s="1012">
        <v>7</v>
      </c>
      <c r="B66" s="363" t="s">
        <v>1458</v>
      </c>
      <c r="C66" s="34"/>
      <c r="D66" s="34"/>
      <c r="E66" s="99"/>
      <c r="G66" s="1">
        <v>6</v>
      </c>
      <c r="H66" t="s">
        <v>1459</v>
      </c>
    </row>
    <row r="67" spans="1:8" hidden="1">
      <c r="A67" s="1012">
        <v>8</v>
      </c>
      <c r="B67" s="363" t="s">
        <v>1460</v>
      </c>
      <c r="C67" s="363"/>
      <c r="D67" s="363"/>
      <c r="E67" s="99"/>
      <c r="G67" s="1">
        <v>7</v>
      </c>
      <c r="H67" t="s">
        <v>1461</v>
      </c>
    </row>
    <row r="68" spans="1:8" hidden="1">
      <c r="A68" s="1012">
        <v>9</v>
      </c>
      <c r="B68" s="363" t="s">
        <v>1462</v>
      </c>
      <c r="C68" s="363"/>
      <c r="D68" s="363"/>
      <c r="E68" s="99"/>
      <c r="G68" s="1">
        <v>8</v>
      </c>
      <c r="H68" t="s">
        <v>1463</v>
      </c>
    </row>
    <row r="69" spans="1:8" hidden="1">
      <c r="A69" s="1012">
        <v>10</v>
      </c>
      <c r="B69" s="363" t="s">
        <v>1464</v>
      </c>
      <c r="C69" s="363"/>
      <c r="D69" s="363"/>
      <c r="E69" s="99"/>
      <c r="G69" s="1">
        <v>9</v>
      </c>
      <c r="H69" t="s">
        <v>1465</v>
      </c>
    </row>
    <row r="70" spans="1:8" hidden="1">
      <c r="A70" s="1012">
        <v>11</v>
      </c>
      <c r="B70" s="363" t="s">
        <v>1466</v>
      </c>
      <c r="C70" s="363"/>
      <c r="D70" s="363"/>
      <c r="E70" s="1013"/>
      <c r="G70" s="1">
        <v>10</v>
      </c>
      <c r="H70" t="s">
        <v>1467</v>
      </c>
    </row>
    <row r="71" spans="1:8" hidden="1">
      <c r="A71" s="1012">
        <v>12</v>
      </c>
      <c r="B71" s="363" t="s">
        <v>1468</v>
      </c>
      <c r="C71" s="363"/>
      <c r="D71" s="363"/>
      <c r="E71" s="99"/>
      <c r="G71" s="1">
        <v>11</v>
      </c>
      <c r="H71" t="s">
        <v>1469</v>
      </c>
    </row>
    <row r="72" spans="1:8" hidden="1">
      <c r="A72" s="1014">
        <v>13</v>
      </c>
      <c r="B72" s="1015" t="s">
        <v>1470</v>
      </c>
      <c r="C72" s="34"/>
      <c r="D72" s="34"/>
      <c r="E72" s="99"/>
      <c r="G72" s="1">
        <v>12</v>
      </c>
      <c r="H72" t="s">
        <v>1471</v>
      </c>
    </row>
    <row r="73" spans="1:8" hidden="1">
      <c r="A73" s="1012">
        <v>14</v>
      </c>
      <c r="B73" s="372" t="s">
        <v>1472</v>
      </c>
      <c r="C73" s="372"/>
      <c r="D73" s="34"/>
      <c r="E73" s="99"/>
      <c r="G73" s="1">
        <v>13</v>
      </c>
      <c r="H73" t="s">
        <v>1473</v>
      </c>
    </row>
    <row r="74" spans="1:8" hidden="1">
      <c r="A74" s="1014">
        <v>15</v>
      </c>
      <c r="B74" s="1015" t="s">
        <v>1474</v>
      </c>
      <c r="C74" s="34"/>
      <c r="D74" s="34"/>
      <c r="E74" s="99"/>
      <c r="G74" s="1">
        <v>14</v>
      </c>
      <c r="H74" t="s">
        <v>1475</v>
      </c>
    </row>
    <row r="75" spans="1:8" hidden="1">
      <c r="A75" s="1012">
        <v>16</v>
      </c>
      <c r="B75" s="372" t="s">
        <v>1476</v>
      </c>
      <c r="C75" s="372"/>
      <c r="D75" s="34"/>
      <c r="E75" s="99"/>
      <c r="G75" s="1">
        <v>15</v>
      </c>
      <c r="H75" t="s">
        <v>1477</v>
      </c>
    </row>
    <row r="76" spans="1:8" hidden="1">
      <c r="A76" s="1012">
        <v>17</v>
      </c>
      <c r="B76" s="372" t="s">
        <v>1478</v>
      </c>
      <c r="C76" s="372"/>
      <c r="D76" s="34"/>
      <c r="E76" s="99"/>
      <c r="G76" s="1">
        <v>16</v>
      </c>
      <c r="H76" t="s">
        <v>887</v>
      </c>
    </row>
    <row r="77" spans="1:8" hidden="1">
      <c r="A77" s="1012">
        <v>18</v>
      </c>
      <c r="B77" s="372" t="s">
        <v>1479</v>
      </c>
      <c r="C77" s="34"/>
      <c r="D77" s="34"/>
      <c r="E77" s="99"/>
      <c r="G77" s="1">
        <v>17</v>
      </c>
      <c r="H77" t="s">
        <v>888</v>
      </c>
    </row>
    <row r="78" spans="1:8" hidden="1">
      <c r="A78" s="1012">
        <v>19</v>
      </c>
      <c r="B78" s="372" t="s">
        <v>853</v>
      </c>
      <c r="C78" s="34"/>
      <c r="D78" s="34"/>
      <c r="E78" s="99"/>
      <c r="G78" s="1">
        <v>18</v>
      </c>
      <c r="H78" t="s">
        <v>848</v>
      </c>
    </row>
    <row r="79" spans="1:8" hidden="1">
      <c r="A79" s="1012">
        <v>20</v>
      </c>
      <c r="B79" s="372" t="s">
        <v>854</v>
      </c>
      <c r="C79" s="34"/>
      <c r="D79" s="34"/>
      <c r="E79" s="99"/>
      <c r="G79" s="1">
        <v>19</v>
      </c>
      <c r="H79" t="s">
        <v>849</v>
      </c>
    </row>
    <row r="80" spans="1:8" hidden="1">
      <c r="A80" s="1012">
        <v>21</v>
      </c>
      <c r="B80" s="372" t="s">
        <v>855</v>
      </c>
      <c r="C80" s="34"/>
      <c r="D80" s="34"/>
      <c r="E80" s="99"/>
      <c r="G80" s="1">
        <v>20</v>
      </c>
      <c r="H80" t="s">
        <v>850</v>
      </c>
    </row>
    <row r="81" spans="1:8" hidden="1">
      <c r="A81" s="1012">
        <v>22</v>
      </c>
      <c r="B81" s="372" t="s">
        <v>856</v>
      </c>
      <c r="C81" s="34"/>
      <c r="D81" s="34"/>
      <c r="E81" s="99"/>
      <c r="G81" s="1">
        <v>21</v>
      </c>
      <c r="H81" t="s">
        <v>851</v>
      </c>
    </row>
    <row r="82" spans="1:8" hidden="1">
      <c r="A82" s="1012">
        <v>23</v>
      </c>
      <c r="B82" s="372" t="s">
        <v>857</v>
      </c>
      <c r="C82" s="34"/>
      <c r="D82" s="34"/>
      <c r="E82" s="99"/>
      <c r="G82" s="1">
        <v>22</v>
      </c>
      <c r="H82" t="s">
        <v>852</v>
      </c>
    </row>
    <row r="83" spans="1:8" hidden="1">
      <c r="A83" s="1012">
        <v>24</v>
      </c>
      <c r="B83" s="372" t="s">
        <v>858</v>
      </c>
      <c r="C83" s="34"/>
      <c r="D83" s="34"/>
      <c r="E83" s="99"/>
    </row>
    <row r="84" spans="1:8" hidden="1">
      <c r="A84" s="1012">
        <v>25</v>
      </c>
      <c r="B84" s="372" t="s">
        <v>859</v>
      </c>
      <c r="C84" s="34"/>
      <c r="D84" s="34"/>
      <c r="E84" s="99"/>
    </row>
    <row r="85" spans="1:8" ht="13.5" hidden="1" thickBot="1">
      <c r="A85" s="1016">
        <v>26</v>
      </c>
      <c r="B85" s="1017" t="s">
        <v>1480</v>
      </c>
      <c r="C85" s="151"/>
      <c r="D85" s="151"/>
      <c r="E85" s="100"/>
    </row>
    <row r="86" spans="1:8" hidden="1"/>
  </sheetData>
  <pageMargins left="0.75" right="0.75" top="1" bottom="1" header="0.5" footer="0.5"/>
  <pageSetup paperSize="9" orientation="portrait" horizontalDpi="2400" verticalDpi="2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4" r:id="rId4" name="Drop Down 3420">
              <controlPr defaultSize="0" print="0" autoFill="0" autoLine="0" autoPict="0" macro="[0]!Меню_раскыв">
                <anchor moveWithCells="1" sizeWithCells="1">
                  <from>
                    <xdr:col>1</xdr:col>
                    <xdr:colOff>457200</xdr:colOff>
                    <xdr:row>19</xdr:row>
                    <xdr:rowOff>9525</xdr:rowOff>
                  </from>
                  <to>
                    <xdr:col>8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AM178"/>
  <sheetViews>
    <sheetView workbookViewId="0">
      <pane ySplit="11" topLeftCell="A12" activePane="bottomLeft" state="frozenSplit"/>
      <selection pane="bottomLeft" activeCell="C19" sqref="C19"/>
    </sheetView>
  </sheetViews>
  <sheetFormatPr defaultRowHeight="12.75"/>
  <cols>
    <col min="1" max="1" width="9.85546875" style="1238" customWidth="1"/>
    <col min="2" max="2" width="8.5703125" style="1238" customWidth="1"/>
    <col min="3" max="3" width="6.5703125" style="1240" customWidth="1"/>
    <col min="4" max="4" width="4" style="1241" customWidth="1"/>
    <col min="5" max="5" width="5.85546875" style="1239" customWidth="1"/>
    <col min="6" max="6" width="7.28515625" style="1459" customWidth="1"/>
    <col min="7" max="7" width="6.5703125" style="1239" customWidth="1"/>
    <col min="8" max="8" width="7" style="1239" customWidth="1"/>
    <col min="9" max="9" width="7.5703125" style="1239" customWidth="1"/>
    <col min="10" max="10" width="4.28515625" style="1239" customWidth="1"/>
    <col min="11" max="12" width="6.5703125" style="1239" customWidth="1"/>
    <col min="13" max="13" width="6.42578125" style="1239" customWidth="1"/>
    <col min="14" max="14" width="7.5703125" style="1239" customWidth="1"/>
    <col min="15" max="15" width="5.140625" style="1239" customWidth="1"/>
    <col min="16" max="17" width="6.5703125" style="1239" customWidth="1"/>
    <col min="18" max="18" width="5.140625" style="1239" customWidth="1"/>
    <col min="19" max="19" width="7.5703125" style="1239" customWidth="1"/>
    <col min="20" max="20" width="6.140625" style="1239" customWidth="1"/>
    <col min="21" max="21" width="2.140625" style="1238" customWidth="1"/>
    <col min="22" max="22" width="2.5703125" style="1238" customWidth="1"/>
    <col min="23" max="23" width="4.85546875" style="1238" customWidth="1"/>
    <col min="24" max="24" width="3" style="1238" customWidth="1"/>
    <col min="25" max="25" width="3" style="1242" customWidth="1"/>
    <col min="26" max="26" width="4.42578125" style="1242" customWidth="1"/>
    <col min="27" max="27" width="4.5703125" style="1238" customWidth="1"/>
    <col min="28" max="28" width="4.42578125" style="1238" customWidth="1"/>
    <col min="29" max="29" width="5.28515625" style="1238" customWidth="1"/>
    <col min="30" max="30" width="5" style="1238" customWidth="1"/>
    <col min="31" max="31" width="6.28515625" style="1238" customWidth="1"/>
    <col min="32" max="32" width="5.5703125" style="1238" customWidth="1"/>
    <col min="33" max="33" width="4.5703125" style="1238" customWidth="1"/>
    <col min="34" max="34" width="5.140625" style="1238" customWidth="1"/>
    <col min="35" max="39" width="9.140625" style="1238"/>
  </cols>
  <sheetData>
    <row r="1" spans="1:39" ht="24.75" customHeight="1" thickBot="1">
      <c r="B1" s="1239"/>
      <c r="F1" s="1230"/>
    </row>
    <row r="2" spans="1:39" ht="13.5" thickBot="1">
      <c r="E2" s="1243"/>
      <c r="F2" s="1244"/>
      <c r="G2" s="1245" t="s">
        <v>1481</v>
      </c>
      <c r="H2" s="1246"/>
      <c r="I2" s="1247"/>
      <c r="J2" s="1248"/>
      <c r="K2" s="1249"/>
      <c r="L2" s="1249"/>
      <c r="M2" s="1249"/>
      <c r="N2" s="1249"/>
      <c r="O2" s="1249"/>
      <c r="P2" s="1249"/>
      <c r="Q2" s="1249"/>
      <c r="R2" s="1250"/>
    </row>
    <row r="3" spans="1:39" ht="13.5" thickBot="1">
      <c r="E3" s="1251"/>
      <c r="F3" s="1021" t="s">
        <v>1482</v>
      </c>
      <c r="G3" s="1022"/>
      <c r="H3" s="1526">
        <f>F3*G3</f>
        <v>0</v>
      </c>
      <c r="I3" s="1252" t="s">
        <v>1483</v>
      </c>
      <c r="J3" s="1253"/>
      <c r="K3" s="1254"/>
      <c r="L3" s="1254"/>
      <c r="M3" s="1254"/>
      <c r="N3" s="1254"/>
      <c r="O3" s="1254"/>
      <c r="P3" s="1254"/>
      <c r="Q3" s="1254"/>
      <c r="R3" s="1255"/>
    </row>
    <row r="4" spans="1:39" ht="13.5" thickBot="1">
      <c r="E4" s="1256"/>
      <c r="F4" s="1023" t="s">
        <v>1484</v>
      </c>
      <c r="G4" s="1525">
        <f>G3</f>
        <v>0</v>
      </c>
      <c r="H4" s="1527">
        <f>IF(G4=0,0,F4/G4)</f>
        <v>0</v>
      </c>
      <c r="I4" s="1257" t="s">
        <v>1485</v>
      </c>
      <c r="J4" s="1253"/>
      <c r="K4" s="1254"/>
      <c r="L4" s="1254"/>
      <c r="M4" s="1254"/>
      <c r="N4" s="1254"/>
      <c r="O4" s="1254"/>
      <c r="P4" s="1254"/>
      <c r="Q4" s="1254"/>
      <c r="R4" s="1255"/>
    </row>
    <row r="5" spans="1:39" s="251" customFormat="1" ht="15" thickBot="1">
      <c r="A5" s="1258"/>
      <c r="B5" s="1258"/>
      <c r="C5" s="1259"/>
      <c r="D5" s="1260"/>
      <c r="E5" s="1261" t="s">
        <v>1486</v>
      </c>
      <c r="F5" s="1262"/>
      <c r="G5" s="1024"/>
      <c r="H5" s="1263"/>
      <c r="I5" s="1257" t="s">
        <v>1487</v>
      </c>
      <c r="J5" s="1253"/>
      <c r="K5" s="1254"/>
      <c r="L5" s="1254"/>
      <c r="M5" s="1254"/>
      <c r="N5" s="1264"/>
      <c r="O5" s="1254"/>
      <c r="P5" s="1254"/>
      <c r="Q5" s="1254"/>
      <c r="R5" s="1255"/>
      <c r="S5" s="1265"/>
      <c r="T5" s="1265"/>
      <c r="U5" s="1266"/>
      <c r="V5" s="1266"/>
      <c r="W5" s="1266"/>
      <c r="X5" s="1266"/>
      <c r="Y5" s="1266"/>
      <c r="Z5" s="1266"/>
      <c r="AA5" s="1266"/>
      <c r="AB5" s="1266"/>
      <c r="AC5" s="1266"/>
      <c r="AD5" s="1266"/>
      <c r="AE5" s="1266"/>
      <c r="AF5" s="1266"/>
      <c r="AG5" s="1266"/>
      <c r="AH5" s="1266"/>
      <c r="AI5" s="1266"/>
      <c r="AJ5" s="1266"/>
      <c r="AK5" s="1266"/>
      <c r="AL5" s="1266"/>
      <c r="AM5" s="1266"/>
    </row>
    <row r="6" spans="1:39" s="251" customFormat="1" ht="13.5" thickBot="1">
      <c r="A6" s="1258"/>
      <c r="B6" s="1258"/>
      <c r="C6" s="1259"/>
      <c r="D6" s="1260"/>
      <c r="E6" s="1267"/>
      <c r="F6" s="1268" t="s">
        <v>1488</v>
      </c>
      <c r="G6" s="1025"/>
      <c r="H6" s="1269"/>
      <c r="I6" s="1528" t="str">
        <f>IF(G6=0,"",CHOOSE(E140,E11,F11,G11,H11,I11,J11,K11,L11,M11,N11,O11,P11,Q11,R11,S11,T11))</f>
        <v/>
      </c>
      <c r="J6" s="1270"/>
      <c r="K6" s="1271"/>
      <c r="L6" s="1271"/>
      <c r="M6" s="1271"/>
      <c r="N6" s="1271"/>
      <c r="O6" s="1271"/>
      <c r="P6" s="1271"/>
      <c r="Q6" s="1271"/>
      <c r="R6" s="1272"/>
      <c r="S6" s="1265"/>
      <c r="T6" s="1265"/>
      <c r="U6" s="1266"/>
      <c r="V6" s="1266"/>
      <c r="W6" s="1266"/>
      <c r="X6" s="1266"/>
      <c r="Y6" s="1266"/>
      <c r="Z6" s="1266"/>
      <c r="AA6" s="1266"/>
      <c r="AB6" s="1266"/>
      <c r="AC6" s="1266"/>
      <c r="AD6" s="1266"/>
      <c r="AE6" s="1266"/>
      <c r="AF6" s="1266"/>
      <c r="AG6" s="1266"/>
      <c r="AH6" s="1266"/>
      <c r="AI6" s="1266"/>
      <c r="AJ6" s="1266"/>
      <c r="AK6" s="1266"/>
      <c r="AL6" s="1266"/>
      <c r="AM6" s="1266"/>
    </row>
    <row r="7" spans="1:39" s="251" customFormat="1">
      <c r="A7" s="1258"/>
      <c r="B7" s="1258"/>
      <c r="C7" s="1259"/>
      <c r="D7" s="1273"/>
      <c r="E7" s="1265"/>
      <c r="F7" s="1274"/>
      <c r="G7" s="1265"/>
      <c r="H7" s="1275"/>
      <c r="I7" s="1265"/>
      <c r="J7" s="1265"/>
      <c r="K7" s="1265"/>
      <c r="L7" s="1265"/>
      <c r="M7" s="1265"/>
      <c r="N7" s="1265"/>
      <c r="O7" s="1265"/>
      <c r="P7" s="1265"/>
      <c r="Q7" s="1265"/>
      <c r="R7" s="1265"/>
      <c r="S7" s="1265"/>
      <c r="T7" s="1266"/>
      <c r="U7" s="1266"/>
      <c r="V7" s="1266"/>
      <c r="W7" s="1266"/>
      <c r="X7" s="1266"/>
      <c r="Y7" s="1266"/>
      <c r="Z7" s="1266"/>
      <c r="AA7" s="1266"/>
      <c r="AB7" s="1266"/>
      <c r="AC7" s="1266"/>
      <c r="AD7" s="1266"/>
      <c r="AE7" s="1266"/>
      <c r="AF7" s="1266"/>
      <c r="AG7" s="1266"/>
      <c r="AH7" s="1266"/>
      <c r="AI7" s="1266"/>
      <c r="AJ7" s="1266"/>
      <c r="AK7" s="1266"/>
      <c r="AL7" s="1266"/>
      <c r="AM7" s="1266"/>
    </row>
    <row r="8" spans="1:39" s="251" customFormat="1" ht="13.5" thickBot="1">
      <c r="A8" s="1258"/>
      <c r="B8" s="1258"/>
      <c r="C8" s="1259"/>
      <c r="D8" s="1260"/>
      <c r="E8" s="1265"/>
      <c r="F8" s="1276"/>
      <c r="G8" s="1277"/>
      <c r="H8" s="409"/>
      <c r="I8" s="1265"/>
      <c r="J8" s="1265"/>
      <c r="K8" s="1278" t="s">
        <v>1489</v>
      </c>
      <c r="L8" s="1265"/>
      <c r="M8" s="1265"/>
      <c r="N8" s="1277"/>
      <c r="O8" s="1265"/>
      <c r="P8" s="1277"/>
      <c r="Q8" s="1277"/>
      <c r="R8" s="1265"/>
      <c r="S8" s="1277"/>
      <c r="T8" s="1277"/>
      <c r="U8" s="1266"/>
      <c r="V8" s="1266"/>
      <c r="W8" s="1266"/>
      <c r="X8" s="1266"/>
      <c r="Y8" s="1266"/>
      <c r="Z8" s="1266"/>
      <c r="AA8" s="1266"/>
      <c r="AB8" s="1266"/>
      <c r="AC8" s="1266"/>
      <c r="AD8" s="1266"/>
      <c r="AE8" s="1266"/>
      <c r="AF8" s="1266"/>
      <c r="AG8" s="1266"/>
      <c r="AH8" s="1266"/>
      <c r="AI8" s="1266"/>
      <c r="AJ8" s="1266"/>
      <c r="AK8" s="1266"/>
      <c r="AL8" s="1266"/>
      <c r="AM8" s="1266"/>
    </row>
    <row r="9" spans="1:39" ht="30.75" thickTop="1" thickBot="1">
      <c r="A9" s="1279"/>
      <c r="B9" s="1279"/>
      <c r="C9" s="1280"/>
      <c r="E9" s="1281" t="s">
        <v>895</v>
      </c>
      <c r="F9" s="1282" t="s">
        <v>1490</v>
      </c>
      <c r="G9" s="1283" t="s">
        <v>1491</v>
      </c>
      <c r="H9" s="1284" t="s">
        <v>1492</v>
      </c>
      <c r="I9" s="1285"/>
      <c r="J9" s="1286"/>
      <c r="K9" s="1287" t="s">
        <v>1521</v>
      </c>
      <c r="L9" s="1288" t="s">
        <v>1522</v>
      </c>
      <c r="M9" s="1289" t="s">
        <v>1523</v>
      </c>
      <c r="N9" s="1287" t="s">
        <v>1524</v>
      </c>
      <c r="O9" s="1289" t="s">
        <v>1525</v>
      </c>
      <c r="P9" s="1287" t="s">
        <v>1526</v>
      </c>
      <c r="Q9" s="1288" t="s">
        <v>1522</v>
      </c>
      <c r="R9" s="1289" t="s">
        <v>1526</v>
      </c>
      <c r="S9" s="1290"/>
      <c r="T9" s="1291" t="s">
        <v>1527</v>
      </c>
      <c r="U9" s="1292"/>
      <c r="V9" s="1292"/>
      <c r="W9" s="1292"/>
      <c r="X9" s="1292"/>
      <c r="Y9" s="1266"/>
      <c r="Z9" s="1266"/>
      <c r="AA9" s="1292"/>
      <c r="AB9" s="1292"/>
      <c r="AC9" s="1293"/>
      <c r="AD9" s="1293"/>
      <c r="AE9" s="1293"/>
      <c r="AF9" s="1293"/>
      <c r="AG9" s="1293"/>
      <c r="AH9" s="1293"/>
      <c r="AI9" s="1293"/>
      <c r="AJ9" s="1293"/>
      <c r="AK9" s="1293"/>
      <c r="AL9" s="1293"/>
    </row>
    <row r="10" spans="1:39" ht="18.75">
      <c r="A10" s="1294"/>
      <c r="B10" s="1294"/>
      <c r="C10" s="1280"/>
      <c r="D10" s="1295"/>
      <c r="E10" s="1296" t="s">
        <v>1528</v>
      </c>
      <c r="F10" s="1297" t="s">
        <v>1529</v>
      </c>
      <c r="G10" s="1298" t="s">
        <v>1530</v>
      </c>
      <c r="H10" s="1299" t="s">
        <v>1531</v>
      </c>
      <c r="I10" s="1300" t="s">
        <v>1532</v>
      </c>
      <c r="J10" s="1301" t="s">
        <v>1533</v>
      </c>
      <c r="K10" s="1302" t="s">
        <v>1534</v>
      </c>
      <c r="L10" s="1303" t="s">
        <v>1535</v>
      </c>
      <c r="M10" s="1304" t="s">
        <v>1536</v>
      </c>
      <c r="N10" s="1300" t="s">
        <v>1537</v>
      </c>
      <c r="O10" s="1304" t="s">
        <v>1538</v>
      </c>
      <c r="P10" s="1302" t="s">
        <v>1539</v>
      </c>
      <c r="Q10" s="1303" t="s">
        <v>1540</v>
      </c>
      <c r="R10" s="1304" t="s">
        <v>1541</v>
      </c>
      <c r="S10" s="1300" t="s">
        <v>1542</v>
      </c>
      <c r="T10" s="1305" t="s">
        <v>1543</v>
      </c>
      <c r="U10" s="1306"/>
      <c r="V10" s="1306"/>
      <c r="W10" s="1306"/>
      <c r="X10" s="1306"/>
      <c r="Y10" s="1306"/>
      <c r="Z10" s="1306"/>
      <c r="AA10" s="1306"/>
      <c r="AB10" s="1306"/>
      <c r="AC10" s="1307"/>
      <c r="AD10" s="1307"/>
      <c r="AE10" s="1308"/>
      <c r="AF10" s="1306"/>
      <c r="AG10" s="1294"/>
      <c r="AH10" s="1294"/>
      <c r="AI10" s="1294"/>
      <c r="AJ10" s="1294"/>
      <c r="AK10" s="1294"/>
      <c r="AL10" s="1294"/>
    </row>
    <row r="11" spans="1:39" ht="14.25" thickBot="1">
      <c r="A11" s="1309"/>
      <c r="B11" s="1309"/>
      <c r="C11" s="1280"/>
      <c r="D11" s="1310" t="s">
        <v>1544</v>
      </c>
      <c r="E11" s="1311" t="s">
        <v>1545</v>
      </c>
      <c r="F11" s="1312" t="s">
        <v>1545</v>
      </c>
      <c r="G11" s="1313" t="s">
        <v>1483</v>
      </c>
      <c r="H11" s="1314" t="s">
        <v>1546</v>
      </c>
      <c r="I11" s="1315" t="s">
        <v>1545</v>
      </c>
      <c r="J11" s="1316" t="s">
        <v>1545</v>
      </c>
      <c r="K11" s="1317" t="s">
        <v>1547</v>
      </c>
      <c r="L11" s="1318" t="s">
        <v>1548</v>
      </c>
      <c r="M11" s="1319" t="s">
        <v>1549</v>
      </c>
      <c r="N11" s="1317" t="s">
        <v>1547</v>
      </c>
      <c r="O11" s="1320" t="s">
        <v>1549</v>
      </c>
      <c r="P11" s="1317" t="s">
        <v>1547</v>
      </c>
      <c r="Q11" s="1318" t="s">
        <v>1548</v>
      </c>
      <c r="R11" s="1319" t="s">
        <v>1549</v>
      </c>
      <c r="S11" s="1317" t="s">
        <v>1547</v>
      </c>
      <c r="T11" s="1321" t="s">
        <v>1549</v>
      </c>
      <c r="U11" s="1322"/>
      <c r="V11" s="1322"/>
      <c r="W11" s="1322"/>
      <c r="X11" s="1322"/>
      <c r="Y11" s="1266"/>
      <c r="Z11" s="1266"/>
      <c r="AA11" s="1322"/>
      <c r="AB11" s="1322"/>
      <c r="AC11" s="1323"/>
      <c r="AD11" s="1323"/>
      <c r="AE11" s="1324"/>
      <c r="AF11" s="1322"/>
      <c r="AG11" s="1309"/>
      <c r="AH11" s="1309"/>
      <c r="AI11" s="1309"/>
      <c r="AJ11" s="1309"/>
      <c r="AK11" s="1309"/>
      <c r="AL11" s="1309"/>
    </row>
    <row r="12" spans="1:39">
      <c r="A12" s="1325"/>
      <c r="B12" s="1325"/>
      <c r="C12" s="1280"/>
      <c r="D12" s="410">
        <v>1</v>
      </c>
      <c r="E12" s="1326">
        <v>20</v>
      </c>
      <c r="F12" s="1327">
        <v>3</v>
      </c>
      <c r="G12" s="1328">
        <v>0.89</v>
      </c>
      <c r="H12" s="1329">
        <v>1.1299999999999999</v>
      </c>
      <c r="I12" s="1330">
        <v>3.5</v>
      </c>
      <c r="J12" s="1331">
        <v>1.2</v>
      </c>
      <c r="K12" s="1332">
        <v>0.4</v>
      </c>
      <c r="L12" s="1333">
        <v>0.28000000000000003</v>
      </c>
      <c r="M12" s="1334">
        <v>0.59</v>
      </c>
      <c r="N12" s="1335">
        <v>0.63</v>
      </c>
      <c r="O12" s="1334">
        <v>0.75</v>
      </c>
      <c r="P12" s="1335">
        <v>0.17</v>
      </c>
      <c r="Q12" s="1336">
        <v>0.2</v>
      </c>
      <c r="R12" s="1334">
        <v>0.39</v>
      </c>
      <c r="S12" s="1337">
        <v>0.23</v>
      </c>
      <c r="T12" s="1337">
        <v>0.6</v>
      </c>
      <c r="U12" s="1338"/>
      <c r="V12" s="1338"/>
      <c r="W12" s="1338"/>
      <c r="X12" s="1338"/>
      <c r="Y12" s="1338"/>
      <c r="Z12" s="1338"/>
      <c r="AA12" s="1338"/>
      <c r="AB12" s="1338"/>
      <c r="AC12" s="1339"/>
      <c r="AD12" s="1339"/>
      <c r="AE12" s="1339"/>
      <c r="AF12" s="1266"/>
    </row>
    <row r="13" spans="1:39">
      <c r="A13" s="1325"/>
      <c r="B13" s="1325"/>
      <c r="C13" s="1280"/>
      <c r="D13" s="410">
        <v>2</v>
      </c>
      <c r="E13" s="1340">
        <v>20</v>
      </c>
      <c r="F13" s="1341">
        <v>4</v>
      </c>
      <c r="G13" s="1342">
        <v>1.1499999999999999</v>
      </c>
      <c r="H13" s="1343">
        <v>1.46</v>
      </c>
      <c r="I13" s="1344">
        <v>3.5</v>
      </c>
      <c r="J13" s="1345">
        <v>1.2</v>
      </c>
      <c r="K13" s="1346">
        <v>0.5</v>
      </c>
      <c r="L13" s="1347">
        <v>0.37</v>
      </c>
      <c r="M13" s="1348">
        <v>0.57999999999999996</v>
      </c>
      <c r="N13" s="1349">
        <v>0.78</v>
      </c>
      <c r="O13" s="1348">
        <v>0.73</v>
      </c>
      <c r="P13" s="1349">
        <v>0.22</v>
      </c>
      <c r="Q13" s="1350">
        <v>0.24</v>
      </c>
      <c r="R13" s="1348">
        <v>0.38</v>
      </c>
      <c r="S13" s="1351">
        <v>0.28000000000000003</v>
      </c>
      <c r="T13" s="1351">
        <v>0.64</v>
      </c>
      <c r="U13" s="1338"/>
      <c r="V13" s="1338"/>
      <c r="W13" s="1338"/>
      <c r="X13" s="1338"/>
      <c r="Y13" s="1338"/>
      <c r="Z13" s="1338"/>
      <c r="AA13" s="1338"/>
      <c r="AB13" s="1338"/>
      <c r="AC13" s="1266"/>
      <c r="AD13" s="1266"/>
      <c r="AE13" s="1266"/>
      <c r="AF13" s="1266"/>
    </row>
    <row r="14" spans="1:39">
      <c r="A14" s="1325"/>
      <c r="B14" s="1325"/>
      <c r="C14" s="1280"/>
      <c r="D14" s="410">
        <v>3</v>
      </c>
      <c r="E14" s="1352">
        <v>25</v>
      </c>
      <c r="F14" s="1353">
        <v>3</v>
      </c>
      <c r="G14" s="1354">
        <v>1.1200000000000001</v>
      </c>
      <c r="H14" s="1355">
        <v>1.43</v>
      </c>
      <c r="I14" s="1356">
        <v>3.5</v>
      </c>
      <c r="J14" s="1357">
        <v>1.2</v>
      </c>
      <c r="K14" s="1358">
        <v>0.81</v>
      </c>
      <c r="L14" s="1359">
        <v>0.46</v>
      </c>
      <c r="M14" s="1360">
        <v>0.75</v>
      </c>
      <c r="N14" s="1358">
        <v>1.29</v>
      </c>
      <c r="O14" s="1360">
        <v>0.95</v>
      </c>
      <c r="P14" s="1358">
        <v>0.34</v>
      </c>
      <c r="Q14" s="1359">
        <v>0.33</v>
      </c>
      <c r="R14" s="1360">
        <v>0.49</v>
      </c>
      <c r="S14" s="1361">
        <v>0.47</v>
      </c>
      <c r="T14" s="1361">
        <v>0.73</v>
      </c>
      <c r="U14" s="1338"/>
      <c r="V14" s="1338"/>
      <c r="W14" s="1338"/>
      <c r="X14" s="1338"/>
      <c r="Y14" s="1338"/>
      <c r="Z14" s="1338"/>
      <c r="AA14" s="1338"/>
      <c r="AB14" s="1338"/>
      <c r="AC14" s="1266"/>
      <c r="AD14" s="1266"/>
      <c r="AE14" s="1266"/>
      <c r="AF14" s="1266"/>
    </row>
    <row r="15" spans="1:39">
      <c r="A15" s="1325"/>
      <c r="B15" s="1325"/>
      <c r="C15" s="1280"/>
      <c r="D15" s="410">
        <v>4</v>
      </c>
      <c r="E15" s="1362">
        <v>25</v>
      </c>
      <c r="F15" s="1363">
        <v>4</v>
      </c>
      <c r="G15" s="1364">
        <v>1.46</v>
      </c>
      <c r="H15" s="1365">
        <v>1.86</v>
      </c>
      <c r="I15" s="1366">
        <v>3.5</v>
      </c>
      <c r="J15" s="1367">
        <v>1.2</v>
      </c>
      <c r="K15" s="1368">
        <v>1.03</v>
      </c>
      <c r="L15" s="1369">
        <v>0.59</v>
      </c>
      <c r="M15" s="1370">
        <v>0.74</v>
      </c>
      <c r="N15" s="1368">
        <v>1.62</v>
      </c>
      <c r="O15" s="1370">
        <v>0.93</v>
      </c>
      <c r="P15" s="1368">
        <v>0.44</v>
      </c>
      <c r="Q15" s="1369">
        <v>0.41</v>
      </c>
      <c r="R15" s="1370">
        <v>0.48</v>
      </c>
      <c r="S15" s="1371">
        <v>0.59</v>
      </c>
      <c r="T15" s="1371">
        <v>0.76</v>
      </c>
      <c r="U15" s="1338"/>
      <c r="V15" s="1338"/>
      <c r="W15" s="1338"/>
      <c r="X15" s="1338"/>
      <c r="Y15" s="1338"/>
      <c r="Z15" s="1338"/>
      <c r="AA15" s="1338"/>
      <c r="AB15" s="1338"/>
      <c r="AC15" s="1266"/>
      <c r="AD15" s="1266"/>
      <c r="AE15" s="1266"/>
      <c r="AF15" s="1266"/>
    </row>
    <row r="16" spans="1:39">
      <c r="A16" s="1325"/>
      <c r="B16" s="1325"/>
      <c r="C16" s="1372" t="s">
        <v>1550</v>
      </c>
      <c r="D16" s="410">
        <v>5</v>
      </c>
      <c r="E16" s="1373">
        <v>25</v>
      </c>
      <c r="F16" s="1374" t="s">
        <v>1551</v>
      </c>
      <c r="G16" s="1375">
        <v>1.78</v>
      </c>
      <c r="H16" s="1376">
        <v>2.27</v>
      </c>
      <c r="I16" s="1377">
        <v>3.5</v>
      </c>
      <c r="J16" s="1378">
        <v>1.2</v>
      </c>
      <c r="K16" s="1379">
        <v>1.22</v>
      </c>
      <c r="L16" s="1380">
        <v>0.71</v>
      </c>
      <c r="M16" s="1381">
        <v>0.73</v>
      </c>
      <c r="N16" s="1379">
        <v>1.91</v>
      </c>
      <c r="O16" s="1381">
        <v>0.92</v>
      </c>
      <c r="P16" s="1379">
        <v>0.53</v>
      </c>
      <c r="Q16" s="1380">
        <v>0.47</v>
      </c>
      <c r="R16" s="1381">
        <v>0.48</v>
      </c>
      <c r="S16" s="1382">
        <v>0.69</v>
      </c>
      <c r="T16" s="1382">
        <v>0.8</v>
      </c>
      <c r="U16" s="1338"/>
      <c r="V16" s="1338"/>
      <c r="W16" s="1338"/>
      <c r="X16" s="1338"/>
      <c r="Y16" s="1338"/>
      <c r="Z16" s="1338"/>
      <c r="AA16" s="1338"/>
      <c r="AB16" s="1338"/>
      <c r="AC16" s="1266"/>
      <c r="AD16" s="1266"/>
      <c r="AE16" s="1266"/>
      <c r="AF16" s="1266"/>
    </row>
    <row r="17" spans="1:39">
      <c r="A17" s="1325"/>
      <c r="B17" s="1325"/>
      <c r="C17" s="1383"/>
      <c r="D17" s="410">
        <v>6</v>
      </c>
      <c r="E17" s="1384">
        <v>28</v>
      </c>
      <c r="F17" s="1385">
        <v>3</v>
      </c>
      <c r="G17" s="1386">
        <v>1.27</v>
      </c>
      <c r="H17" s="1387">
        <v>1.62</v>
      </c>
      <c r="I17" s="1388">
        <v>4</v>
      </c>
      <c r="J17" s="1389">
        <v>1.3</v>
      </c>
      <c r="K17" s="1390">
        <v>1.1599999999999999</v>
      </c>
      <c r="L17" s="1391">
        <v>0.57999999999999996</v>
      </c>
      <c r="M17" s="1392">
        <v>0.85</v>
      </c>
      <c r="N17" s="1390">
        <v>1.84</v>
      </c>
      <c r="O17" s="1392">
        <v>1.07</v>
      </c>
      <c r="P17" s="1390">
        <v>0.48</v>
      </c>
      <c r="Q17" s="1391">
        <v>0.42</v>
      </c>
      <c r="R17" s="1392">
        <v>0.55000000000000004</v>
      </c>
      <c r="S17" s="1393">
        <v>0.68</v>
      </c>
      <c r="T17" s="1393">
        <v>0.8</v>
      </c>
      <c r="U17" s="1338"/>
      <c r="V17" s="1338"/>
      <c r="W17" s="1338"/>
      <c r="X17" s="1338"/>
      <c r="Y17" s="1338"/>
      <c r="Z17" s="1338"/>
      <c r="AA17" s="1338"/>
      <c r="AB17" s="1338"/>
      <c r="AC17" s="1266"/>
      <c r="AD17" s="1266"/>
      <c r="AE17" s="1266"/>
      <c r="AF17" s="1266"/>
    </row>
    <row r="18" spans="1:39">
      <c r="A18" s="1325"/>
      <c r="B18" s="1325"/>
      <c r="C18" s="1383"/>
      <c r="D18" s="410">
        <v>7</v>
      </c>
      <c r="E18" s="1352">
        <v>30</v>
      </c>
      <c r="F18" s="1353">
        <v>3</v>
      </c>
      <c r="G18" s="1354">
        <v>1.36</v>
      </c>
      <c r="H18" s="1355">
        <v>1.74</v>
      </c>
      <c r="I18" s="1356">
        <v>4</v>
      </c>
      <c r="J18" s="1357">
        <v>1.3</v>
      </c>
      <c r="K18" s="1358">
        <v>1.45</v>
      </c>
      <c r="L18" s="1359">
        <v>0.67</v>
      </c>
      <c r="M18" s="1360">
        <v>0.91</v>
      </c>
      <c r="N18" s="1358">
        <v>2.2999999999999998</v>
      </c>
      <c r="O18" s="1360">
        <v>1.1499999999999999</v>
      </c>
      <c r="P18" s="1358">
        <v>0.6</v>
      </c>
      <c r="Q18" s="1359">
        <v>0.53</v>
      </c>
      <c r="R18" s="1360">
        <v>0.59</v>
      </c>
      <c r="S18" s="1361">
        <v>0.85</v>
      </c>
      <c r="T18" s="1361">
        <v>0.85</v>
      </c>
      <c r="U18" s="1338"/>
      <c r="V18" s="1338"/>
      <c r="W18" s="1338"/>
      <c r="X18" s="1338"/>
      <c r="Y18" s="1338"/>
      <c r="Z18" s="1338"/>
      <c r="AA18" s="1338"/>
      <c r="AB18" s="1338"/>
      <c r="AC18" s="1266"/>
      <c r="AD18" s="1266"/>
      <c r="AE18" s="1266"/>
      <c r="AF18" s="1266"/>
    </row>
    <row r="19" spans="1:39">
      <c r="A19" s="1325"/>
      <c r="B19" s="1325"/>
      <c r="C19" s="1383"/>
      <c r="D19" s="410">
        <v>8</v>
      </c>
      <c r="E19" s="1362">
        <v>30</v>
      </c>
      <c r="F19" s="1363">
        <v>4</v>
      </c>
      <c r="G19" s="1364">
        <v>1.78</v>
      </c>
      <c r="H19" s="1365">
        <v>2.27</v>
      </c>
      <c r="I19" s="1366">
        <v>4</v>
      </c>
      <c r="J19" s="1367">
        <v>1.3</v>
      </c>
      <c r="K19" s="1368">
        <v>1.84</v>
      </c>
      <c r="L19" s="1369">
        <v>0.87</v>
      </c>
      <c r="M19" s="1370">
        <v>0.8</v>
      </c>
      <c r="N19" s="1368">
        <v>2.92</v>
      </c>
      <c r="O19" s="1370">
        <v>1.1299999999999999</v>
      </c>
      <c r="P19" s="1368">
        <v>0.77</v>
      </c>
      <c r="Q19" s="1369">
        <v>0.61</v>
      </c>
      <c r="R19" s="1370">
        <v>0.57999999999999996</v>
      </c>
      <c r="S19" s="1371">
        <v>1.08</v>
      </c>
      <c r="T19" s="1371">
        <v>0.89</v>
      </c>
      <c r="U19" s="1338"/>
      <c r="V19" s="1338"/>
      <c r="W19" s="1338"/>
      <c r="X19" s="1338"/>
      <c r="Y19" s="1338"/>
      <c r="Z19" s="1338"/>
      <c r="AA19" s="1338"/>
      <c r="AB19" s="1338"/>
      <c r="AC19" s="1266"/>
      <c r="AD19" s="1266"/>
      <c r="AE19" s="1266"/>
      <c r="AF19" s="1266"/>
    </row>
    <row r="20" spans="1:39">
      <c r="A20" s="1325"/>
      <c r="B20" s="1325"/>
      <c r="C20" s="1372" t="s">
        <v>1550</v>
      </c>
      <c r="D20" s="410">
        <v>9</v>
      </c>
      <c r="E20" s="1362">
        <v>30</v>
      </c>
      <c r="F20" s="1363" t="s">
        <v>1551</v>
      </c>
      <c r="G20" s="1364">
        <v>2.1800000000000002</v>
      </c>
      <c r="H20" s="1365">
        <v>2.78</v>
      </c>
      <c r="I20" s="1366">
        <v>4</v>
      </c>
      <c r="J20" s="1367">
        <v>1.3</v>
      </c>
      <c r="K20" s="1368">
        <v>2.2000000000000002</v>
      </c>
      <c r="L20" s="1369">
        <v>1.06</v>
      </c>
      <c r="M20" s="1370">
        <v>0.89</v>
      </c>
      <c r="N20" s="1368">
        <v>3.47</v>
      </c>
      <c r="O20" s="1370">
        <v>1.1200000000000001</v>
      </c>
      <c r="P20" s="1368">
        <v>0.94</v>
      </c>
      <c r="Q20" s="1369">
        <v>0.71</v>
      </c>
      <c r="R20" s="1370">
        <v>0.57999999999999996</v>
      </c>
      <c r="S20" s="1371">
        <v>1.27</v>
      </c>
      <c r="T20" s="1371">
        <v>0.93</v>
      </c>
      <c r="U20" s="1338"/>
      <c r="V20" s="1338"/>
      <c r="W20" s="1338"/>
      <c r="X20" s="1338"/>
      <c r="Y20" s="1338"/>
      <c r="Z20" s="1338"/>
      <c r="AA20" s="1338"/>
      <c r="AB20" s="1338"/>
      <c r="AC20" s="1266"/>
      <c r="AD20" s="1266"/>
      <c r="AE20" s="1266"/>
      <c r="AF20" s="1266"/>
    </row>
    <row r="21" spans="1:39">
      <c r="A21" s="1325"/>
      <c r="B21" s="1325"/>
      <c r="C21" s="1383"/>
      <c r="D21" s="410">
        <v>10</v>
      </c>
      <c r="E21" s="1326">
        <v>32</v>
      </c>
      <c r="F21" s="1394">
        <v>3</v>
      </c>
      <c r="G21" s="1395">
        <v>1.46</v>
      </c>
      <c r="H21" s="1329">
        <v>1.86</v>
      </c>
      <c r="I21" s="1396">
        <v>4.5</v>
      </c>
      <c r="J21" s="1331">
        <v>1.5</v>
      </c>
      <c r="K21" s="1332">
        <v>1.77</v>
      </c>
      <c r="L21" s="1333">
        <v>0.77</v>
      </c>
      <c r="M21" s="1334">
        <v>0.97</v>
      </c>
      <c r="N21" s="1332">
        <v>2.8</v>
      </c>
      <c r="O21" s="1334">
        <v>1.23</v>
      </c>
      <c r="P21" s="1332">
        <v>0.74</v>
      </c>
      <c r="Q21" s="1333">
        <v>0.59</v>
      </c>
      <c r="R21" s="1334">
        <v>0.63</v>
      </c>
      <c r="S21" s="1337">
        <v>1.03</v>
      </c>
      <c r="T21" s="1337">
        <v>0.89</v>
      </c>
      <c r="U21" s="1338"/>
      <c r="V21" s="1338"/>
      <c r="W21" s="1338"/>
      <c r="X21" s="1338"/>
      <c r="Y21" s="1338"/>
      <c r="Z21" s="1338"/>
      <c r="AA21" s="1338"/>
      <c r="AB21" s="1338"/>
      <c r="AC21" s="1266"/>
      <c r="AD21" s="1266"/>
      <c r="AE21" s="1266"/>
      <c r="AF21" s="1266"/>
    </row>
    <row r="22" spans="1:39" ht="15">
      <c r="A22" s="1397"/>
      <c r="B22" s="1397"/>
      <c r="C22" s="1398"/>
      <c r="D22" s="410">
        <v>11</v>
      </c>
      <c r="E22" s="1340">
        <v>32</v>
      </c>
      <c r="F22" s="1399">
        <v>4</v>
      </c>
      <c r="G22" s="1400">
        <v>1.91</v>
      </c>
      <c r="H22" s="1343">
        <v>2.4300000000000002</v>
      </c>
      <c r="I22" s="1401">
        <v>4.5</v>
      </c>
      <c r="J22" s="1345">
        <v>1.5</v>
      </c>
      <c r="K22" s="1346">
        <v>2.2599999999999998</v>
      </c>
      <c r="L22" s="1347">
        <v>1</v>
      </c>
      <c r="M22" s="1348">
        <v>0.96</v>
      </c>
      <c r="N22" s="1346">
        <v>3.58</v>
      </c>
      <c r="O22" s="1348">
        <v>1.21</v>
      </c>
      <c r="P22" s="1346">
        <v>0.94</v>
      </c>
      <c r="Q22" s="1347">
        <v>0.71</v>
      </c>
      <c r="R22" s="1348">
        <v>0.62</v>
      </c>
      <c r="S22" s="1351">
        <v>1.32</v>
      </c>
      <c r="T22" s="1351">
        <v>0.94</v>
      </c>
      <c r="U22" s="1338"/>
      <c r="V22" s="1338"/>
      <c r="W22" s="1338"/>
      <c r="X22" s="1338"/>
      <c r="Y22" s="1338"/>
      <c r="Z22" s="1338"/>
      <c r="AA22" s="1338"/>
      <c r="AB22" s="1338"/>
      <c r="AC22" s="1266"/>
      <c r="AD22" s="1266"/>
      <c r="AE22" s="1266"/>
      <c r="AF22" s="1266"/>
    </row>
    <row r="23" spans="1:39">
      <c r="A23" s="1402"/>
      <c r="B23" s="1402"/>
      <c r="C23" s="1403"/>
      <c r="D23" s="410">
        <v>12</v>
      </c>
      <c r="E23" s="1352">
        <v>35</v>
      </c>
      <c r="F23" s="1353">
        <v>3</v>
      </c>
      <c r="G23" s="1354">
        <v>1.6</v>
      </c>
      <c r="H23" s="1355">
        <v>2.04</v>
      </c>
      <c r="I23" s="1356">
        <v>4.5</v>
      </c>
      <c r="J23" s="1357">
        <v>1.5</v>
      </c>
      <c r="K23" s="1358">
        <v>2.35</v>
      </c>
      <c r="L23" s="1359">
        <v>0.93</v>
      </c>
      <c r="M23" s="1360">
        <v>1.07</v>
      </c>
      <c r="N23" s="1358">
        <v>3.72</v>
      </c>
      <c r="O23" s="1360">
        <v>1.35</v>
      </c>
      <c r="P23" s="1358">
        <v>0.97</v>
      </c>
      <c r="Q23" s="1359">
        <v>0.71</v>
      </c>
      <c r="R23" s="1360">
        <v>0.69</v>
      </c>
      <c r="S23" s="1361">
        <v>1.37</v>
      </c>
      <c r="T23" s="1361">
        <v>0.97</v>
      </c>
      <c r="U23" s="1338"/>
      <c r="V23" s="1338"/>
      <c r="W23" s="1338"/>
      <c r="X23" s="1338"/>
      <c r="Y23" s="1338"/>
      <c r="Z23" s="1338"/>
      <c r="AA23" s="1338"/>
      <c r="AB23" s="1338"/>
      <c r="AC23" s="1266"/>
      <c r="AD23" s="1266"/>
      <c r="AE23" s="1266"/>
      <c r="AF23" s="1266"/>
    </row>
    <row r="24" spans="1:39">
      <c r="A24" s="1402"/>
      <c r="B24" s="1402"/>
      <c r="C24" s="1403"/>
      <c r="D24" s="410">
        <v>13</v>
      </c>
      <c r="E24" s="1362">
        <v>35</v>
      </c>
      <c r="F24" s="1363">
        <v>4</v>
      </c>
      <c r="G24" s="1364">
        <v>2.1</v>
      </c>
      <c r="H24" s="1365">
        <v>2.17</v>
      </c>
      <c r="I24" s="1366">
        <v>4.5</v>
      </c>
      <c r="J24" s="1367">
        <v>1.5</v>
      </c>
      <c r="K24" s="1368">
        <v>3.01</v>
      </c>
      <c r="L24" s="1369">
        <v>1.21</v>
      </c>
      <c r="M24" s="1370">
        <v>1.06</v>
      </c>
      <c r="N24" s="1368">
        <v>4.76</v>
      </c>
      <c r="O24" s="1370">
        <v>1.33</v>
      </c>
      <c r="P24" s="1368">
        <v>1.25</v>
      </c>
      <c r="Q24" s="1369">
        <v>0.88</v>
      </c>
      <c r="R24" s="1370">
        <v>0.68</v>
      </c>
      <c r="S24" s="1371">
        <v>1.75</v>
      </c>
      <c r="T24" s="1371">
        <v>1.01</v>
      </c>
      <c r="U24" s="1338"/>
      <c r="V24" s="1338"/>
      <c r="W24" s="1338"/>
      <c r="X24" s="1338"/>
      <c r="Y24" s="1338"/>
      <c r="Z24" s="1338"/>
      <c r="AA24" s="1338"/>
      <c r="AB24" s="1338"/>
      <c r="AC24" s="1266"/>
      <c r="AD24" s="1266"/>
      <c r="AE24" s="1266"/>
      <c r="AF24" s="1266"/>
    </row>
    <row r="25" spans="1:39">
      <c r="A25" s="1404"/>
      <c r="B25" s="1404"/>
      <c r="C25" s="1405"/>
      <c r="D25" s="410">
        <v>14</v>
      </c>
      <c r="E25" s="1373">
        <v>35</v>
      </c>
      <c r="F25" s="1374">
        <v>5</v>
      </c>
      <c r="G25" s="1375">
        <v>2.58</v>
      </c>
      <c r="H25" s="1376">
        <v>3.28</v>
      </c>
      <c r="I25" s="1377">
        <v>4.5</v>
      </c>
      <c r="J25" s="1378">
        <v>1.5</v>
      </c>
      <c r="K25" s="1379">
        <v>3.61</v>
      </c>
      <c r="L25" s="1380">
        <v>1.47</v>
      </c>
      <c r="M25" s="1381">
        <v>1.05</v>
      </c>
      <c r="N25" s="1379">
        <v>5.71</v>
      </c>
      <c r="O25" s="1381">
        <v>1.32</v>
      </c>
      <c r="P25" s="1379">
        <v>1.52</v>
      </c>
      <c r="Q25" s="1380">
        <v>1.02</v>
      </c>
      <c r="R25" s="1381">
        <v>0.68</v>
      </c>
      <c r="S25" s="1382">
        <v>2.1</v>
      </c>
      <c r="T25" s="1382">
        <v>1.05</v>
      </c>
      <c r="U25" s="1338"/>
      <c r="V25" s="1338"/>
      <c r="W25" s="1338"/>
      <c r="X25" s="1338"/>
      <c r="Y25" s="1338"/>
      <c r="Z25" s="1338"/>
      <c r="AA25" s="1338"/>
      <c r="AB25" s="1338"/>
      <c r="AC25" s="1266"/>
      <c r="AD25" s="1266"/>
      <c r="AE25" s="1266"/>
      <c r="AF25" s="1266"/>
    </row>
    <row r="26" spans="1:39">
      <c r="A26" s="1402"/>
      <c r="B26" s="1402"/>
      <c r="C26" s="1403"/>
      <c r="D26" s="410">
        <v>15</v>
      </c>
      <c r="E26" s="1326">
        <v>40</v>
      </c>
      <c r="F26" s="1394">
        <v>3</v>
      </c>
      <c r="G26" s="1328">
        <v>1.85</v>
      </c>
      <c r="H26" s="1329">
        <v>2.36</v>
      </c>
      <c r="I26" s="1396">
        <v>5</v>
      </c>
      <c r="J26" s="1331">
        <v>1.7</v>
      </c>
      <c r="K26" s="1332">
        <v>3.55</v>
      </c>
      <c r="L26" s="1333">
        <v>1.22</v>
      </c>
      <c r="M26" s="1334">
        <v>1.23</v>
      </c>
      <c r="N26" s="1332">
        <v>5.63</v>
      </c>
      <c r="O26" s="1334">
        <v>1.55</v>
      </c>
      <c r="P26" s="1332">
        <v>1.47</v>
      </c>
      <c r="Q26" s="1333">
        <v>0.95</v>
      </c>
      <c r="R26" s="1334">
        <v>0.79</v>
      </c>
      <c r="S26" s="1337">
        <v>2.08</v>
      </c>
      <c r="T26" s="1337">
        <v>1.0900000000000001</v>
      </c>
      <c r="U26" s="1338"/>
      <c r="V26" s="1338"/>
      <c r="W26" s="1338"/>
      <c r="X26" s="1338"/>
      <c r="Y26" s="1338"/>
      <c r="Z26" s="1338"/>
      <c r="AA26" s="1338"/>
      <c r="AB26" s="1338"/>
      <c r="AC26" s="1266"/>
      <c r="AD26" s="1266"/>
      <c r="AE26" s="1266"/>
      <c r="AF26" s="1266"/>
    </row>
    <row r="27" spans="1:39">
      <c r="A27" s="1404"/>
      <c r="B27" s="1404"/>
      <c r="C27" s="1405"/>
      <c r="D27" s="410">
        <v>16</v>
      </c>
      <c r="E27" s="1406">
        <v>40</v>
      </c>
      <c r="F27" s="1407">
        <v>4</v>
      </c>
      <c r="G27" s="1408">
        <v>2.42</v>
      </c>
      <c r="H27" s="1409">
        <v>3.08</v>
      </c>
      <c r="I27" s="1410">
        <v>5</v>
      </c>
      <c r="J27" s="1411">
        <v>1.7</v>
      </c>
      <c r="K27" s="1412">
        <v>4.58</v>
      </c>
      <c r="L27" s="1413">
        <v>1.6</v>
      </c>
      <c r="M27" s="1414">
        <v>1.22</v>
      </c>
      <c r="N27" s="1412">
        <v>7.26</v>
      </c>
      <c r="O27" s="1414">
        <v>1.53</v>
      </c>
      <c r="P27" s="1412">
        <v>1.9</v>
      </c>
      <c r="Q27" s="1413">
        <v>1.19</v>
      </c>
      <c r="R27" s="1414">
        <v>0.78</v>
      </c>
      <c r="S27" s="1415">
        <v>2.68</v>
      </c>
      <c r="T27" s="1415">
        <v>1.1299999999999999</v>
      </c>
      <c r="U27" s="1338"/>
      <c r="V27" s="1338"/>
      <c r="W27" s="1338"/>
      <c r="X27" s="1338"/>
      <c r="Y27" s="1338"/>
      <c r="Z27" s="1338"/>
      <c r="AA27" s="1338"/>
      <c r="AB27" s="1338"/>
      <c r="AC27" s="1266"/>
      <c r="AD27" s="1266"/>
      <c r="AE27" s="1266"/>
      <c r="AF27" s="1266"/>
    </row>
    <row r="28" spans="1:39" s="34" customFormat="1">
      <c r="A28" s="1325"/>
      <c r="B28" s="1325"/>
      <c r="C28" s="1383"/>
      <c r="D28" s="410">
        <v>17</v>
      </c>
      <c r="E28" s="1406">
        <v>40</v>
      </c>
      <c r="F28" s="1407">
        <v>5</v>
      </c>
      <c r="G28" s="1408">
        <v>2.98</v>
      </c>
      <c r="H28" s="1409">
        <v>3.79</v>
      </c>
      <c r="I28" s="1410">
        <v>5</v>
      </c>
      <c r="J28" s="1411">
        <v>1.7</v>
      </c>
      <c r="K28" s="1412">
        <v>5.53</v>
      </c>
      <c r="L28" s="1413">
        <v>1.95</v>
      </c>
      <c r="M28" s="1414">
        <v>1.2</v>
      </c>
      <c r="N28" s="1412">
        <v>8.75</v>
      </c>
      <c r="O28" s="1414">
        <v>1.52</v>
      </c>
      <c r="P28" s="1412">
        <v>2.2999999999999998</v>
      </c>
      <c r="Q28" s="1413">
        <v>1.39</v>
      </c>
      <c r="R28" s="1414">
        <v>0.78</v>
      </c>
      <c r="S28" s="1415">
        <v>3.22</v>
      </c>
      <c r="T28" s="1415">
        <v>1.17</v>
      </c>
      <c r="U28" s="1338"/>
      <c r="V28" s="1338"/>
      <c r="W28" s="1338"/>
      <c r="X28" s="1338"/>
      <c r="Y28" s="1338"/>
      <c r="Z28" s="1338"/>
      <c r="AA28" s="1338"/>
      <c r="AB28" s="1338"/>
      <c r="AC28" s="1266"/>
      <c r="AD28" s="1266"/>
      <c r="AE28" s="1266"/>
      <c r="AF28" s="1266"/>
      <c r="AG28" s="1416"/>
      <c r="AH28" s="1416"/>
      <c r="AI28" s="1416"/>
      <c r="AJ28" s="1416"/>
      <c r="AK28" s="1416"/>
      <c r="AL28" s="1416"/>
      <c r="AM28" s="1416"/>
    </row>
    <row r="29" spans="1:39">
      <c r="A29" s="1325"/>
      <c r="B29" s="1325"/>
      <c r="C29" s="1372" t="s">
        <v>1550</v>
      </c>
      <c r="D29" s="410">
        <v>18</v>
      </c>
      <c r="E29" s="1406">
        <v>40</v>
      </c>
      <c r="F29" s="1407" t="s">
        <v>1552</v>
      </c>
      <c r="G29" s="1408">
        <v>3.52</v>
      </c>
      <c r="H29" s="1409">
        <v>4.4800000000000004</v>
      </c>
      <c r="I29" s="1410">
        <v>5</v>
      </c>
      <c r="J29" s="1411">
        <v>1.7</v>
      </c>
      <c r="K29" s="1412">
        <v>6.41</v>
      </c>
      <c r="L29" s="1413">
        <v>2.2999999999999998</v>
      </c>
      <c r="M29" s="1414">
        <v>1.2</v>
      </c>
      <c r="N29" s="1412">
        <v>10.130000000000001</v>
      </c>
      <c r="O29" s="1414">
        <v>1.5</v>
      </c>
      <c r="P29" s="1412">
        <v>2.7</v>
      </c>
      <c r="Q29" s="1413">
        <v>1.58</v>
      </c>
      <c r="R29" s="1414">
        <v>0.78</v>
      </c>
      <c r="S29" s="1415">
        <v>3.72</v>
      </c>
      <c r="T29" s="1415">
        <v>1.21</v>
      </c>
      <c r="U29" s="1338"/>
      <c r="V29" s="1338"/>
      <c r="W29" s="1338"/>
      <c r="X29" s="1338"/>
      <c r="Y29" s="1338"/>
      <c r="Z29" s="1338"/>
      <c r="AA29" s="1338"/>
      <c r="AB29" s="1338"/>
      <c r="AC29" s="1266"/>
      <c r="AD29" s="1266"/>
      <c r="AE29" s="1266"/>
      <c r="AF29" s="1266"/>
    </row>
    <row r="30" spans="1:39">
      <c r="A30" s="1325"/>
      <c r="B30" s="1325"/>
      <c r="C30" s="1383"/>
      <c r="D30" s="410">
        <v>19</v>
      </c>
      <c r="E30" s="1352">
        <v>45</v>
      </c>
      <c r="F30" s="1353">
        <v>3</v>
      </c>
      <c r="G30" s="1354">
        <v>2.08</v>
      </c>
      <c r="H30" s="1355">
        <v>2.65</v>
      </c>
      <c r="I30" s="1356">
        <v>5</v>
      </c>
      <c r="J30" s="1357">
        <v>1.7</v>
      </c>
      <c r="K30" s="1358">
        <v>5.13</v>
      </c>
      <c r="L30" s="1359">
        <v>1.56</v>
      </c>
      <c r="M30" s="1360">
        <v>1.39</v>
      </c>
      <c r="N30" s="1358">
        <v>8.1300000000000008</v>
      </c>
      <c r="O30" s="1360">
        <v>1.75</v>
      </c>
      <c r="P30" s="1358">
        <v>2.12</v>
      </c>
      <c r="Q30" s="1359">
        <v>1.24</v>
      </c>
      <c r="R30" s="1360">
        <v>0.89</v>
      </c>
      <c r="S30" s="1361">
        <v>3</v>
      </c>
      <c r="T30" s="1361">
        <v>1.21</v>
      </c>
      <c r="U30" s="1338"/>
      <c r="V30" s="1338"/>
      <c r="W30" s="1338"/>
      <c r="X30" s="1338"/>
      <c r="Y30" s="1338"/>
      <c r="Z30" s="1338"/>
      <c r="AA30" s="1338"/>
      <c r="AB30" s="1338"/>
      <c r="AC30" s="1266"/>
      <c r="AD30" s="1266"/>
      <c r="AE30" s="1266"/>
      <c r="AF30" s="1266"/>
    </row>
    <row r="31" spans="1:39">
      <c r="A31" s="1325"/>
      <c r="B31" s="1325"/>
      <c r="C31" s="1280"/>
      <c r="D31" s="410">
        <v>20</v>
      </c>
      <c r="E31" s="1362">
        <v>45</v>
      </c>
      <c r="F31" s="1363">
        <v>4</v>
      </c>
      <c r="G31" s="1364">
        <v>2.73</v>
      </c>
      <c r="H31" s="1365">
        <v>3.48</v>
      </c>
      <c r="I31" s="1366">
        <v>5</v>
      </c>
      <c r="J31" s="1367">
        <v>1.7</v>
      </c>
      <c r="K31" s="1368">
        <v>6.63</v>
      </c>
      <c r="L31" s="1369">
        <v>2.04</v>
      </c>
      <c r="M31" s="1370">
        <v>1.38</v>
      </c>
      <c r="N31" s="1368">
        <v>10.5</v>
      </c>
      <c r="O31" s="1370">
        <v>1.74</v>
      </c>
      <c r="P31" s="1368">
        <v>2.74</v>
      </c>
      <c r="Q31" s="1369">
        <v>1.54</v>
      </c>
      <c r="R31" s="1370">
        <v>0.89</v>
      </c>
      <c r="S31" s="1371">
        <v>3.89</v>
      </c>
      <c r="T31" s="1371">
        <v>1.26</v>
      </c>
      <c r="U31" s="1338"/>
      <c r="V31" s="1338"/>
      <c r="W31" s="1338"/>
      <c r="X31" s="1338"/>
      <c r="Y31" s="1338"/>
      <c r="Z31" s="1338"/>
      <c r="AA31" s="1338"/>
      <c r="AB31" s="1338"/>
      <c r="AC31" s="1266"/>
      <c r="AD31" s="1266"/>
      <c r="AE31" s="1266"/>
      <c r="AF31" s="1266"/>
    </row>
    <row r="32" spans="1:39">
      <c r="A32" s="1325"/>
      <c r="B32" s="1325"/>
      <c r="C32" s="1280"/>
      <c r="D32" s="410">
        <v>21</v>
      </c>
      <c r="E32" s="1373">
        <v>45</v>
      </c>
      <c r="F32" s="1374">
        <v>5</v>
      </c>
      <c r="G32" s="1375">
        <v>3.37</v>
      </c>
      <c r="H32" s="1376">
        <v>4.29</v>
      </c>
      <c r="I32" s="1377">
        <v>5</v>
      </c>
      <c r="J32" s="1378">
        <v>1.7</v>
      </c>
      <c r="K32" s="1379">
        <v>8.0299999999999994</v>
      </c>
      <c r="L32" s="1380">
        <v>2.5099999999999998</v>
      </c>
      <c r="M32" s="1381">
        <v>1.37</v>
      </c>
      <c r="N32" s="1379">
        <v>12.7</v>
      </c>
      <c r="O32" s="1381">
        <v>1.72</v>
      </c>
      <c r="P32" s="1379">
        <v>3.33</v>
      </c>
      <c r="Q32" s="1380">
        <v>1.81</v>
      </c>
      <c r="R32" s="1381">
        <v>0.88</v>
      </c>
      <c r="S32" s="1382">
        <v>4.71</v>
      </c>
      <c r="T32" s="1382">
        <v>1.3</v>
      </c>
      <c r="U32" s="1338"/>
      <c r="V32" s="1338"/>
      <c r="W32" s="1338"/>
      <c r="X32" s="1338"/>
      <c r="Y32" s="1338"/>
      <c r="Z32" s="1338"/>
      <c r="AA32" s="1338"/>
      <c r="AB32" s="1338"/>
      <c r="AC32" s="1266"/>
      <c r="AD32" s="1266"/>
      <c r="AE32" s="1266"/>
      <c r="AF32" s="1266"/>
    </row>
    <row r="33" spans="1:39">
      <c r="A33" s="1241"/>
      <c r="B33" s="1241"/>
      <c r="C33" s="1280"/>
      <c r="D33" s="410">
        <v>22</v>
      </c>
      <c r="E33" s="1326">
        <v>50</v>
      </c>
      <c r="F33" s="1394">
        <v>3</v>
      </c>
      <c r="G33" s="1328">
        <v>2.3199999999999998</v>
      </c>
      <c r="H33" s="1329">
        <v>2.95</v>
      </c>
      <c r="I33" s="1396">
        <v>5.5</v>
      </c>
      <c r="J33" s="1331">
        <v>1.8</v>
      </c>
      <c r="K33" s="1332">
        <v>7.11</v>
      </c>
      <c r="L33" s="1333">
        <v>1.94</v>
      </c>
      <c r="M33" s="1334">
        <v>1.55</v>
      </c>
      <c r="N33" s="1332">
        <v>11.3</v>
      </c>
      <c r="O33" s="1334">
        <v>1.95</v>
      </c>
      <c r="P33" s="1332">
        <v>2.95</v>
      </c>
      <c r="Q33" s="1417">
        <v>1.6</v>
      </c>
      <c r="R33" s="1334">
        <v>1</v>
      </c>
      <c r="S33" s="1337">
        <v>4.16</v>
      </c>
      <c r="T33" s="1337">
        <v>1.33</v>
      </c>
      <c r="U33" s="1338"/>
      <c r="V33" s="1338"/>
      <c r="W33" s="1338"/>
      <c r="X33" s="1338"/>
      <c r="Y33" s="1338"/>
      <c r="Z33" s="1338"/>
      <c r="AA33" s="1338"/>
      <c r="AB33" s="1338"/>
      <c r="AC33" s="1266"/>
      <c r="AD33" s="1266"/>
      <c r="AE33" s="1266"/>
      <c r="AF33" s="1266"/>
    </row>
    <row r="34" spans="1:39">
      <c r="A34" s="1241"/>
      <c r="B34" s="1241"/>
      <c r="C34" s="1280"/>
      <c r="D34" s="410">
        <v>23</v>
      </c>
      <c r="E34" s="1406">
        <v>50</v>
      </c>
      <c r="F34" s="1407">
        <v>4</v>
      </c>
      <c r="G34" s="1408">
        <v>3.05</v>
      </c>
      <c r="H34" s="1409">
        <v>3.88</v>
      </c>
      <c r="I34" s="1410">
        <v>5.5</v>
      </c>
      <c r="J34" s="1411">
        <v>1.8</v>
      </c>
      <c r="K34" s="1412">
        <v>9.2100000000000009</v>
      </c>
      <c r="L34" s="1413">
        <v>2.54</v>
      </c>
      <c r="M34" s="1414">
        <v>1.54</v>
      </c>
      <c r="N34" s="1412">
        <v>14.6</v>
      </c>
      <c r="O34" s="1414">
        <v>1.94</v>
      </c>
      <c r="P34" s="1412">
        <v>3.8</v>
      </c>
      <c r="Q34" s="1418">
        <v>2</v>
      </c>
      <c r="R34" s="1414">
        <v>0.99</v>
      </c>
      <c r="S34" s="1415">
        <v>5.42</v>
      </c>
      <c r="T34" s="1415">
        <v>1.38</v>
      </c>
      <c r="U34" s="1338"/>
      <c r="V34" s="1338"/>
      <c r="W34" s="1338"/>
      <c r="X34" s="1338"/>
      <c r="Y34" s="1338"/>
      <c r="Z34" s="1338"/>
      <c r="AA34" s="1338"/>
      <c r="AB34" s="1338"/>
      <c r="AC34" s="1266"/>
      <c r="AD34" s="1266"/>
      <c r="AE34" s="1266"/>
      <c r="AF34" s="1266"/>
    </row>
    <row r="35" spans="1:39">
      <c r="A35" s="1241"/>
      <c r="B35" s="1241"/>
      <c r="C35" s="1280"/>
      <c r="D35" s="410">
        <v>24</v>
      </c>
      <c r="E35" s="1406">
        <v>50</v>
      </c>
      <c r="F35" s="1407">
        <v>5</v>
      </c>
      <c r="G35" s="1408">
        <v>3.77</v>
      </c>
      <c r="H35" s="1409">
        <v>4.8</v>
      </c>
      <c r="I35" s="1410">
        <v>5.5</v>
      </c>
      <c r="J35" s="1411">
        <v>1.8</v>
      </c>
      <c r="K35" s="1412">
        <v>11.2</v>
      </c>
      <c r="L35" s="1413">
        <v>3.13</v>
      </c>
      <c r="M35" s="1414">
        <v>1.53</v>
      </c>
      <c r="N35" s="1412">
        <v>17.8</v>
      </c>
      <c r="O35" s="1414">
        <v>1.92</v>
      </c>
      <c r="P35" s="1412">
        <v>4.63</v>
      </c>
      <c r="Q35" s="1419">
        <v>2.2999999999999998</v>
      </c>
      <c r="R35" s="1414">
        <v>0.98</v>
      </c>
      <c r="S35" s="1415">
        <v>6.57</v>
      </c>
      <c r="T35" s="1415">
        <v>1.42</v>
      </c>
      <c r="U35" s="1338"/>
      <c r="V35" s="1338"/>
      <c r="W35" s="1338"/>
      <c r="X35" s="1338"/>
      <c r="Y35" s="1338"/>
      <c r="Z35" s="1338"/>
      <c r="AA35" s="1338"/>
      <c r="AB35" s="1338"/>
      <c r="AC35" s="1266"/>
      <c r="AD35" s="1266"/>
      <c r="AE35" s="1266"/>
      <c r="AF35" s="1266"/>
    </row>
    <row r="36" spans="1:39" s="34" customFormat="1">
      <c r="A36" s="1325"/>
      <c r="B36" s="1325"/>
      <c r="C36" s="1383"/>
      <c r="D36" s="410">
        <v>25</v>
      </c>
      <c r="E36" s="1406">
        <v>50</v>
      </c>
      <c r="F36" s="1407">
        <v>6</v>
      </c>
      <c r="G36" s="1408">
        <v>4.47</v>
      </c>
      <c r="H36" s="1409">
        <v>5.69</v>
      </c>
      <c r="I36" s="1410">
        <v>5.5</v>
      </c>
      <c r="J36" s="1411">
        <v>1.8</v>
      </c>
      <c r="K36" s="1412">
        <v>13.07</v>
      </c>
      <c r="L36" s="1413">
        <v>3.69</v>
      </c>
      <c r="M36" s="1414">
        <v>1.52</v>
      </c>
      <c r="N36" s="1412">
        <v>20.7</v>
      </c>
      <c r="O36" s="1414">
        <v>1.91</v>
      </c>
      <c r="P36" s="1412">
        <v>5.43</v>
      </c>
      <c r="Q36" s="1413">
        <v>2.63</v>
      </c>
      <c r="R36" s="1414">
        <v>0.98</v>
      </c>
      <c r="S36" s="1415">
        <v>7.65</v>
      </c>
      <c r="T36" s="1415">
        <v>1.46</v>
      </c>
      <c r="U36" s="1338"/>
      <c r="V36" s="1338"/>
      <c r="W36" s="1338"/>
      <c r="X36" s="1338"/>
      <c r="Y36" s="1338"/>
      <c r="Z36" s="1338"/>
      <c r="AA36" s="1338"/>
      <c r="AB36" s="1338"/>
      <c r="AC36" s="1266"/>
      <c r="AD36" s="1266"/>
      <c r="AE36" s="1266"/>
      <c r="AF36" s="1266"/>
      <c r="AG36" s="1416"/>
      <c r="AH36" s="1416"/>
      <c r="AI36" s="1416"/>
      <c r="AJ36" s="1416"/>
      <c r="AK36" s="1416"/>
      <c r="AL36" s="1416"/>
      <c r="AM36" s="1416"/>
    </row>
    <row r="37" spans="1:39" s="34" customFormat="1">
      <c r="A37" s="1325"/>
      <c r="B37" s="1325"/>
      <c r="C37" s="1372" t="s">
        <v>1550</v>
      </c>
      <c r="D37" s="410">
        <v>26</v>
      </c>
      <c r="E37" s="1406">
        <v>50</v>
      </c>
      <c r="F37" s="1407" t="s">
        <v>1553</v>
      </c>
      <c r="G37" s="1408">
        <v>5.15</v>
      </c>
      <c r="H37" s="1409">
        <v>6.56</v>
      </c>
      <c r="I37" s="1410">
        <v>5.5</v>
      </c>
      <c r="J37" s="1411">
        <v>1.8</v>
      </c>
      <c r="K37" s="1412">
        <v>14.84</v>
      </c>
      <c r="L37" s="1413">
        <v>4.2300000000000004</v>
      </c>
      <c r="M37" s="1414">
        <v>1.5</v>
      </c>
      <c r="N37" s="1412">
        <v>23.47</v>
      </c>
      <c r="O37" s="1414">
        <v>1.89</v>
      </c>
      <c r="P37" s="1412">
        <v>6.21</v>
      </c>
      <c r="Q37" s="1413">
        <v>2.93</v>
      </c>
      <c r="R37" s="1414">
        <v>0.97</v>
      </c>
      <c r="S37" s="1415">
        <v>8.6300000000000008</v>
      </c>
      <c r="T37" s="1415">
        <v>1.5</v>
      </c>
      <c r="U37" s="1338"/>
      <c r="V37" s="1338"/>
      <c r="W37" s="1338"/>
      <c r="X37" s="1338"/>
      <c r="Y37" s="1338"/>
      <c r="Z37" s="1338"/>
      <c r="AA37" s="1338"/>
      <c r="AB37" s="1338"/>
      <c r="AC37" s="1266"/>
      <c r="AD37" s="1266"/>
      <c r="AE37" s="1266"/>
      <c r="AF37" s="1266"/>
      <c r="AG37" s="1416"/>
      <c r="AH37" s="1416"/>
      <c r="AI37" s="1416"/>
      <c r="AJ37" s="1416"/>
      <c r="AK37" s="1416"/>
      <c r="AL37" s="1416"/>
      <c r="AM37" s="1416"/>
    </row>
    <row r="38" spans="1:39">
      <c r="A38" s="1241"/>
      <c r="B38" s="1241"/>
      <c r="C38" s="1372" t="s">
        <v>1550</v>
      </c>
      <c r="D38" s="410">
        <v>27</v>
      </c>
      <c r="E38" s="1406">
        <v>50</v>
      </c>
      <c r="F38" s="1407" t="s">
        <v>1554</v>
      </c>
      <c r="G38" s="1408">
        <v>5.82</v>
      </c>
      <c r="H38" s="1409">
        <v>7.41</v>
      </c>
      <c r="I38" s="1410">
        <v>5.5</v>
      </c>
      <c r="J38" s="1411">
        <v>1.8</v>
      </c>
      <c r="K38" s="1412">
        <v>16.510000000000002</v>
      </c>
      <c r="L38" s="1413">
        <v>4.76</v>
      </c>
      <c r="M38" s="1414">
        <v>1.49</v>
      </c>
      <c r="N38" s="1412">
        <v>26.03</v>
      </c>
      <c r="O38" s="1414">
        <v>1.87</v>
      </c>
      <c r="P38" s="1412">
        <v>6.98</v>
      </c>
      <c r="Q38" s="1413">
        <v>3.22</v>
      </c>
      <c r="R38" s="1414">
        <v>0.97</v>
      </c>
      <c r="S38" s="1415">
        <v>9.52</v>
      </c>
      <c r="T38" s="1415">
        <v>1.53</v>
      </c>
      <c r="U38" s="1338"/>
      <c r="V38" s="1338"/>
      <c r="W38" s="1338"/>
      <c r="X38" s="1338"/>
      <c r="Y38" s="1338"/>
      <c r="Z38" s="1338"/>
      <c r="AA38" s="1338"/>
      <c r="AB38" s="1338"/>
      <c r="AC38" s="1266"/>
      <c r="AD38" s="1266"/>
      <c r="AE38" s="1266"/>
      <c r="AF38" s="1266"/>
    </row>
    <row r="39" spans="1:39">
      <c r="A39" s="1241"/>
      <c r="B39" s="1241"/>
      <c r="C39" s="1280"/>
      <c r="D39" s="410">
        <v>28</v>
      </c>
      <c r="E39" s="1352">
        <v>56</v>
      </c>
      <c r="F39" s="1353">
        <v>4</v>
      </c>
      <c r="G39" s="1354">
        <v>3.44</v>
      </c>
      <c r="H39" s="1355">
        <v>4.38</v>
      </c>
      <c r="I39" s="1356">
        <v>6</v>
      </c>
      <c r="J39" s="1357">
        <v>2</v>
      </c>
      <c r="K39" s="1358">
        <v>13.1</v>
      </c>
      <c r="L39" s="1359">
        <v>3.21</v>
      </c>
      <c r="M39" s="1360">
        <v>1.73</v>
      </c>
      <c r="N39" s="1358">
        <v>20.8</v>
      </c>
      <c r="O39" s="1360">
        <v>2.1800000000000002</v>
      </c>
      <c r="P39" s="1358">
        <v>5.41</v>
      </c>
      <c r="Q39" s="1359">
        <v>2.52</v>
      </c>
      <c r="R39" s="1360">
        <v>1.1100000000000001</v>
      </c>
      <c r="S39" s="1361">
        <v>7.69</v>
      </c>
      <c r="T39" s="1361">
        <v>1.52</v>
      </c>
      <c r="U39" s="1338"/>
      <c r="V39" s="1338"/>
      <c r="W39" s="1338"/>
      <c r="X39" s="1338"/>
      <c r="Y39" s="1338"/>
      <c r="Z39" s="1338"/>
      <c r="AA39" s="1338"/>
      <c r="AB39" s="1338"/>
      <c r="AC39" s="1266"/>
      <c r="AD39" s="1266"/>
      <c r="AE39" s="1266"/>
      <c r="AF39" s="1266"/>
    </row>
    <row r="40" spans="1:39">
      <c r="A40" s="1241"/>
      <c r="B40" s="1241"/>
      <c r="C40" s="1280"/>
      <c r="D40" s="410">
        <v>29</v>
      </c>
      <c r="E40" s="1373">
        <v>56</v>
      </c>
      <c r="F40" s="1374">
        <v>5</v>
      </c>
      <c r="G40" s="1375">
        <v>4.25</v>
      </c>
      <c r="H40" s="1376">
        <v>5.41</v>
      </c>
      <c r="I40" s="1377">
        <v>6</v>
      </c>
      <c r="J40" s="1378">
        <v>2</v>
      </c>
      <c r="K40" s="1379">
        <v>15.97</v>
      </c>
      <c r="L40" s="1380">
        <v>3.96</v>
      </c>
      <c r="M40" s="1381">
        <v>1.72</v>
      </c>
      <c r="N40" s="1379">
        <v>25.4</v>
      </c>
      <c r="O40" s="1381">
        <v>2.16</v>
      </c>
      <c r="P40" s="1379">
        <v>6.59</v>
      </c>
      <c r="Q40" s="1380">
        <v>2.97</v>
      </c>
      <c r="R40" s="1381">
        <v>1.1000000000000001</v>
      </c>
      <c r="S40" s="1382">
        <v>9.41</v>
      </c>
      <c r="T40" s="1382">
        <v>1.57</v>
      </c>
      <c r="U40" s="1338"/>
      <c r="V40" s="1338"/>
      <c r="W40" s="1338"/>
      <c r="X40" s="1338"/>
      <c r="Y40" s="1338"/>
      <c r="Z40" s="1338"/>
      <c r="AA40" s="1338"/>
      <c r="AB40" s="1338"/>
      <c r="AC40" s="1266"/>
      <c r="AD40" s="1266"/>
      <c r="AE40" s="1266"/>
      <c r="AF40" s="1266"/>
    </row>
    <row r="41" spans="1:39">
      <c r="A41" s="1241"/>
      <c r="B41" s="1241"/>
      <c r="C41" s="1372" t="s">
        <v>1550</v>
      </c>
      <c r="D41" s="410">
        <v>30</v>
      </c>
      <c r="E41" s="1406">
        <v>60</v>
      </c>
      <c r="F41" s="1407" t="s">
        <v>1555</v>
      </c>
      <c r="G41" s="1408">
        <v>3.71</v>
      </c>
      <c r="H41" s="1409">
        <v>4.72</v>
      </c>
      <c r="I41" s="1410">
        <v>7</v>
      </c>
      <c r="J41" s="1411">
        <v>2.2999999999999998</v>
      </c>
      <c r="K41" s="1412">
        <v>16.21</v>
      </c>
      <c r="L41" s="1413">
        <v>3.7</v>
      </c>
      <c r="M41" s="1414">
        <v>1.85</v>
      </c>
      <c r="N41" s="1412">
        <v>25.69</v>
      </c>
      <c r="O41" s="1414">
        <v>2.33</v>
      </c>
      <c r="P41" s="1412">
        <v>6.72</v>
      </c>
      <c r="Q41" s="1413">
        <v>2.93</v>
      </c>
      <c r="R41" s="1414">
        <v>1.19</v>
      </c>
      <c r="S41" s="1415">
        <v>9.48</v>
      </c>
      <c r="T41" s="1415">
        <v>1.62</v>
      </c>
      <c r="U41" s="1338"/>
      <c r="V41" s="1338"/>
      <c r="W41" s="1338"/>
      <c r="X41" s="1338"/>
      <c r="Y41" s="1338"/>
      <c r="Z41" s="1338"/>
      <c r="AA41" s="1338"/>
      <c r="AB41" s="1338"/>
      <c r="AC41" s="1266"/>
      <c r="AD41" s="1266"/>
      <c r="AE41" s="1266"/>
      <c r="AF41" s="1266"/>
    </row>
    <row r="42" spans="1:39">
      <c r="A42" s="1241"/>
      <c r="B42" s="1241"/>
      <c r="C42" s="1372" t="s">
        <v>1550</v>
      </c>
      <c r="D42" s="410">
        <v>31</v>
      </c>
      <c r="E42" s="1406">
        <v>60</v>
      </c>
      <c r="F42" s="1407" t="s">
        <v>1551</v>
      </c>
      <c r="G42" s="1408">
        <v>4.58</v>
      </c>
      <c r="H42" s="1409">
        <v>5.83</v>
      </c>
      <c r="I42" s="1410">
        <v>7</v>
      </c>
      <c r="J42" s="1411">
        <v>2.2999999999999998</v>
      </c>
      <c r="K42" s="1412">
        <v>19.79</v>
      </c>
      <c r="L42" s="1413">
        <v>4.5599999999999996</v>
      </c>
      <c r="M42" s="1414">
        <v>1.84</v>
      </c>
      <c r="N42" s="1412">
        <v>31.4</v>
      </c>
      <c r="O42" s="1414">
        <v>2.3199999999999998</v>
      </c>
      <c r="P42" s="1412">
        <v>8.18</v>
      </c>
      <c r="Q42" s="1413">
        <v>3.49</v>
      </c>
      <c r="R42" s="1414">
        <v>1.18</v>
      </c>
      <c r="S42" s="1415">
        <v>11.61</v>
      </c>
      <c r="T42" s="1415">
        <v>1.66</v>
      </c>
      <c r="U42" s="1338"/>
      <c r="V42" s="1338"/>
      <c r="W42" s="1338"/>
      <c r="X42" s="1338"/>
      <c r="Y42" s="1338"/>
      <c r="Z42" s="1338"/>
      <c r="AA42" s="1338"/>
      <c r="AB42" s="1338"/>
      <c r="AC42" s="1266"/>
      <c r="AD42" s="1266"/>
      <c r="AE42" s="1266"/>
      <c r="AF42" s="1266"/>
    </row>
    <row r="43" spans="1:39">
      <c r="A43" s="1241"/>
      <c r="B43" s="1241"/>
      <c r="C43" s="1372" t="s">
        <v>1550</v>
      </c>
      <c r="D43" s="410">
        <v>32</v>
      </c>
      <c r="E43" s="1406">
        <v>60</v>
      </c>
      <c r="F43" s="1407" t="s">
        <v>1552</v>
      </c>
      <c r="G43" s="1408">
        <v>5.43</v>
      </c>
      <c r="H43" s="1409">
        <v>6.92</v>
      </c>
      <c r="I43" s="1410">
        <v>7</v>
      </c>
      <c r="J43" s="1411">
        <v>2.2999999999999998</v>
      </c>
      <c r="K43" s="1412">
        <v>23.21</v>
      </c>
      <c r="L43" s="1413">
        <v>5.4</v>
      </c>
      <c r="M43" s="1414">
        <v>1.83</v>
      </c>
      <c r="N43" s="1412">
        <v>36.81</v>
      </c>
      <c r="O43" s="1414">
        <v>2.31</v>
      </c>
      <c r="P43" s="1412">
        <v>9.6</v>
      </c>
      <c r="Q43" s="1413">
        <v>3.99</v>
      </c>
      <c r="R43" s="1414">
        <v>1.18</v>
      </c>
      <c r="S43" s="1415">
        <v>13.6</v>
      </c>
      <c r="T43" s="1415">
        <v>1.7</v>
      </c>
      <c r="U43" s="1338"/>
      <c r="V43" s="1338"/>
      <c r="W43" s="1338"/>
      <c r="X43" s="1338"/>
      <c r="Y43" s="1338"/>
      <c r="Z43" s="1338"/>
      <c r="AA43" s="1338"/>
      <c r="AB43" s="1338"/>
      <c r="AC43" s="1266"/>
      <c r="AD43" s="1266"/>
      <c r="AE43" s="1266"/>
      <c r="AF43" s="1266"/>
    </row>
    <row r="44" spans="1:39">
      <c r="A44" s="1241"/>
      <c r="B44" s="1241"/>
      <c r="C44" s="1372" t="s">
        <v>1550</v>
      </c>
      <c r="D44" s="410">
        <v>33</v>
      </c>
      <c r="E44" s="1406">
        <v>60</v>
      </c>
      <c r="F44" s="1407" t="s">
        <v>1554</v>
      </c>
      <c r="G44" s="1408">
        <v>7.1</v>
      </c>
      <c r="H44" s="1409">
        <v>9.0399999999999991</v>
      </c>
      <c r="I44" s="1410">
        <v>7</v>
      </c>
      <c r="J44" s="1411">
        <v>2.2999999999999998</v>
      </c>
      <c r="K44" s="1412">
        <v>29.55</v>
      </c>
      <c r="L44" s="1413">
        <v>7</v>
      </c>
      <c r="M44" s="1414">
        <v>1.81</v>
      </c>
      <c r="N44" s="1412">
        <v>46.77</v>
      </c>
      <c r="O44" s="1414">
        <v>2.27</v>
      </c>
      <c r="P44" s="1412">
        <v>12.34</v>
      </c>
      <c r="Q44" s="1413">
        <v>4.9000000000000004</v>
      </c>
      <c r="R44" s="1414">
        <v>1.17</v>
      </c>
      <c r="S44" s="1415">
        <v>17.22</v>
      </c>
      <c r="T44" s="1415">
        <v>1.78</v>
      </c>
      <c r="U44" s="1338"/>
      <c r="V44" s="1338"/>
      <c r="W44" s="1338"/>
      <c r="X44" s="1338"/>
      <c r="Y44" s="1338"/>
      <c r="Z44" s="1338"/>
      <c r="AA44" s="1338"/>
      <c r="AB44" s="1338"/>
      <c r="AC44" s="1266"/>
      <c r="AD44" s="1266"/>
      <c r="AE44" s="1266"/>
      <c r="AF44" s="1266"/>
    </row>
    <row r="45" spans="1:39">
      <c r="A45" s="1241"/>
      <c r="B45" s="1241"/>
      <c r="C45" s="1372" t="s">
        <v>1550</v>
      </c>
      <c r="D45" s="410">
        <v>34</v>
      </c>
      <c r="E45" s="1406">
        <v>60</v>
      </c>
      <c r="F45" s="1407" t="s">
        <v>1484</v>
      </c>
      <c r="G45" s="1408">
        <v>8.6999999999999993</v>
      </c>
      <c r="H45" s="1409">
        <v>11.08</v>
      </c>
      <c r="I45" s="1410">
        <v>7</v>
      </c>
      <c r="J45" s="1411">
        <v>2.2999999999999998</v>
      </c>
      <c r="K45" s="1412">
        <v>35.32</v>
      </c>
      <c r="L45" s="1413">
        <v>8.52</v>
      </c>
      <c r="M45" s="1414">
        <v>1.79</v>
      </c>
      <c r="N45" s="1412">
        <v>55.64</v>
      </c>
      <c r="O45" s="1414">
        <v>2.2400000000000002</v>
      </c>
      <c r="P45" s="1412">
        <v>15</v>
      </c>
      <c r="Q45" s="1413">
        <v>5.7</v>
      </c>
      <c r="R45" s="1414">
        <v>1.1599999999999999</v>
      </c>
      <c r="S45" s="1415">
        <v>20.32</v>
      </c>
      <c r="T45" s="1415">
        <v>1.85</v>
      </c>
      <c r="U45" s="1338"/>
      <c r="V45" s="1338"/>
      <c r="W45" s="1338"/>
      <c r="X45" s="1338"/>
      <c r="Y45" s="1338"/>
      <c r="Z45" s="1338"/>
      <c r="AA45" s="1338"/>
      <c r="AB45" s="1338"/>
      <c r="AC45" s="1266"/>
      <c r="AD45" s="1266"/>
      <c r="AE45" s="1266"/>
      <c r="AF45" s="1266"/>
    </row>
    <row r="46" spans="1:39">
      <c r="A46" s="1241"/>
      <c r="B46" s="1241"/>
      <c r="C46" s="1280"/>
      <c r="D46" s="410">
        <v>35</v>
      </c>
      <c r="E46" s="1352">
        <v>63</v>
      </c>
      <c r="F46" s="1353">
        <v>4</v>
      </c>
      <c r="G46" s="1354">
        <v>3.9</v>
      </c>
      <c r="H46" s="1355">
        <v>4.96</v>
      </c>
      <c r="I46" s="1356">
        <v>7</v>
      </c>
      <c r="J46" s="1357">
        <v>2.2999999999999998</v>
      </c>
      <c r="K46" s="1358">
        <v>18.899999999999999</v>
      </c>
      <c r="L46" s="1359">
        <v>4.09</v>
      </c>
      <c r="M46" s="1360">
        <v>1.95</v>
      </c>
      <c r="N46" s="1358">
        <v>29.9</v>
      </c>
      <c r="O46" s="1360">
        <v>2.4500000000000002</v>
      </c>
      <c r="P46" s="1358">
        <v>7.81</v>
      </c>
      <c r="Q46" s="1359">
        <v>3.26</v>
      </c>
      <c r="R46" s="1360">
        <v>1.25</v>
      </c>
      <c r="S46" s="1361">
        <v>11</v>
      </c>
      <c r="T46" s="1361">
        <v>1.69</v>
      </c>
      <c r="U46" s="1338"/>
      <c r="V46" s="1338"/>
      <c r="W46" s="1338"/>
      <c r="X46" s="1338"/>
      <c r="Y46" s="1338"/>
      <c r="Z46" s="1338"/>
      <c r="AA46" s="1338"/>
      <c r="AB46" s="1266"/>
      <c r="AC46" s="1266"/>
      <c r="AD46" s="1266"/>
      <c r="AE46" s="1266"/>
      <c r="AF46" s="1266"/>
    </row>
    <row r="47" spans="1:39">
      <c r="A47" s="1325"/>
      <c r="B47" s="1325"/>
      <c r="C47" s="1280"/>
      <c r="D47" s="410">
        <v>36</v>
      </c>
      <c r="E47" s="1362">
        <v>63</v>
      </c>
      <c r="F47" s="1363">
        <v>5</v>
      </c>
      <c r="G47" s="1364">
        <v>4.8099999999999996</v>
      </c>
      <c r="H47" s="1365">
        <v>6.13</v>
      </c>
      <c r="I47" s="1366">
        <v>7</v>
      </c>
      <c r="J47" s="1367">
        <v>2.2999999999999998</v>
      </c>
      <c r="K47" s="1368">
        <v>23.1</v>
      </c>
      <c r="L47" s="1369">
        <v>5.05</v>
      </c>
      <c r="M47" s="1370">
        <v>1.94</v>
      </c>
      <c r="N47" s="1368">
        <v>36.6</v>
      </c>
      <c r="O47" s="1370">
        <v>2.44</v>
      </c>
      <c r="P47" s="1368">
        <v>9.52</v>
      </c>
      <c r="Q47" s="1369">
        <v>3.87</v>
      </c>
      <c r="R47" s="1370">
        <v>1.25</v>
      </c>
      <c r="S47" s="1371">
        <v>13.7</v>
      </c>
      <c r="T47" s="1371">
        <v>1.74</v>
      </c>
      <c r="U47" s="1338"/>
      <c r="V47" s="1338"/>
      <c r="W47" s="1338"/>
      <c r="X47" s="1338"/>
      <c r="Y47" s="1338"/>
      <c r="Z47" s="1338"/>
      <c r="AA47" s="1338"/>
      <c r="AB47" s="1266"/>
      <c r="AC47" s="1266"/>
      <c r="AD47" s="1266"/>
      <c r="AE47" s="1266"/>
      <c r="AF47" s="1266"/>
    </row>
    <row r="48" spans="1:39">
      <c r="A48" s="1325"/>
      <c r="B48" s="1325"/>
      <c r="C48" s="1280"/>
      <c r="D48" s="410">
        <v>37</v>
      </c>
      <c r="E48" s="1373">
        <v>63</v>
      </c>
      <c r="F48" s="1374">
        <v>6</v>
      </c>
      <c r="G48" s="1375">
        <v>5.72</v>
      </c>
      <c r="H48" s="1376">
        <v>7.28</v>
      </c>
      <c r="I48" s="1377">
        <v>7</v>
      </c>
      <c r="J48" s="1378">
        <v>2.2999999999999998</v>
      </c>
      <c r="K48" s="1379">
        <v>27.1</v>
      </c>
      <c r="L48" s="1380">
        <v>5.98</v>
      </c>
      <c r="M48" s="1381">
        <v>1.93</v>
      </c>
      <c r="N48" s="1379">
        <v>42.9</v>
      </c>
      <c r="O48" s="1381">
        <v>2.4300000000000002</v>
      </c>
      <c r="P48" s="1379">
        <v>11.2</v>
      </c>
      <c r="Q48" s="1380">
        <v>4.4400000000000004</v>
      </c>
      <c r="R48" s="1381">
        <v>1.24</v>
      </c>
      <c r="S48" s="1382">
        <v>15.9</v>
      </c>
      <c r="T48" s="1382">
        <v>1.78</v>
      </c>
      <c r="U48" s="1338"/>
      <c r="V48" s="1338"/>
      <c r="W48" s="1338"/>
      <c r="X48" s="1338"/>
      <c r="Y48" s="1338"/>
      <c r="Z48" s="1338"/>
      <c r="AA48" s="1338"/>
      <c r="AB48" s="1266"/>
    </row>
    <row r="49" spans="1:39">
      <c r="A49" s="1325"/>
      <c r="B49" s="1325"/>
      <c r="C49" s="1280"/>
      <c r="D49" s="410">
        <v>38</v>
      </c>
      <c r="E49" s="1326">
        <v>70</v>
      </c>
      <c r="F49" s="1394">
        <v>4.5</v>
      </c>
      <c r="G49" s="1328">
        <v>4.87</v>
      </c>
      <c r="H49" s="1329">
        <v>6.2</v>
      </c>
      <c r="I49" s="1396">
        <v>8</v>
      </c>
      <c r="J49" s="1331">
        <v>2.7</v>
      </c>
      <c r="K49" s="1332">
        <v>29</v>
      </c>
      <c r="L49" s="1333">
        <v>5.67</v>
      </c>
      <c r="M49" s="1334">
        <v>2.16</v>
      </c>
      <c r="N49" s="1332">
        <v>46</v>
      </c>
      <c r="O49" s="1334">
        <v>2.72</v>
      </c>
      <c r="P49" s="1332">
        <v>12.04</v>
      </c>
      <c r="Q49" s="1417">
        <v>4.5</v>
      </c>
      <c r="R49" s="1334">
        <v>1.39</v>
      </c>
      <c r="S49" s="1337">
        <v>17</v>
      </c>
      <c r="T49" s="1337">
        <v>1.88</v>
      </c>
      <c r="U49" s="1338"/>
      <c r="V49" s="1338"/>
      <c r="W49" s="1338"/>
      <c r="X49" s="1338"/>
      <c r="Y49" s="1338"/>
      <c r="Z49" s="1338"/>
      <c r="AA49" s="1338"/>
      <c r="AB49" s="1266"/>
    </row>
    <row r="50" spans="1:39">
      <c r="A50" s="1241"/>
      <c r="B50" s="1241"/>
      <c r="C50" s="1280"/>
      <c r="D50" s="410">
        <v>39</v>
      </c>
      <c r="E50" s="1406">
        <v>70</v>
      </c>
      <c r="F50" s="1407">
        <v>5</v>
      </c>
      <c r="G50" s="1408">
        <v>5.38</v>
      </c>
      <c r="H50" s="1409">
        <v>6.86</v>
      </c>
      <c r="I50" s="1410">
        <v>8</v>
      </c>
      <c r="J50" s="1411">
        <v>2.7</v>
      </c>
      <c r="K50" s="1412">
        <v>31.9</v>
      </c>
      <c r="L50" s="1413">
        <v>6.27</v>
      </c>
      <c r="M50" s="1414">
        <v>2.16</v>
      </c>
      <c r="N50" s="1412">
        <v>50.7</v>
      </c>
      <c r="O50" s="1414">
        <v>2.72</v>
      </c>
      <c r="P50" s="1412">
        <v>13.22</v>
      </c>
      <c r="Q50" s="1418">
        <v>4.9000000000000004</v>
      </c>
      <c r="R50" s="1414">
        <v>1.39</v>
      </c>
      <c r="S50" s="1415">
        <v>18.7</v>
      </c>
      <c r="T50" s="1415">
        <v>1.9</v>
      </c>
      <c r="U50" s="1338"/>
      <c r="V50" s="1338"/>
      <c r="W50" s="1338"/>
      <c r="X50" s="1338"/>
      <c r="Y50" s="1338"/>
      <c r="Z50" s="1338"/>
      <c r="AA50" s="1338"/>
      <c r="AB50" s="1266"/>
    </row>
    <row r="51" spans="1:39">
      <c r="A51" s="1241"/>
      <c r="B51" s="1241"/>
      <c r="C51" s="1280"/>
      <c r="D51" s="410">
        <v>40</v>
      </c>
      <c r="E51" s="1406">
        <v>70</v>
      </c>
      <c r="F51" s="1407">
        <v>6</v>
      </c>
      <c r="G51" s="1408">
        <v>6.39</v>
      </c>
      <c r="H51" s="1409">
        <v>8.15</v>
      </c>
      <c r="I51" s="1410">
        <v>8</v>
      </c>
      <c r="J51" s="1411">
        <v>2.7</v>
      </c>
      <c r="K51" s="1412">
        <v>37.6</v>
      </c>
      <c r="L51" s="1413">
        <v>7.43</v>
      </c>
      <c r="M51" s="1414">
        <v>2.15</v>
      </c>
      <c r="N51" s="1412">
        <v>59.6</v>
      </c>
      <c r="O51" s="1414">
        <v>2.71</v>
      </c>
      <c r="P51" s="1412">
        <v>15.52</v>
      </c>
      <c r="Q51" s="1418">
        <v>5.7</v>
      </c>
      <c r="R51" s="1414">
        <v>1.38</v>
      </c>
      <c r="S51" s="1415">
        <v>22.1</v>
      </c>
      <c r="T51" s="1415">
        <v>1.94</v>
      </c>
      <c r="U51" s="1338"/>
      <c r="V51" s="1338"/>
      <c r="W51" s="1338"/>
      <c r="X51" s="1338"/>
      <c r="Y51" s="1338"/>
      <c r="Z51" s="1338"/>
      <c r="AA51" s="1338"/>
      <c r="AB51" s="1266"/>
    </row>
    <row r="52" spans="1:39">
      <c r="A52" s="1241"/>
      <c r="B52" s="1241"/>
      <c r="C52" s="1280"/>
      <c r="D52" s="410">
        <v>41</v>
      </c>
      <c r="E52" s="1406">
        <v>70</v>
      </c>
      <c r="F52" s="1407">
        <v>7</v>
      </c>
      <c r="G52" s="1408">
        <v>7.39</v>
      </c>
      <c r="H52" s="1409">
        <v>9.41</v>
      </c>
      <c r="I52" s="1410">
        <v>8</v>
      </c>
      <c r="J52" s="1411">
        <v>2.7</v>
      </c>
      <c r="K52" s="1412">
        <v>43</v>
      </c>
      <c r="L52" s="1413">
        <v>8.57</v>
      </c>
      <c r="M52" s="1414">
        <v>2.14</v>
      </c>
      <c r="N52" s="1412">
        <v>68.2</v>
      </c>
      <c r="O52" s="1414">
        <v>2.69</v>
      </c>
      <c r="P52" s="1412">
        <v>17.77</v>
      </c>
      <c r="Q52" s="1418">
        <v>6.3</v>
      </c>
      <c r="R52" s="1414">
        <v>1.37</v>
      </c>
      <c r="S52" s="1415">
        <v>25.2</v>
      </c>
      <c r="T52" s="1415">
        <v>1.99</v>
      </c>
      <c r="U52" s="1338"/>
      <c r="V52" s="1338"/>
      <c r="W52" s="1338"/>
      <c r="X52" s="1338"/>
      <c r="Y52" s="1338"/>
      <c r="Z52" s="1338"/>
      <c r="AA52" s="1338"/>
      <c r="AB52" s="1338"/>
    </row>
    <row r="53" spans="1:39" s="34" customFormat="1">
      <c r="A53" s="1325"/>
      <c r="B53" s="1325"/>
      <c r="C53" s="1383"/>
      <c r="D53" s="410">
        <v>42</v>
      </c>
      <c r="E53" s="1406">
        <v>70</v>
      </c>
      <c r="F53" s="1407">
        <v>8</v>
      </c>
      <c r="G53" s="1408">
        <v>8.3699999999999992</v>
      </c>
      <c r="H53" s="1409">
        <v>10.66</v>
      </c>
      <c r="I53" s="1410">
        <v>8</v>
      </c>
      <c r="J53" s="1411">
        <v>2.7</v>
      </c>
      <c r="K53" s="1412">
        <v>48.2</v>
      </c>
      <c r="L53" s="1413">
        <v>9.68</v>
      </c>
      <c r="M53" s="1414">
        <v>2.12</v>
      </c>
      <c r="N53" s="1412">
        <v>76.400000000000006</v>
      </c>
      <c r="O53" s="1414">
        <v>2.68</v>
      </c>
      <c r="P53" s="1412">
        <v>19.97</v>
      </c>
      <c r="Q53" s="1413">
        <v>6.99</v>
      </c>
      <c r="R53" s="1414">
        <v>1.37</v>
      </c>
      <c r="S53" s="1415">
        <v>28.2</v>
      </c>
      <c r="T53" s="1415">
        <v>2.02</v>
      </c>
      <c r="U53" s="1338"/>
      <c r="V53" s="1338"/>
      <c r="W53" s="1338"/>
      <c r="X53" s="1338"/>
      <c r="Y53" s="1338"/>
      <c r="Z53" s="1338"/>
      <c r="AA53" s="1338"/>
      <c r="AB53" s="1338"/>
      <c r="AC53" s="1416"/>
      <c r="AD53" s="1416"/>
      <c r="AE53" s="1416"/>
      <c r="AF53" s="1416"/>
      <c r="AG53" s="1416"/>
      <c r="AH53" s="1416"/>
      <c r="AI53" s="1416"/>
      <c r="AJ53" s="1416"/>
      <c r="AK53" s="1416"/>
      <c r="AL53" s="1416"/>
      <c r="AM53" s="1416"/>
    </row>
    <row r="54" spans="1:39">
      <c r="A54" s="1241"/>
      <c r="B54" s="1241"/>
      <c r="C54" s="1372" t="s">
        <v>1550</v>
      </c>
      <c r="D54" s="410">
        <v>43</v>
      </c>
      <c r="E54" s="1406">
        <v>70</v>
      </c>
      <c r="F54" s="1407" t="s">
        <v>1484</v>
      </c>
      <c r="G54" s="1408">
        <v>10.29</v>
      </c>
      <c r="H54" s="1409">
        <v>13.11</v>
      </c>
      <c r="I54" s="1410">
        <v>8</v>
      </c>
      <c r="J54" s="1411">
        <v>2.7</v>
      </c>
      <c r="K54" s="1412">
        <v>57.9</v>
      </c>
      <c r="L54" s="1413">
        <v>11.82</v>
      </c>
      <c r="M54" s="1414">
        <v>2.1</v>
      </c>
      <c r="N54" s="1412">
        <v>91.52</v>
      </c>
      <c r="O54" s="1414">
        <v>2.64</v>
      </c>
      <c r="P54" s="1412">
        <v>24.27</v>
      </c>
      <c r="Q54" s="1413">
        <v>8.17</v>
      </c>
      <c r="R54" s="1414">
        <v>1.36</v>
      </c>
      <c r="S54" s="1415">
        <v>33.6</v>
      </c>
      <c r="T54" s="1415">
        <v>2.1</v>
      </c>
      <c r="U54" s="1338"/>
      <c r="V54" s="1338"/>
      <c r="W54" s="1338"/>
      <c r="X54" s="1338"/>
      <c r="Y54" s="1338"/>
      <c r="Z54" s="1338"/>
      <c r="AA54" s="1338"/>
      <c r="AB54" s="1338"/>
    </row>
    <row r="55" spans="1:39">
      <c r="A55" s="1241"/>
      <c r="B55" s="1241"/>
      <c r="C55" s="1280"/>
      <c r="D55" s="410">
        <v>44</v>
      </c>
      <c r="E55" s="1352">
        <v>75</v>
      </c>
      <c r="F55" s="1353">
        <v>5</v>
      </c>
      <c r="G55" s="1354">
        <v>5.8</v>
      </c>
      <c r="H55" s="1355">
        <v>7.39</v>
      </c>
      <c r="I55" s="1356">
        <v>9</v>
      </c>
      <c r="J55" s="1357">
        <v>3</v>
      </c>
      <c r="K55" s="1358">
        <v>39.5</v>
      </c>
      <c r="L55" s="1359">
        <v>7.21</v>
      </c>
      <c r="M55" s="1360">
        <v>2.31</v>
      </c>
      <c r="N55" s="1358">
        <v>62.6</v>
      </c>
      <c r="O55" s="1360">
        <v>2.91</v>
      </c>
      <c r="P55" s="1358">
        <v>16.41</v>
      </c>
      <c r="Q55" s="1359">
        <v>5.74</v>
      </c>
      <c r="R55" s="1360">
        <v>1.49</v>
      </c>
      <c r="S55" s="1361">
        <v>23.1</v>
      </c>
      <c r="T55" s="1361">
        <v>2.02</v>
      </c>
      <c r="U55" s="1338"/>
      <c r="V55" s="1338"/>
      <c r="W55" s="1338"/>
      <c r="X55" s="1338"/>
      <c r="Y55" s="1338"/>
      <c r="Z55" s="1338"/>
      <c r="AA55" s="1338"/>
      <c r="AB55" s="1338"/>
    </row>
    <row r="56" spans="1:39">
      <c r="A56" s="1241"/>
      <c r="B56" s="1241"/>
      <c r="C56" s="1280"/>
      <c r="D56" s="410">
        <v>45</v>
      </c>
      <c r="E56" s="1362">
        <v>75</v>
      </c>
      <c r="F56" s="1363">
        <v>6</v>
      </c>
      <c r="G56" s="1364">
        <v>6.89</v>
      </c>
      <c r="H56" s="1365">
        <v>8.7799999999999994</v>
      </c>
      <c r="I56" s="1366">
        <v>9</v>
      </c>
      <c r="J56" s="1367">
        <v>3</v>
      </c>
      <c r="K56" s="1368">
        <v>46.6</v>
      </c>
      <c r="L56" s="1369">
        <v>8.57</v>
      </c>
      <c r="M56" s="1370">
        <v>2.2999999999999998</v>
      </c>
      <c r="N56" s="1368">
        <v>73.900000000000006</v>
      </c>
      <c r="O56" s="1370">
        <v>2.9</v>
      </c>
      <c r="P56" s="1368">
        <v>19.28</v>
      </c>
      <c r="Q56" s="1369">
        <v>6.62</v>
      </c>
      <c r="R56" s="1370">
        <v>1.48</v>
      </c>
      <c r="S56" s="1371">
        <v>27.3</v>
      </c>
      <c r="T56" s="1371">
        <v>2.06</v>
      </c>
      <c r="U56" s="1338"/>
      <c r="V56" s="1338"/>
      <c r="W56" s="1338"/>
      <c r="X56" s="1338"/>
      <c r="Y56" s="1338"/>
      <c r="Z56" s="1338"/>
      <c r="AA56" s="1338"/>
      <c r="AB56" s="1338"/>
    </row>
    <row r="57" spans="1:39">
      <c r="A57" s="1241"/>
      <c r="B57" s="1241"/>
      <c r="C57" s="1280"/>
      <c r="D57" s="410">
        <v>46</v>
      </c>
      <c r="E57" s="1362">
        <v>75</v>
      </c>
      <c r="F57" s="1363">
        <v>7</v>
      </c>
      <c r="G57" s="1364">
        <v>7.96</v>
      </c>
      <c r="H57" s="1365">
        <v>10.14</v>
      </c>
      <c r="I57" s="1366">
        <v>9</v>
      </c>
      <c r="J57" s="1367">
        <v>3</v>
      </c>
      <c r="K57" s="1368">
        <v>53.3</v>
      </c>
      <c r="L57" s="1369">
        <v>9.89</v>
      </c>
      <c r="M57" s="1370">
        <v>2.29</v>
      </c>
      <c r="N57" s="1368">
        <v>84.6</v>
      </c>
      <c r="O57" s="1370">
        <v>2.89</v>
      </c>
      <c r="P57" s="1368">
        <v>22.07</v>
      </c>
      <c r="Q57" s="1369">
        <v>7.43</v>
      </c>
      <c r="R57" s="1370">
        <v>1.47</v>
      </c>
      <c r="S57" s="1371">
        <v>31.2</v>
      </c>
      <c r="T57" s="1371">
        <v>2.1</v>
      </c>
      <c r="U57" s="1241"/>
      <c r="V57" s="1241"/>
      <c r="W57" s="1241"/>
      <c r="X57" s="1241"/>
      <c r="Y57" s="1420"/>
      <c r="Z57" s="1420"/>
      <c r="AA57" s="1241"/>
      <c r="AB57" s="1241"/>
    </row>
    <row r="58" spans="1:39">
      <c r="A58" s="1241"/>
      <c r="B58" s="1241"/>
      <c r="C58" s="1280"/>
      <c r="D58" s="410">
        <v>47</v>
      </c>
      <c r="E58" s="1362">
        <v>75</v>
      </c>
      <c r="F58" s="1363">
        <v>8</v>
      </c>
      <c r="G58" s="1364">
        <v>9.02</v>
      </c>
      <c r="H58" s="1365">
        <v>11.49</v>
      </c>
      <c r="I58" s="1366">
        <v>9</v>
      </c>
      <c r="J58" s="1367">
        <v>3</v>
      </c>
      <c r="K58" s="1368">
        <v>59.8</v>
      </c>
      <c r="L58" s="1369">
        <v>11.18</v>
      </c>
      <c r="M58" s="1370">
        <v>2.2799999999999998</v>
      </c>
      <c r="N58" s="1368">
        <v>94.9</v>
      </c>
      <c r="O58" s="1370">
        <v>2.87</v>
      </c>
      <c r="P58" s="1368">
        <v>24.8</v>
      </c>
      <c r="Q58" s="1369">
        <v>8.16</v>
      </c>
      <c r="R58" s="1370">
        <v>1.47</v>
      </c>
      <c r="S58" s="1371">
        <v>35</v>
      </c>
      <c r="T58" s="1371">
        <v>2.15</v>
      </c>
      <c r="U58" s="1241"/>
      <c r="V58" s="1241"/>
      <c r="W58" s="1241"/>
      <c r="X58" s="1241"/>
      <c r="Y58" s="1420"/>
      <c r="Z58" s="1420"/>
      <c r="AA58" s="1241"/>
      <c r="AB58" s="1241"/>
    </row>
    <row r="59" spans="1:39">
      <c r="A59" s="1241"/>
      <c r="B59" s="1241"/>
      <c r="C59" s="1280"/>
      <c r="D59" s="410">
        <v>48</v>
      </c>
      <c r="E59" s="1373">
        <v>75</v>
      </c>
      <c r="F59" s="1374">
        <v>9</v>
      </c>
      <c r="G59" s="1375">
        <v>10.1</v>
      </c>
      <c r="H59" s="1376">
        <v>12.86</v>
      </c>
      <c r="I59" s="1377">
        <v>9</v>
      </c>
      <c r="J59" s="1378">
        <v>3</v>
      </c>
      <c r="K59" s="1379">
        <v>66.099999999999994</v>
      </c>
      <c r="L59" s="1380">
        <v>12.43</v>
      </c>
      <c r="M59" s="1381">
        <v>2.27</v>
      </c>
      <c r="N59" s="1421">
        <v>104.7</v>
      </c>
      <c r="O59" s="1381">
        <v>2.86</v>
      </c>
      <c r="P59" s="1379">
        <v>27.48</v>
      </c>
      <c r="Q59" s="1380">
        <v>8.91</v>
      </c>
      <c r="R59" s="1381">
        <v>1.46</v>
      </c>
      <c r="S59" s="1371">
        <v>38.6</v>
      </c>
      <c r="T59" s="1382">
        <v>2.1800000000000002</v>
      </c>
      <c r="U59" s="1241"/>
      <c r="V59" s="1241"/>
      <c r="W59" s="1241"/>
      <c r="X59" s="1241"/>
      <c r="Y59" s="1420"/>
      <c r="Z59" s="1420"/>
      <c r="AA59" s="1241"/>
      <c r="AB59" s="1241"/>
    </row>
    <row r="60" spans="1:39">
      <c r="A60" s="1241"/>
      <c r="B60" s="1241"/>
      <c r="C60" s="1280"/>
      <c r="D60" s="410">
        <v>49</v>
      </c>
      <c r="E60" s="1326">
        <v>80</v>
      </c>
      <c r="F60" s="1394">
        <v>5.5</v>
      </c>
      <c r="G60" s="1328">
        <v>6.78</v>
      </c>
      <c r="H60" s="1329">
        <v>8.6300000000000008</v>
      </c>
      <c r="I60" s="1396">
        <v>9</v>
      </c>
      <c r="J60" s="1331">
        <v>3</v>
      </c>
      <c r="K60" s="1332">
        <v>52.7</v>
      </c>
      <c r="L60" s="1333">
        <v>9.0299999999999994</v>
      </c>
      <c r="M60" s="1334">
        <v>2.4700000000000002</v>
      </c>
      <c r="N60" s="1422">
        <v>83.6</v>
      </c>
      <c r="O60" s="1334">
        <v>3.11</v>
      </c>
      <c r="P60" s="1332">
        <v>21.8</v>
      </c>
      <c r="Q60" s="1417">
        <v>7.1</v>
      </c>
      <c r="R60" s="1334">
        <v>1.59</v>
      </c>
      <c r="S60" s="1337">
        <v>30.9</v>
      </c>
      <c r="T60" s="1337">
        <v>2.17</v>
      </c>
      <c r="U60" s="1241"/>
      <c r="V60" s="1241"/>
      <c r="W60" s="1241"/>
      <c r="X60" s="1241"/>
      <c r="Y60" s="1420"/>
      <c r="Z60" s="1420"/>
      <c r="AA60" s="1241"/>
      <c r="AB60" s="1241"/>
    </row>
    <row r="61" spans="1:39">
      <c r="A61" s="1241"/>
      <c r="B61" s="1241"/>
      <c r="C61" s="1280"/>
      <c r="D61" s="410">
        <v>50</v>
      </c>
      <c r="E61" s="1406">
        <v>80</v>
      </c>
      <c r="F61" s="1407">
        <v>6</v>
      </c>
      <c r="G61" s="1408">
        <v>7.36</v>
      </c>
      <c r="H61" s="1409">
        <v>9.3800000000000008</v>
      </c>
      <c r="I61" s="1410">
        <v>9</v>
      </c>
      <c r="J61" s="1411">
        <v>3</v>
      </c>
      <c r="K61" s="1412">
        <v>57</v>
      </c>
      <c r="L61" s="1413">
        <v>9.8000000000000007</v>
      </c>
      <c r="M61" s="1414">
        <v>2.4700000000000002</v>
      </c>
      <c r="N61" s="1423">
        <v>90.4</v>
      </c>
      <c r="O61" s="1414">
        <v>3.11</v>
      </c>
      <c r="P61" s="1412">
        <v>23.5</v>
      </c>
      <c r="Q61" s="1418">
        <v>7.6</v>
      </c>
      <c r="R61" s="1414">
        <v>1.58</v>
      </c>
      <c r="S61" s="1415">
        <v>33.4</v>
      </c>
      <c r="T61" s="1415">
        <v>2.19</v>
      </c>
      <c r="U61" s="1241"/>
      <c r="V61" s="1241"/>
      <c r="W61" s="1241"/>
      <c r="X61" s="1241"/>
      <c r="Y61" s="1420"/>
      <c r="Z61" s="1420"/>
      <c r="AA61" s="1241"/>
      <c r="AB61" s="1241"/>
    </row>
    <row r="62" spans="1:39">
      <c r="A62" s="1241"/>
      <c r="B62" s="1241"/>
      <c r="C62" s="1280"/>
      <c r="D62" s="410">
        <v>51</v>
      </c>
      <c r="E62" s="1406">
        <v>80</v>
      </c>
      <c r="F62" s="1407">
        <v>7</v>
      </c>
      <c r="G62" s="1408">
        <v>8.51</v>
      </c>
      <c r="H62" s="1409">
        <v>10.8</v>
      </c>
      <c r="I62" s="1410">
        <v>9</v>
      </c>
      <c r="J62" s="1411">
        <v>3</v>
      </c>
      <c r="K62" s="1412">
        <v>65.3</v>
      </c>
      <c r="L62" s="1413">
        <v>11.32</v>
      </c>
      <c r="M62" s="1414">
        <v>2.4500000000000002</v>
      </c>
      <c r="N62" s="1423">
        <v>103.6</v>
      </c>
      <c r="O62" s="1414">
        <v>3.09</v>
      </c>
      <c r="P62" s="1412">
        <v>27</v>
      </c>
      <c r="Q62" s="1418">
        <v>8.6</v>
      </c>
      <c r="R62" s="1414">
        <v>1.58</v>
      </c>
      <c r="S62" s="1424">
        <v>38.299999999999997</v>
      </c>
      <c r="T62" s="1415">
        <v>2.23</v>
      </c>
      <c r="U62" s="1241"/>
      <c r="V62" s="1241"/>
      <c r="W62" s="1241"/>
      <c r="X62" s="1241"/>
      <c r="Y62" s="1420"/>
      <c r="Z62" s="1420"/>
      <c r="AA62" s="1241"/>
      <c r="AB62" s="1241"/>
    </row>
    <row r="63" spans="1:39" s="34" customFormat="1">
      <c r="A63" s="1325"/>
      <c r="B63" s="1325"/>
      <c r="C63" s="1383"/>
      <c r="D63" s="410">
        <v>52</v>
      </c>
      <c r="E63" s="1406">
        <v>80</v>
      </c>
      <c r="F63" s="1407">
        <v>8</v>
      </c>
      <c r="G63" s="1408">
        <v>9.65</v>
      </c>
      <c r="H63" s="1409">
        <v>12.29</v>
      </c>
      <c r="I63" s="1410">
        <v>9</v>
      </c>
      <c r="J63" s="1411">
        <v>3</v>
      </c>
      <c r="K63" s="1412">
        <v>73.400000000000006</v>
      </c>
      <c r="L63" s="1413">
        <v>12.8</v>
      </c>
      <c r="M63" s="1414">
        <v>2.44</v>
      </c>
      <c r="N63" s="1423">
        <v>116.4</v>
      </c>
      <c r="O63" s="1414">
        <v>3.08</v>
      </c>
      <c r="P63" s="1412">
        <v>30.3</v>
      </c>
      <c r="Q63" s="1413">
        <v>9.44</v>
      </c>
      <c r="R63" s="1414">
        <v>1.57</v>
      </c>
      <c r="S63" s="1424">
        <v>43</v>
      </c>
      <c r="T63" s="1415">
        <v>2.27</v>
      </c>
      <c r="U63" s="1325"/>
      <c r="V63" s="1325"/>
      <c r="W63" s="1325"/>
      <c r="X63" s="1325"/>
      <c r="Y63" s="1338"/>
      <c r="Z63" s="1338"/>
      <c r="AA63" s="1325"/>
      <c r="AB63" s="1325"/>
      <c r="AC63" s="1416"/>
      <c r="AD63" s="1416"/>
      <c r="AE63" s="1416"/>
      <c r="AF63" s="1416"/>
      <c r="AG63" s="1416"/>
      <c r="AH63" s="1416"/>
      <c r="AI63" s="1416"/>
      <c r="AJ63" s="1416"/>
      <c r="AK63" s="1416"/>
      <c r="AL63" s="1416"/>
      <c r="AM63" s="1416"/>
    </row>
    <row r="64" spans="1:39" s="34" customFormat="1">
      <c r="A64" s="1325"/>
      <c r="B64" s="1325"/>
      <c r="C64" s="1372" t="s">
        <v>1550</v>
      </c>
      <c r="D64" s="410">
        <v>53</v>
      </c>
      <c r="E64" s="1406">
        <v>80</v>
      </c>
      <c r="F64" s="1407" t="s">
        <v>1484</v>
      </c>
      <c r="G64" s="1408">
        <v>11.88</v>
      </c>
      <c r="H64" s="1409">
        <v>15.14</v>
      </c>
      <c r="I64" s="1410">
        <v>9</v>
      </c>
      <c r="J64" s="1411">
        <v>3</v>
      </c>
      <c r="K64" s="1412">
        <v>83.58</v>
      </c>
      <c r="L64" s="1413">
        <v>15.67</v>
      </c>
      <c r="M64" s="1414">
        <v>2.42</v>
      </c>
      <c r="N64" s="1423">
        <v>140.31</v>
      </c>
      <c r="O64" s="1414">
        <v>3.04</v>
      </c>
      <c r="P64" s="1412">
        <v>36.85</v>
      </c>
      <c r="Q64" s="1413">
        <v>11.09</v>
      </c>
      <c r="R64" s="1414">
        <v>1.56</v>
      </c>
      <c r="S64" s="1424">
        <v>56.7</v>
      </c>
      <c r="T64" s="1415">
        <v>2.35</v>
      </c>
      <c r="U64" s="1325"/>
      <c r="V64" s="1325"/>
      <c r="W64" s="1325"/>
      <c r="X64" s="1325"/>
      <c r="Y64" s="1338"/>
      <c r="Z64" s="1338"/>
      <c r="AA64" s="1325"/>
      <c r="AB64" s="1325"/>
      <c r="AC64" s="1416"/>
      <c r="AD64" s="1416"/>
      <c r="AE64" s="1416"/>
      <c r="AF64" s="1416"/>
      <c r="AG64" s="1416"/>
      <c r="AH64" s="1416"/>
      <c r="AI64" s="1416"/>
      <c r="AJ64" s="1416"/>
      <c r="AK64" s="1416"/>
      <c r="AL64" s="1416"/>
      <c r="AM64" s="1416"/>
    </row>
    <row r="65" spans="1:39">
      <c r="A65" s="1241"/>
      <c r="B65" s="1241"/>
      <c r="C65" s="1372" t="s">
        <v>1550</v>
      </c>
      <c r="D65" s="410">
        <v>54</v>
      </c>
      <c r="E65" s="1406">
        <v>80</v>
      </c>
      <c r="F65" s="1407" t="s">
        <v>1482</v>
      </c>
      <c r="G65" s="1408">
        <v>14.05</v>
      </c>
      <c r="H65" s="1409">
        <v>17.899999999999999</v>
      </c>
      <c r="I65" s="1410">
        <v>9</v>
      </c>
      <c r="J65" s="1411">
        <v>3</v>
      </c>
      <c r="K65" s="1412">
        <v>102.74</v>
      </c>
      <c r="L65" s="1413">
        <v>18.420000000000002</v>
      </c>
      <c r="M65" s="1414">
        <v>2.4</v>
      </c>
      <c r="N65" s="1423">
        <v>162.27000000000001</v>
      </c>
      <c r="O65" s="1414">
        <v>3.01</v>
      </c>
      <c r="P65" s="1412">
        <v>43.21</v>
      </c>
      <c r="Q65" s="1413">
        <v>12.62</v>
      </c>
      <c r="R65" s="1414">
        <v>1.55</v>
      </c>
      <c r="S65" s="1424">
        <v>59.5</v>
      </c>
      <c r="T65" s="1415">
        <v>2.42</v>
      </c>
      <c r="U65" s="1241"/>
      <c r="V65" s="1241"/>
      <c r="W65" s="1241"/>
      <c r="X65" s="1241"/>
      <c r="Y65" s="1420"/>
      <c r="Z65" s="1420"/>
      <c r="AA65" s="1241"/>
      <c r="AB65" s="1241"/>
    </row>
    <row r="66" spans="1:39">
      <c r="A66" s="1241"/>
      <c r="B66" s="1241"/>
      <c r="C66" s="1280"/>
      <c r="D66" s="410">
        <v>55</v>
      </c>
      <c r="E66" s="1352">
        <v>90</v>
      </c>
      <c r="F66" s="1353">
        <v>6</v>
      </c>
      <c r="G66" s="1354">
        <v>8.33</v>
      </c>
      <c r="H66" s="1355">
        <v>10.6</v>
      </c>
      <c r="I66" s="1356">
        <v>10</v>
      </c>
      <c r="J66" s="1357">
        <v>3.3</v>
      </c>
      <c r="K66" s="1358">
        <v>82.1</v>
      </c>
      <c r="L66" s="1359">
        <v>12.49</v>
      </c>
      <c r="M66" s="1360">
        <v>2.78</v>
      </c>
      <c r="N66" s="1425">
        <v>130</v>
      </c>
      <c r="O66" s="1360">
        <v>3.5</v>
      </c>
      <c r="P66" s="1358">
        <v>34</v>
      </c>
      <c r="Q66" s="1359">
        <v>9.8800000000000008</v>
      </c>
      <c r="R66" s="1360">
        <v>1.79</v>
      </c>
      <c r="S66" s="1426">
        <v>48.1</v>
      </c>
      <c r="T66" s="1361">
        <v>2.4300000000000002</v>
      </c>
      <c r="U66" s="1241"/>
      <c r="V66" s="1241"/>
      <c r="W66" s="1241"/>
      <c r="X66" s="1241"/>
      <c r="Y66" s="1420"/>
      <c r="Z66" s="1420"/>
      <c r="AA66" s="1241"/>
      <c r="AB66" s="1241"/>
    </row>
    <row r="67" spans="1:39">
      <c r="A67" s="1241"/>
      <c r="B67" s="1241"/>
      <c r="C67" s="1280"/>
      <c r="D67" s="410">
        <v>56</v>
      </c>
      <c r="E67" s="1362">
        <v>90</v>
      </c>
      <c r="F67" s="1363">
        <v>7</v>
      </c>
      <c r="G67" s="1364">
        <v>9.64</v>
      </c>
      <c r="H67" s="1365">
        <v>12.3</v>
      </c>
      <c r="I67" s="1366">
        <v>10</v>
      </c>
      <c r="J67" s="1367">
        <v>3.3</v>
      </c>
      <c r="K67" s="1368">
        <v>94.3</v>
      </c>
      <c r="L67" s="1369">
        <v>14.45</v>
      </c>
      <c r="M67" s="1370">
        <v>2.77</v>
      </c>
      <c r="N67" s="1427">
        <v>150</v>
      </c>
      <c r="O67" s="1370">
        <v>3.49</v>
      </c>
      <c r="P67" s="1368">
        <v>38.9</v>
      </c>
      <c r="Q67" s="1369">
        <v>11.15</v>
      </c>
      <c r="R67" s="1370">
        <v>1.78</v>
      </c>
      <c r="S67" s="1428">
        <v>55.4</v>
      </c>
      <c r="T67" s="1371">
        <v>2.4700000000000002</v>
      </c>
      <c r="U67" s="1241"/>
      <c r="V67" s="1241"/>
      <c r="W67" s="1241"/>
      <c r="X67" s="1241"/>
      <c r="Y67" s="1420"/>
      <c r="Z67" s="1420"/>
      <c r="AA67" s="1241"/>
      <c r="AB67" s="1241"/>
    </row>
    <row r="68" spans="1:39">
      <c r="A68" s="1241"/>
      <c r="B68" s="1241"/>
      <c r="C68" s="1280"/>
      <c r="D68" s="410">
        <v>57</v>
      </c>
      <c r="E68" s="1362">
        <v>90</v>
      </c>
      <c r="F68" s="1363">
        <v>8</v>
      </c>
      <c r="G68" s="1429">
        <v>10.9</v>
      </c>
      <c r="H68" s="1365">
        <v>13.88</v>
      </c>
      <c r="I68" s="1366">
        <v>10</v>
      </c>
      <c r="J68" s="1367">
        <v>3.3</v>
      </c>
      <c r="K68" s="1427">
        <v>106</v>
      </c>
      <c r="L68" s="1369">
        <v>16.36</v>
      </c>
      <c r="M68" s="1370">
        <v>2.76</v>
      </c>
      <c r="N68" s="1427">
        <v>168</v>
      </c>
      <c r="O68" s="1370">
        <v>3.48</v>
      </c>
      <c r="P68" s="1368">
        <v>43.8</v>
      </c>
      <c r="Q68" s="1369">
        <v>12.34</v>
      </c>
      <c r="R68" s="1370">
        <v>1.77</v>
      </c>
      <c r="S68" s="1428">
        <v>62.3</v>
      </c>
      <c r="T68" s="1371">
        <v>2.5099999999999998</v>
      </c>
      <c r="U68" s="1241"/>
      <c r="V68" s="1241"/>
      <c r="W68" s="1241"/>
      <c r="X68" s="1241"/>
      <c r="Y68" s="1420"/>
      <c r="Z68" s="1420"/>
      <c r="AA68" s="1241"/>
      <c r="AB68" s="1241"/>
    </row>
    <row r="69" spans="1:39" s="34" customFormat="1">
      <c r="A69" s="1325"/>
      <c r="B69" s="1325"/>
      <c r="C69" s="1383"/>
      <c r="D69" s="410">
        <v>58</v>
      </c>
      <c r="E69" s="1362">
        <v>90</v>
      </c>
      <c r="F69" s="1363">
        <v>9</v>
      </c>
      <c r="G69" s="1429">
        <v>12.2</v>
      </c>
      <c r="H69" s="1365">
        <v>15.54</v>
      </c>
      <c r="I69" s="1366">
        <v>10</v>
      </c>
      <c r="J69" s="1367">
        <v>3.3</v>
      </c>
      <c r="K69" s="1427">
        <v>118</v>
      </c>
      <c r="L69" s="1369">
        <v>18.29</v>
      </c>
      <c r="M69" s="1370">
        <v>2.75</v>
      </c>
      <c r="N69" s="1427">
        <v>186</v>
      </c>
      <c r="O69" s="1370">
        <v>3.46</v>
      </c>
      <c r="P69" s="1368">
        <v>48.6</v>
      </c>
      <c r="Q69" s="1369">
        <v>13.48</v>
      </c>
      <c r="R69" s="1370">
        <v>1.77</v>
      </c>
      <c r="S69" s="1428">
        <v>68</v>
      </c>
      <c r="T69" s="1371">
        <v>2.5499999999999998</v>
      </c>
      <c r="U69" s="1325"/>
      <c r="V69" s="1325"/>
      <c r="W69" s="1325"/>
      <c r="X69" s="1325"/>
      <c r="Y69" s="1338"/>
      <c r="Z69" s="1338"/>
      <c r="AA69" s="1325"/>
      <c r="AB69" s="1325"/>
      <c r="AC69" s="1416"/>
      <c r="AD69" s="1416"/>
      <c r="AE69" s="1416"/>
      <c r="AF69" s="1416"/>
      <c r="AG69" s="1416"/>
      <c r="AH69" s="1416"/>
      <c r="AI69" s="1416"/>
      <c r="AJ69" s="1416"/>
      <c r="AK69" s="1416"/>
      <c r="AL69" s="1416"/>
      <c r="AM69" s="1416"/>
    </row>
    <row r="70" spans="1:39" s="34" customFormat="1">
      <c r="A70" s="1325"/>
      <c r="B70" s="1325"/>
      <c r="C70" s="1372" t="s">
        <v>1550</v>
      </c>
      <c r="D70" s="410">
        <v>59</v>
      </c>
      <c r="E70" s="1362">
        <v>90</v>
      </c>
      <c r="F70" s="1363" t="s">
        <v>1484</v>
      </c>
      <c r="G70" s="1429">
        <v>13.48</v>
      </c>
      <c r="H70" s="1365">
        <v>17.170000000000002</v>
      </c>
      <c r="I70" s="1366">
        <v>10</v>
      </c>
      <c r="J70" s="1367">
        <v>3.3</v>
      </c>
      <c r="K70" s="1427">
        <v>128.6</v>
      </c>
      <c r="L70" s="1369">
        <v>20.07</v>
      </c>
      <c r="M70" s="1370">
        <v>2.74</v>
      </c>
      <c r="N70" s="1427">
        <v>203.93</v>
      </c>
      <c r="O70" s="1370">
        <v>3.45</v>
      </c>
      <c r="P70" s="1368">
        <v>53.27</v>
      </c>
      <c r="Q70" s="1369">
        <v>14.54</v>
      </c>
      <c r="R70" s="1370">
        <v>1.76</v>
      </c>
      <c r="S70" s="1428">
        <v>75.3</v>
      </c>
      <c r="T70" s="1371">
        <v>2.59</v>
      </c>
      <c r="U70" s="1325"/>
      <c r="V70" s="1325"/>
      <c r="W70" s="1325"/>
      <c r="X70" s="1325"/>
      <c r="Y70" s="1338"/>
      <c r="Z70" s="1338"/>
      <c r="AA70" s="1325"/>
      <c r="AB70" s="1325"/>
      <c r="AC70" s="1416"/>
      <c r="AD70" s="1416"/>
      <c r="AE70" s="1416"/>
      <c r="AF70" s="1416"/>
      <c r="AG70" s="1416"/>
      <c r="AH70" s="1416"/>
      <c r="AI70" s="1416"/>
      <c r="AJ70" s="1416"/>
      <c r="AK70" s="1416"/>
      <c r="AL70" s="1416"/>
      <c r="AM70" s="1416"/>
    </row>
    <row r="71" spans="1:39">
      <c r="A71" s="1241"/>
      <c r="B71" s="1241"/>
      <c r="C71" s="1372" t="s">
        <v>1550</v>
      </c>
      <c r="D71" s="410">
        <v>60</v>
      </c>
      <c r="E71" s="1362">
        <v>90</v>
      </c>
      <c r="F71" s="1363" t="s">
        <v>1482</v>
      </c>
      <c r="G71" s="1429">
        <v>15.96</v>
      </c>
      <c r="H71" s="1365">
        <v>20.329999999999998</v>
      </c>
      <c r="I71" s="1366">
        <v>10</v>
      </c>
      <c r="J71" s="1367">
        <v>3.3</v>
      </c>
      <c r="K71" s="1427">
        <v>149.66999999999999</v>
      </c>
      <c r="L71" s="1369">
        <v>23.85</v>
      </c>
      <c r="M71" s="1370">
        <v>2.71</v>
      </c>
      <c r="N71" s="1427">
        <v>235.88</v>
      </c>
      <c r="O71" s="1370">
        <v>3.41</v>
      </c>
      <c r="P71" s="1368">
        <v>62.4</v>
      </c>
      <c r="Q71" s="1369">
        <v>16.53</v>
      </c>
      <c r="R71" s="1370">
        <v>1.75</v>
      </c>
      <c r="S71" s="1428">
        <v>86.2</v>
      </c>
      <c r="T71" s="1371">
        <v>2.67</v>
      </c>
      <c r="U71" s="1241"/>
      <c r="V71" s="1241"/>
      <c r="W71" s="1241"/>
      <c r="X71" s="1241"/>
      <c r="Y71" s="1420"/>
      <c r="Z71" s="1420"/>
      <c r="AA71" s="1241"/>
      <c r="AB71" s="1241"/>
    </row>
    <row r="72" spans="1:39">
      <c r="A72" s="1241"/>
      <c r="B72" s="1241"/>
      <c r="C72" s="1280"/>
      <c r="D72" s="410">
        <v>61</v>
      </c>
      <c r="E72" s="1326">
        <v>100</v>
      </c>
      <c r="F72" s="1394">
        <v>6.5</v>
      </c>
      <c r="G72" s="1430">
        <v>10.1</v>
      </c>
      <c r="H72" s="1329">
        <v>12.86</v>
      </c>
      <c r="I72" s="1396">
        <v>12</v>
      </c>
      <c r="J72" s="1331">
        <v>4</v>
      </c>
      <c r="K72" s="1422">
        <v>122</v>
      </c>
      <c r="L72" s="1417">
        <v>16.7</v>
      </c>
      <c r="M72" s="1334">
        <v>3.09</v>
      </c>
      <c r="N72" s="1422">
        <v>193</v>
      </c>
      <c r="O72" s="1334">
        <v>3.88</v>
      </c>
      <c r="P72" s="1332">
        <v>50.73</v>
      </c>
      <c r="Q72" s="1417">
        <v>13.4</v>
      </c>
      <c r="R72" s="1334">
        <v>1.99</v>
      </c>
      <c r="S72" s="1431">
        <v>71.400000000000006</v>
      </c>
      <c r="T72" s="1337">
        <v>2.68</v>
      </c>
      <c r="U72" s="1241"/>
      <c r="V72" s="1241"/>
      <c r="W72" s="1241"/>
      <c r="X72" s="1241"/>
      <c r="Y72" s="1420"/>
      <c r="Z72" s="1420"/>
      <c r="AA72" s="1241"/>
      <c r="AB72" s="1241"/>
    </row>
    <row r="73" spans="1:39">
      <c r="A73" s="1241"/>
      <c r="B73" s="1241"/>
      <c r="C73" s="1280"/>
      <c r="D73" s="410">
        <v>62</v>
      </c>
      <c r="E73" s="1406">
        <v>100</v>
      </c>
      <c r="F73" s="1407">
        <v>7</v>
      </c>
      <c r="G73" s="1432">
        <v>10.8</v>
      </c>
      <c r="H73" s="1409">
        <v>13.75</v>
      </c>
      <c r="I73" s="1410">
        <v>12</v>
      </c>
      <c r="J73" s="1411">
        <v>4</v>
      </c>
      <c r="K73" s="1423">
        <v>131</v>
      </c>
      <c r="L73" s="1418">
        <v>17.899999999999999</v>
      </c>
      <c r="M73" s="1414">
        <v>3.08</v>
      </c>
      <c r="N73" s="1423">
        <v>207</v>
      </c>
      <c r="O73" s="1414">
        <v>3.88</v>
      </c>
      <c r="P73" s="1412">
        <v>54.16</v>
      </c>
      <c r="Q73" s="1418">
        <v>14.1</v>
      </c>
      <c r="R73" s="1414">
        <v>1.98</v>
      </c>
      <c r="S73" s="1424">
        <v>76.400000000000006</v>
      </c>
      <c r="T73" s="1415">
        <v>2.71</v>
      </c>
      <c r="U73" s="1241"/>
      <c r="V73" s="1241"/>
      <c r="W73" s="1241"/>
      <c r="X73" s="1241"/>
      <c r="Y73" s="1420"/>
      <c r="Z73" s="1420"/>
      <c r="AA73" s="1241"/>
      <c r="AB73" s="1241"/>
    </row>
    <row r="74" spans="1:39">
      <c r="A74" s="1241"/>
      <c r="B74" s="1241"/>
      <c r="C74" s="1280"/>
      <c r="D74" s="410">
        <v>63</v>
      </c>
      <c r="E74" s="1406">
        <v>100</v>
      </c>
      <c r="F74" s="1407">
        <v>8</v>
      </c>
      <c r="G74" s="1432">
        <v>12.2</v>
      </c>
      <c r="H74" s="1409">
        <v>15.6</v>
      </c>
      <c r="I74" s="1410">
        <v>12</v>
      </c>
      <c r="J74" s="1411">
        <v>4</v>
      </c>
      <c r="K74" s="1423">
        <v>147</v>
      </c>
      <c r="L74" s="1418">
        <v>20.3</v>
      </c>
      <c r="M74" s="1414">
        <v>3.07</v>
      </c>
      <c r="N74" s="1423">
        <v>233</v>
      </c>
      <c r="O74" s="1414">
        <v>3.87</v>
      </c>
      <c r="P74" s="1412">
        <v>60.92</v>
      </c>
      <c r="Q74" s="1418">
        <v>15.7</v>
      </c>
      <c r="R74" s="1414">
        <v>1.98</v>
      </c>
      <c r="S74" s="1424">
        <v>86.3</v>
      </c>
      <c r="T74" s="1415">
        <v>2.75</v>
      </c>
      <c r="U74" s="1241"/>
      <c r="V74" s="1241"/>
      <c r="W74" s="1241"/>
      <c r="X74" s="1241"/>
      <c r="Y74" s="1420"/>
      <c r="Z74" s="1420"/>
      <c r="AA74" s="1241"/>
      <c r="AB74" s="1241"/>
    </row>
    <row r="75" spans="1:39">
      <c r="A75" s="1241"/>
      <c r="B75" s="1241"/>
      <c r="C75" s="1280"/>
      <c r="D75" s="410">
        <v>64</v>
      </c>
      <c r="E75" s="1406">
        <v>100</v>
      </c>
      <c r="F75" s="1407">
        <v>10</v>
      </c>
      <c r="G75" s="1432">
        <v>15.1</v>
      </c>
      <c r="H75" s="1409">
        <v>19.2</v>
      </c>
      <c r="I75" s="1410">
        <v>12</v>
      </c>
      <c r="J75" s="1411">
        <v>4</v>
      </c>
      <c r="K75" s="1423">
        <v>179</v>
      </c>
      <c r="L75" s="1418">
        <v>25</v>
      </c>
      <c r="M75" s="1414">
        <v>3.05</v>
      </c>
      <c r="N75" s="1423">
        <v>284</v>
      </c>
      <c r="O75" s="1414">
        <v>3.84</v>
      </c>
      <c r="P75" s="1412">
        <v>74.08</v>
      </c>
      <c r="Q75" s="1418">
        <v>18.5</v>
      </c>
      <c r="R75" s="1414">
        <v>1.96</v>
      </c>
      <c r="S75" s="1424">
        <v>110</v>
      </c>
      <c r="T75" s="1415">
        <v>2.83</v>
      </c>
      <c r="U75" s="1241"/>
      <c r="V75" s="1241"/>
      <c r="W75" s="1241"/>
      <c r="X75" s="1241"/>
      <c r="Y75" s="1420"/>
      <c r="Z75" s="1420"/>
      <c r="AA75" s="1241"/>
      <c r="AB75" s="1241"/>
    </row>
    <row r="76" spans="1:39">
      <c r="A76" s="1241"/>
      <c r="B76" s="1241"/>
      <c r="C76" s="1280"/>
      <c r="D76" s="410">
        <v>65</v>
      </c>
      <c r="E76" s="1406">
        <v>100</v>
      </c>
      <c r="F76" s="1407">
        <v>12</v>
      </c>
      <c r="G76" s="1432">
        <v>17.899999999999999</v>
      </c>
      <c r="H76" s="1409">
        <v>22.8</v>
      </c>
      <c r="I76" s="1410">
        <v>12</v>
      </c>
      <c r="J76" s="1411">
        <v>4</v>
      </c>
      <c r="K76" s="1423">
        <v>209</v>
      </c>
      <c r="L76" s="1418">
        <v>29.5</v>
      </c>
      <c r="M76" s="1414">
        <v>3.03</v>
      </c>
      <c r="N76" s="1423">
        <v>331</v>
      </c>
      <c r="O76" s="1414">
        <v>3.81</v>
      </c>
      <c r="P76" s="1412">
        <v>86.84</v>
      </c>
      <c r="Q76" s="1418">
        <v>21.1</v>
      </c>
      <c r="R76" s="1414">
        <v>1.95</v>
      </c>
      <c r="S76" s="1424">
        <v>122</v>
      </c>
      <c r="T76" s="1415">
        <v>2.91</v>
      </c>
      <c r="U76" s="1241"/>
      <c r="V76" s="1241"/>
      <c r="W76" s="1241"/>
      <c r="X76" s="1241"/>
      <c r="Y76" s="1420"/>
      <c r="Z76" s="1420"/>
      <c r="AA76" s="1241"/>
      <c r="AB76" s="1241"/>
    </row>
    <row r="77" spans="1:39">
      <c r="A77" s="1241"/>
      <c r="B77" s="1241"/>
      <c r="C77" s="1280"/>
      <c r="D77" s="410">
        <v>66</v>
      </c>
      <c r="E77" s="1406">
        <v>100</v>
      </c>
      <c r="F77" s="1407">
        <v>14</v>
      </c>
      <c r="G77" s="1432">
        <v>20.6</v>
      </c>
      <c r="H77" s="1409">
        <v>26.23</v>
      </c>
      <c r="I77" s="1410">
        <v>12</v>
      </c>
      <c r="J77" s="1411">
        <v>4</v>
      </c>
      <c r="K77" s="1423">
        <v>237</v>
      </c>
      <c r="L77" s="1418">
        <v>33.799999999999997</v>
      </c>
      <c r="M77" s="1414">
        <v>3</v>
      </c>
      <c r="N77" s="1423">
        <v>375</v>
      </c>
      <c r="O77" s="1414">
        <v>3.78</v>
      </c>
      <c r="P77" s="1412">
        <v>99.32</v>
      </c>
      <c r="Q77" s="1418">
        <v>23.5</v>
      </c>
      <c r="R77" s="1414">
        <v>1.94</v>
      </c>
      <c r="S77" s="1424">
        <v>138</v>
      </c>
      <c r="T77" s="1415">
        <v>2.99</v>
      </c>
      <c r="U77" s="1241"/>
      <c r="V77" s="1241"/>
      <c r="W77" s="1241"/>
      <c r="X77" s="1241"/>
      <c r="Y77" s="1420"/>
      <c r="Z77" s="1420"/>
      <c r="AA77" s="1241"/>
      <c r="AB77" s="1241"/>
    </row>
    <row r="78" spans="1:39">
      <c r="A78" s="1241"/>
      <c r="B78" s="1241"/>
      <c r="C78" s="1372" t="s">
        <v>1550</v>
      </c>
      <c r="D78" s="410">
        <v>67</v>
      </c>
      <c r="E78" s="1406">
        <v>100</v>
      </c>
      <c r="F78" s="1407" t="s">
        <v>1556</v>
      </c>
      <c r="G78" s="1432">
        <v>21.97</v>
      </c>
      <c r="H78" s="1409">
        <v>27.99</v>
      </c>
      <c r="I78" s="1410">
        <v>12</v>
      </c>
      <c r="J78" s="1411">
        <v>4</v>
      </c>
      <c r="K78" s="1423">
        <v>250.68</v>
      </c>
      <c r="L78" s="1418">
        <v>35.950000000000003</v>
      </c>
      <c r="M78" s="1414">
        <v>2.99</v>
      </c>
      <c r="N78" s="1423">
        <v>395.87</v>
      </c>
      <c r="O78" s="1414">
        <v>3.76</v>
      </c>
      <c r="P78" s="1412">
        <v>105.48</v>
      </c>
      <c r="Q78" s="1418">
        <v>24.62</v>
      </c>
      <c r="R78" s="1414">
        <v>1.94</v>
      </c>
      <c r="S78" s="1424">
        <v>145</v>
      </c>
      <c r="T78" s="1415">
        <v>3.03</v>
      </c>
      <c r="U78" s="1241"/>
      <c r="V78" s="1241"/>
      <c r="W78" s="1241"/>
      <c r="X78" s="1241"/>
      <c r="Y78" s="1420"/>
      <c r="Z78" s="1420"/>
      <c r="AA78" s="1241"/>
      <c r="AB78" s="1241"/>
    </row>
    <row r="79" spans="1:39">
      <c r="A79" s="1241"/>
      <c r="B79" s="1241"/>
      <c r="C79" s="1280"/>
      <c r="D79" s="410">
        <v>68</v>
      </c>
      <c r="E79" s="1340">
        <v>100</v>
      </c>
      <c r="F79" s="1399">
        <v>16</v>
      </c>
      <c r="G79" s="1433">
        <v>23.3</v>
      </c>
      <c r="H79" s="1343">
        <v>29.67</v>
      </c>
      <c r="I79" s="1401">
        <v>12</v>
      </c>
      <c r="J79" s="1345">
        <v>4</v>
      </c>
      <c r="K79" s="1434">
        <v>264</v>
      </c>
      <c r="L79" s="1347">
        <v>38.04</v>
      </c>
      <c r="M79" s="1348">
        <v>2.98</v>
      </c>
      <c r="N79" s="1434">
        <v>416</v>
      </c>
      <c r="O79" s="1348">
        <v>3.74</v>
      </c>
      <c r="P79" s="1434">
        <v>111.6</v>
      </c>
      <c r="Q79" s="1347">
        <v>25.79</v>
      </c>
      <c r="R79" s="1348">
        <v>1.94</v>
      </c>
      <c r="S79" s="1435">
        <v>152</v>
      </c>
      <c r="T79" s="1351">
        <v>3.06</v>
      </c>
      <c r="U79" s="1241"/>
      <c r="V79" s="1241"/>
      <c r="W79" s="1241"/>
      <c r="X79" s="1241"/>
      <c r="Y79" s="1420"/>
      <c r="Z79" s="1420"/>
      <c r="AA79" s="1241"/>
      <c r="AB79" s="1241"/>
    </row>
    <row r="80" spans="1:39">
      <c r="A80" s="1241"/>
      <c r="B80" s="1241"/>
      <c r="C80" s="1280"/>
      <c r="D80" s="410">
        <v>69</v>
      </c>
      <c r="E80" s="1352">
        <v>110</v>
      </c>
      <c r="F80" s="1353">
        <v>7</v>
      </c>
      <c r="G80" s="1436">
        <v>11.9</v>
      </c>
      <c r="H80" s="1355">
        <v>15.15</v>
      </c>
      <c r="I80" s="1356">
        <v>12</v>
      </c>
      <c r="J80" s="1357">
        <v>4</v>
      </c>
      <c r="K80" s="1425">
        <v>175.6</v>
      </c>
      <c r="L80" s="1437">
        <v>21.8</v>
      </c>
      <c r="M80" s="1360">
        <v>3.4</v>
      </c>
      <c r="N80" s="1425">
        <v>279</v>
      </c>
      <c r="O80" s="1360">
        <v>4.29</v>
      </c>
      <c r="P80" s="1358">
        <v>72.680000000000007</v>
      </c>
      <c r="Q80" s="1438">
        <v>17.36</v>
      </c>
      <c r="R80" s="1360">
        <v>2.19</v>
      </c>
      <c r="S80" s="1426">
        <v>106</v>
      </c>
      <c r="T80" s="1361">
        <v>2.96</v>
      </c>
      <c r="U80" s="1241"/>
      <c r="V80" s="1241"/>
      <c r="W80" s="1241"/>
      <c r="X80" s="1241"/>
      <c r="Y80" s="1420"/>
      <c r="Z80" s="1420"/>
      <c r="AA80" s="1241"/>
      <c r="AB80" s="1241"/>
    </row>
    <row r="81" spans="1:39" s="34" customFormat="1">
      <c r="A81" s="1325"/>
      <c r="B81" s="1325"/>
      <c r="C81" s="1383"/>
      <c r="D81" s="410">
        <v>70</v>
      </c>
      <c r="E81" s="1373">
        <v>110</v>
      </c>
      <c r="F81" s="1374">
        <v>8</v>
      </c>
      <c r="G81" s="1439">
        <v>13.5</v>
      </c>
      <c r="H81" s="1376">
        <v>17.2</v>
      </c>
      <c r="I81" s="1377">
        <v>12</v>
      </c>
      <c r="J81" s="1378">
        <v>4</v>
      </c>
      <c r="K81" s="1421">
        <v>198.2</v>
      </c>
      <c r="L81" s="1440">
        <v>24.8</v>
      </c>
      <c r="M81" s="1381">
        <v>3.39</v>
      </c>
      <c r="N81" s="1421">
        <v>315</v>
      </c>
      <c r="O81" s="1381">
        <v>4.28</v>
      </c>
      <c r="P81" s="1379">
        <v>81.83</v>
      </c>
      <c r="Q81" s="1441">
        <v>19.29</v>
      </c>
      <c r="R81" s="1381">
        <v>2.1800000000000002</v>
      </c>
      <c r="S81" s="1442">
        <v>116</v>
      </c>
      <c r="T81" s="1382">
        <v>3</v>
      </c>
      <c r="U81" s="1325"/>
      <c r="V81" s="1325"/>
      <c r="W81" s="1325"/>
      <c r="X81" s="1325"/>
      <c r="Y81" s="1338"/>
      <c r="Z81" s="1338"/>
      <c r="AA81" s="1325"/>
      <c r="AB81" s="1325"/>
      <c r="AC81" s="1416"/>
      <c r="AD81" s="1416"/>
      <c r="AE81" s="1416"/>
      <c r="AF81" s="1416"/>
      <c r="AG81" s="1416"/>
      <c r="AH81" s="1416"/>
      <c r="AI81" s="1416"/>
      <c r="AJ81" s="1416"/>
      <c r="AK81" s="1416"/>
      <c r="AL81" s="1416"/>
      <c r="AM81" s="1416"/>
    </row>
    <row r="82" spans="1:39" s="34" customFormat="1">
      <c r="A82" s="1325"/>
      <c r="B82" s="1325"/>
      <c r="C82" s="1372" t="s">
        <v>1550</v>
      </c>
      <c r="D82" s="410">
        <v>71</v>
      </c>
      <c r="E82" s="1406">
        <v>120</v>
      </c>
      <c r="F82" s="1407" t="s">
        <v>1554</v>
      </c>
      <c r="G82" s="1432">
        <v>14.76</v>
      </c>
      <c r="H82" s="1409">
        <v>18.8</v>
      </c>
      <c r="I82" s="1410">
        <v>12</v>
      </c>
      <c r="J82" s="1411">
        <v>4</v>
      </c>
      <c r="K82" s="1423">
        <v>259.75</v>
      </c>
      <c r="L82" s="1418">
        <v>29.68</v>
      </c>
      <c r="M82" s="1414">
        <v>3.72</v>
      </c>
      <c r="N82" s="1423">
        <v>412.45</v>
      </c>
      <c r="O82" s="1414">
        <v>4.68</v>
      </c>
      <c r="P82" s="1412">
        <v>107.04</v>
      </c>
      <c r="Q82" s="1413">
        <v>23.29</v>
      </c>
      <c r="R82" s="1414">
        <v>2.39</v>
      </c>
      <c r="S82" s="1424">
        <v>153</v>
      </c>
      <c r="T82" s="1415">
        <v>3.25</v>
      </c>
      <c r="U82" s="1325"/>
      <c r="V82" s="1325"/>
      <c r="W82" s="1325"/>
      <c r="X82" s="1325"/>
      <c r="Y82" s="1338"/>
      <c r="Z82" s="1338"/>
      <c r="AA82" s="1325"/>
      <c r="AB82" s="1325"/>
      <c r="AC82" s="1416"/>
      <c r="AD82" s="1416"/>
      <c r="AE82" s="1416"/>
      <c r="AF82" s="1416"/>
      <c r="AG82" s="1416"/>
      <c r="AH82" s="1416"/>
      <c r="AI82" s="1416"/>
      <c r="AJ82" s="1416"/>
      <c r="AK82" s="1416"/>
      <c r="AL82" s="1416"/>
      <c r="AM82" s="1416"/>
    </row>
    <row r="83" spans="1:39" s="34" customFormat="1">
      <c r="A83" s="1325"/>
      <c r="B83" s="1325"/>
      <c r="C83" s="1372" t="s">
        <v>1550</v>
      </c>
      <c r="D83" s="410">
        <v>72</v>
      </c>
      <c r="E83" s="1406">
        <v>120</v>
      </c>
      <c r="F83" s="1407" t="s">
        <v>1484</v>
      </c>
      <c r="G83" s="1432">
        <v>18.239999999999998</v>
      </c>
      <c r="H83" s="1409">
        <v>23.24</v>
      </c>
      <c r="I83" s="1410">
        <v>12</v>
      </c>
      <c r="J83" s="1411">
        <v>4</v>
      </c>
      <c r="K83" s="1423">
        <v>317.16000000000003</v>
      </c>
      <c r="L83" s="1418">
        <v>36.590000000000003</v>
      </c>
      <c r="M83" s="1414">
        <v>3.69</v>
      </c>
      <c r="N83" s="1423">
        <v>503.79</v>
      </c>
      <c r="O83" s="1414">
        <v>4.66</v>
      </c>
      <c r="P83" s="1412">
        <v>130.54</v>
      </c>
      <c r="Q83" s="1413">
        <v>27.72</v>
      </c>
      <c r="R83" s="1414">
        <v>2.37</v>
      </c>
      <c r="S83" s="1424">
        <v>187</v>
      </c>
      <c r="T83" s="1415">
        <v>3.33</v>
      </c>
      <c r="U83" s="1325"/>
      <c r="V83" s="1325"/>
      <c r="W83" s="1325"/>
      <c r="X83" s="1325"/>
      <c r="Y83" s="1338"/>
      <c r="Z83" s="1338"/>
      <c r="AA83" s="1325"/>
      <c r="AB83" s="1325"/>
      <c r="AC83" s="1416"/>
      <c r="AD83" s="1416"/>
      <c r="AE83" s="1416"/>
      <c r="AF83" s="1416"/>
      <c r="AG83" s="1416"/>
      <c r="AH83" s="1416"/>
      <c r="AI83" s="1416"/>
      <c r="AJ83" s="1416"/>
      <c r="AK83" s="1416"/>
      <c r="AL83" s="1416"/>
      <c r="AM83" s="1416"/>
    </row>
    <row r="84" spans="1:39" s="34" customFormat="1">
      <c r="A84" s="1325"/>
      <c r="B84" s="1325"/>
      <c r="C84" s="1372" t="s">
        <v>1550</v>
      </c>
      <c r="D84" s="410">
        <v>73</v>
      </c>
      <c r="E84" s="1406">
        <v>120</v>
      </c>
      <c r="F84" s="1407" t="s">
        <v>1482</v>
      </c>
      <c r="G84" s="1432">
        <v>21.67</v>
      </c>
      <c r="H84" s="1409">
        <v>27.6</v>
      </c>
      <c r="I84" s="1410">
        <v>12</v>
      </c>
      <c r="J84" s="1411">
        <v>4</v>
      </c>
      <c r="K84" s="1423">
        <v>371.8</v>
      </c>
      <c r="L84" s="1418">
        <v>43.3</v>
      </c>
      <c r="M84" s="1414">
        <v>3.67</v>
      </c>
      <c r="N84" s="1423">
        <v>590.28</v>
      </c>
      <c r="O84" s="1414">
        <v>4.62</v>
      </c>
      <c r="P84" s="1412">
        <v>153.33000000000001</v>
      </c>
      <c r="Q84" s="1413">
        <v>31.79</v>
      </c>
      <c r="R84" s="1414">
        <v>2.36</v>
      </c>
      <c r="S84" s="1424">
        <v>218</v>
      </c>
      <c r="T84" s="1415">
        <v>3.41</v>
      </c>
      <c r="U84" s="1325"/>
      <c r="V84" s="1325"/>
      <c r="W84" s="1325"/>
      <c r="X84" s="1325"/>
      <c r="Y84" s="1338"/>
      <c r="Z84" s="1338"/>
      <c r="AA84" s="1325"/>
      <c r="AB84" s="1325"/>
      <c r="AC84" s="1416"/>
      <c r="AD84" s="1416"/>
      <c r="AE84" s="1416"/>
      <c r="AF84" s="1416"/>
      <c r="AG84" s="1416"/>
      <c r="AH84" s="1416"/>
      <c r="AI84" s="1416"/>
      <c r="AJ84" s="1416"/>
      <c r="AK84" s="1416"/>
      <c r="AL84" s="1416"/>
      <c r="AM84" s="1416"/>
    </row>
    <row r="85" spans="1:39">
      <c r="A85" s="1241"/>
      <c r="B85" s="1241"/>
      <c r="C85" s="1372" t="s">
        <v>1550</v>
      </c>
      <c r="D85" s="410">
        <v>74</v>
      </c>
      <c r="E85" s="1406">
        <v>120</v>
      </c>
      <c r="F85" s="1407" t="s">
        <v>1556</v>
      </c>
      <c r="G85" s="1432">
        <v>26.68</v>
      </c>
      <c r="H85" s="1409">
        <v>33.99</v>
      </c>
      <c r="I85" s="1410">
        <v>12</v>
      </c>
      <c r="J85" s="1411">
        <v>4</v>
      </c>
      <c r="K85" s="1423">
        <v>448.9</v>
      </c>
      <c r="L85" s="1418">
        <v>52.96</v>
      </c>
      <c r="M85" s="1414">
        <v>3.63</v>
      </c>
      <c r="N85" s="1423">
        <v>711.32</v>
      </c>
      <c r="O85" s="1414">
        <v>4.57</v>
      </c>
      <c r="P85" s="1412">
        <v>186.48</v>
      </c>
      <c r="Q85" s="1413">
        <v>37.35</v>
      </c>
      <c r="R85" s="1414">
        <v>2.34</v>
      </c>
      <c r="S85" s="1424">
        <v>262</v>
      </c>
      <c r="T85" s="1415">
        <v>3.53</v>
      </c>
      <c r="U85" s="1241"/>
      <c r="V85" s="1241"/>
      <c r="W85" s="1241"/>
      <c r="X85" s="1241"/>
      <c r="Y85" s="1420"/>
      <c r="Z85" s="1420"/>
      <c r="AA85" s="1241"/>
      <c r="AB85" s="1241"/>
    </row>
    <row r="86" spans="1:39">
      <c r="A86" s="1241"/>
      <c r="B86" s="1241"/>
      <c r="C86" s="1280"/>
      <c r="D86" s="410">
        <v>75</v>
      </c>
      <c r="E86" s="1352">
        <v>125</v>
      </c>
      <c r="F86" s="1353">
        <v>8</v>
      </c>
      <c r="G86" s="1436">
        <v>15.5</v>
      </c>
      <c r="H86" s="1355">
        <v>19.739999999999998</v>
      </c>
      <c r="I86" s="1356">
        <v>14</v>
      </c>
      <c r="J86" s="1357">
        <v>4.5999999999999996</v>
      </c>
      <c r="K86" s="1425">
        <v>294.39999999999998</v>
      </c>
      <c r="L86" s="1369">
        <v>32.200000000000003</v>
      </c>
      <c r="M86" s="1360">
        <v>3.87</v>
      </c>
      <c r="N86" s="1425">
        <v>467</v>
      </c>
      <c r="O86" s="1360">
        <v>4.87</v>
      </c>
      <c r="P86" s="1425">
        <v>122</v>
      </c>
      <c r="Q86" s="1443">
        <v>25.7</v>
      </c>
      <c r="R86" s="1360">
        <v>2.4900000000000002</v>
      </c>
      <c r="S86" s="1426">
        <v>172</v>
      </c>
      <c r="T86" s="1361">
        <v>3.36</v>
      </c>
      <c r="U86" s="1241"/>
      <c r="V86" s="1241"/>
      <c r="W86" s="1241"/>
      <c r="X86" s="1241"/>
      <c r="Y86" s="1420"/>
      <c r="Z86" s="1420"/>
      <c r="AA86" s="1241"/>
      <c r="AB86" s="1241"/>
    </row>
    <row r="87" spans="1:39">
      <c r="A87" s="1241"/>
      <c r="B87" s="1241"/>
      <c r="C87" s="1280"/>
      <c r="D87" s="410">
        <v>76</v>
      </c>
      <c r="E87" s="1362">
        <v>125</v>
      </c>
      <c r="F87" s="1363">
        <v>9</v>
      </c>
      <c r="G87" s="1429">
        <v>17.3</v>
      </c>
      <c r="H87" s="1365">
        <v>22</v>
      </c>
      <c r="I87" s="1366">
        <v>14</v>
      </c>
      <c r="J87" s="1367">
        <v>4.5999999999999996</v>
      </c>
      <c r="K87" s="1427">
        <v>327.5</v>
      </c>
      <c r="L87" s="1369">
        <v>36</v>
      </c>
      <c r="M87" s="1370">
        <v>3.86</v>
      </c>
      <c r="N87" s="1427">
        <v>520</v>
      </c>
      <c r="O87" s="1370">
        <v>4.8600000000000003</v>
      </c>
      <c r="P87" s="1427">
        <v>135.9</v>
      </c>
      <c r="Q87" s="1444">
        <v>28.3</v>
      </c>
      <c r="R87" s="1370">
        <v>2.48</v>
      </c>
      <c r="S87" s="1428">
        <v>192</v>
      </c>
      <c r="T87" s="1371">
        <v>3.4</v>
      </c>
      <c r="U87" s="1241"/>
      <c r="V87" s="1241"/>
      <c r="W87" s="1241"/>
      <c r="X87" s="1241"/>
      <c r="Y87" s="1420"/>
      <c r="Z87" s="1420"/>
      <c r="AA87" s="1241"/>
      <c r="AB87" s="1241"/>
    </row>
    <row r="88" spans="1:39">
      <c r="A88" s="1241"/>
      <c r="B88" s="1241"/>
      <c r="C88" s="1280"/>
      <c r="D88" s="410">
        <v>77</v>
      </c>
      <c r="E88" s="1362">
        <v>125</v>
      </c>
      <c r="F88" s="1363">
        <v>10</v>
      </c>
      <c r="G88" s="1429">
        <v>19.100000000000001</v>
      </c>
      <c r="H88" s="1365">
        <v>24.3</v>
      </c>
      <c r="I88" s="1366">
        <v>14</v>
      </c>
      <c r="J88" s="1367">
        <v>4.5999999999999996</v>
      </c>
      <c r="K88" s="1427">
        <v>359.8</v>
      </c>
      <c r="L88" s="1369">
        <v>39.74</v>
      </c>
      <c r="M88" s="1370">
        <v>3.85</v>
      </c>
      <c r="N88" s="1427">
        <v>571</v>
      </c>
      <c r="O88" s="1370">
        <v>4.84</v>
      </c>
      <c r="P88" s="1427">
        <v>148.6</v>
      </c>
      <c r="Q88" s="1444">
        <v>30.5</v>
      </c>
      <c r="R88" s="1370">
        <v>2.4700000000000002</v>
      </c>
      <c r="S88" s="1428">
        <v>211</v>
      </c>
      <c r="T88" s="1371">
        <v>3.45</v>
      </c>
      <c r="U88" s="1241"/>
      <c r="V88" s="1241"/>
      <c r="W88" s="1241"/>
      <c r="X88" s="1241"/>
      <c r="Y88" s="1420"/>
      <c r="Z88" s="1420"/>
      <c r="AA88" s="1241"/>
      <c r="AB88" s="1241"/>
    </row>
    <row r="89" spans="1:39">
      <c r="A89" s="1241"/>
      <c r="B89" s="1241"/>
      <c r="C89" s="1280"/>
      <c r="D89" s="410">
        <v>78</v>
      </c>
      <c r="E89" s="1362">
        <v>125</v>
      </c>
      <c r="F89" s="1363">
        <v>12</v>
      </c>
      <c r="G89" s="1429">
        <v>22.7</v>
      </c>
      <c r="H89" s="1365">
        <v>28.91</v>
      </c>
      <c r="I89" s="1366">
        <v>14</v>
      </c>
      <c r="J89" s="1367">
        <v>4.5999999999999996</v>
      </c>
      <c r="K89" s="1427">
        <v>422.2</v>
      </c>
      <c r="L89" s="1369">
        <v>47.06</v>
      </c>
      <c r="M89" s="1370">
        <v>3.82</v>
      </c>
      <c r="N89" s="1427">
        <v>670</v>
      </c>
      <c r="O89" s="1370">
        <v>4.82</v>
      </c>
      <c r="P89" s="1427">
        <v>174.4</v>
      </c>
      <c r="Q89" s="1444">
        <v>34.9</v>
      </c>
      <c r="R89" s="1370">
        <v>2.46</v>
      </c>
      <c r="S89" s="1428">
        <v>248</v>
      </c>
      <c r="T89" s="1371">
        <v>3.53</v>
      </c>
      <c r="U89" s="1241"/>
      <c r="V89" s="1241"/>
      <c r="W89" s="1241"/>
      <c r="X89" s="1241"/>
      <c r="Y89" s="1420"/>
      <c r="Z89" s="1420"/>
      <c r="AA89" s="1241"/>
      <c r="AB89" s="1241"/>
    </row>
    <row r="90" spans="1:39">
      <c r="A90" s="1241"/>
      <c r="B90" s="1241"/>
      <c r="C90" s="1280"/>
      <c r="D90" s="410">
        <v>79</v>
      </c>
      <c r="E90" s="1362">
        <v>125</v>
      </c>
      <c r="F90" s="1363">
        <v>14</v>
      </c>
      <c r="G90" s="1429">
        <v>26.2</v>
      </c>
      <c r="H90" s="1365">
        <v>33.369999999999997</v>
      </c>
      <c r="I90" s="1366">
        <v>14</v>
      </c>
      <c r="J90" s="1367">
        <v>4.5999999999999996</v>
      </c>
      <c r="K90" s="1427">
        <v>481.8</v>
      </c>
      <c r="L90" s="1369">
        <v>54.17</v>
      </c>
      <c r="M90" s="1370">
        <v>3.8</v>
      </c>
      <c r="N90" s="1427">
        <v>764</v>
      </c>
      <c r="O90" s="1370">
        <v>4.78</v>
      </c>
      <c r="P90" s="1427">
        <v>199.6</v>
      </c>
      <c r="Q90" s="1444">
        <v>39.1</v>
      </c>
      <c r="R90" s="1370">
        <v>2.4500000000000002</v>
      </c>
      <c r="S90" s="1428">
        <v>282</v>
      </c>
      <c r="T90" s="1371">
        <v>3.61</v>
      </c>
      <c r="U90" s="1241"/>
      <c r="V90" s="1241"/>
      <c r="W90" s="1241"/>
      <c r="X90" s="1241"/>
      <c r="Y90" s="1420"/>
      <c r="Z90" s="1420"/>
      <c r="AA90" s="1241"/>
      <c r="AB90" s="1241"/>
    </row>
    <row r="91" spans="1:39">
      <c r="A91" s="1241"/>
      <c r="B91" s="1241"/>
      <c r="C91" s="1280"/>
      <c r="D91" s="410">
        <v>80</v>
      </c>
      <c r="E91" s="1373">
        <v>125</v>
      </c>
      <c r="F91" s="1374">
        <v>16</v>
      </c>
      <c r="G91" s="1439">
        <v>29.6</v>
      </c>
      <c r="H91" s="1376">
        <v>37.700000000000003</v>
      </c>
      <c r="I91" s="1377">
        <v>14</v>
      </c>
      <c r="J91" s="1378">
        <v>4.5999999999999996</v>
      </c>
      <c r="K91" s="1421">
        <v>538.6</v>
      </c>
      <c r="L91" s="1380">
        <v>61.09</v>
      </c>
      <c r="M91" s="1381">
        <v>3.78</v>
      </c>
      <c r="N91" s="1421">
        <v>853</v>
      </c>
      <c r="O91" s="1381">
        <v>4.75</v>
      </c>
      <c r="P91" s="1421">
        <v>224.3</v>
      </c>
      <c r="Q91" s="1380">
        <v>43.1</v>
      </c>
      <c r="R91" s="1381">
        <v>2.44</v>
      </c>
      <c r="S91" s="1442">
        <v>315</v>
      </c>
      <c r="T91" s="1382">
        <v>3.68</v>
      </c>
      <c r="U91" s="1241"/>
      <c r="V91" s="1241"/>
      <c r="W91" s="1241"/>
      <c r="X91" s="1241"/>
      <c r="Y91" s="1420"/>
      <c r="Z91" s="1420"/>
      <c r="AA91" s="1241"/>
      <c r="AB91" s="1241"/>
    </row>
    <row r="92" spans="1:39">
      <c r="A92" s="1241"/>
      <c r="B92" s="1241"/>
      <c r="C92" s="1280"/>
      <c r="D92" s="410">
        <v>81</v>
      </c>
      <c r="E92" s="1326">
        <v>140</v>
      </c>
      <c r="F92" s="1394">
        <v>9</v>
      </c>
      <c r="G92" s="1430">
        <v>19.399999999999999</v>
      </c>
      <c r="H92" s="1329">
        <v>24.72</v>
      </c>
      <c r="I92" s="1396">
        <v>14</v>
      </c>
      <c r="J92" s="1331">
        <v>4.5999999999999996</v>
      </c>
      <c r="K92" s="1422">
        <v>465.7</v>
      </c>
      <c r="L92" s="1445">
        <v>45.55</v>
      </c>
      <c r="M92" s="1334">
        <v>4.34</v>
      </c>
      <c r="N92" s="1422">
        <v>739</v>
      </c>
      <c r="O92" s="1334">
        <v>5.47</v>
      </c>
      <c r="P92" s="1422">
        <v>192</v>
      </c>
      <c r="Q92" s="1417">
        <v>35.9</v>
      </c>
      <c r="R92" s="1334">
        <v>2.79</v>
      </c>
      <c r="S92" s="1431">
        <v>274</v>
      </c>
      <c r="T92" s="1337">
        <v>3.78</v>
      </c>
      <c r="U92" s="1241"/>
      <c r="V92" s="1241"/>
      <c r="W92" s="1241"/>
      <c r="X92" s="1241"/>
      <c r="Y92" s="1420"/>
      <c r="Z92" s="1420"/>
      <c r="AA92" s="1241"/>
      <c r="AB92" s="1241"/>
    </row>
    <row r="93" spans="1:39">
      <c r="A93" s="1241"/>
      <c r="B93" s="1241"/>
      <c r="C93" s="1280"/>
      <c r="D93" s="410">
        <v>82</v>
      </c>
      <c r="E93" s="1406">
        <v>140</v>
      </c>
      <c r="F93" s="1407">
        <v>10</v>
      </c>
      <c r="G93" s="1432">
        <v>21.5</v>
      </c>
      <c r="H93" s="1409">
        <v>27.33</v>
      </c>
      <c r="I93" s="1410">
        <v>14</v>
      </c>
      <c r="J93" s="1411">
        <v>4.5999999999999996</v>
      </c>
      <c r="K93" s="1423">
        <v>512.29999999999995</v>
      </c>
      <c r="L93" s="1413">
        <v>50.32</v>
      </c>
      <c r="M93" s="1414">
        <v>4.33</v>
      </c>
      <c r="N93" s="1423">
        <v>814</v>
      </c>
      <c r="O93" s="1414">
        <v>5.46</v>
      </c>
      <c r="P93" s="1423">
        <v>211</v>
      </c>
      <c r="Q93" s="1418">
        <v>39.1</v>
      </c>
      <c r="R93" s="1414">
        <v>2.78</v>
      </c>
      <c r="S93" s="1424">
        <v>301</v>
      </c>
      <c r="T93" s="1415">
        <v>3.82</v>
      </c>
      <c r="U93" s="1241"/>
      <c r="V93" s="1241"/>
      <c r="W93" s="1241"/>
      <c r="X93" s="1241"/>
      <c r="Y93" s="1420"/>
      <c r="Z93" s="1420"/>
      <c r="AA93" s="1241"/>
      <c r="AB93" s="1241"/>
    </row>
    <row r="94" spans="1:39">
      <c r="A94" s="1241"/>
      <c r="B94" s="1241"/>
      <c r="C94" s="1280"/>
      <c r="D94" s="410">
        <v>83</v>
      </c>
      <c r="E94" s="1340">
        <v>140</v>
      </c>
      <c r="F94" s="1399">
        <v>12</v>
      </c>
      <c r="G94" s="1433">
        <v>25.5</v>
      </c>
      <c r="H94" s="1343">
        <v>32.49</v>
      </c>
      <c r="I94" s="1401">
        <v>14</v>
      </c>
      <c r="J94" s="1345">
        <v>4.5999999999999996</v>
      </c>
      <c r="K94" s="1434">
        <v>602.5</v>
      </c>
      <c r="L94" s="1347">
        <v>59.66</v>
      </c>
      <c r="M94" s="1348">
        <v>4.3099999999999996</v>
      </c>
      <c r="N94" s="1434">
        <v>957</v>
      </c>
      <c r="O94" s="1348">
        <v>5.43</v>
      </c>
      <c r="P94" s="1434">
        <v>248</v>
      </c>
      <c r="Q94" s="1347">
        <v>44.97</v>
      </c>
      <c r="R94" s="1348">
        <v>2.76</v>
      </c>
      <c r="S94" s="1435">
        <v>354</v>
      </c>
      <c r="T94" s="1351">
        <v>3.9</v>
      </c>
      <c r="U94" s="1241"/>
      <c r="V94" s="1241"/>
      <c r="W94" s="1241"/>
      <c r="X94" s="1241"/>
      <c r="Y94" s="1420"/>
      <c r="Z94" s="1420"/>
      <c r="AA94" s="1241"/>
      <c r="AB94" s="1241"/>
    </row>
    <row r="95" spans="1:39">
      <c r="A95" s="1241"/>
      <c r="B95" s="1241"/>
      <c r="C95" s="1372" t="s">
        <v>1550</v>
      </c>
      <c r="D95" s="410">
        <v>84</v>
      </c>
      <c r="E95" s="1362">
        <v>150</v>
      </c>
      <c r="F95" s="1363" t="s">
        <v>1484</v>
      </c>
      <c r="G95" s="1429">
        <v>23.02</v>
      </c>
      <c r="H95" s="1365">
        <v>29.33</v>
      </c>
      <c r="I95" s="1366">
        <v>14</v>
      </c>
      <c r="J95" s="1367">
        <v>4.5999999999999996</v>
      </c>
      <c r="K95" s="1427">
        <v>634.76</v>
      </c>
      <c r="L95" s="1369">
        <v>58.07</v>
      </c>
      <c r="M95" s="1370">
        <v>4.6500000000000004</v>
      </c>
      <c r="N95" s="1427">
        <v>1008.56</v>
      </c>
      <c r="O95" s="1370">
        <v>5.86</v>
      </c>
      <c r="P95" s="1427">
        <v>260.97000000000003</v>
      </c>
      <c r="Q95" s="1369">
        <v>45.34</v>
      </c>
      <c r="R95" s="1370">
        <v>2.98</v>
      </c>
      <c r="S95" s="1428">
        <v>374</v>
      </c>
      <c r="T95" s="1371">
        <v>4.07</v>
      </c>
      <c r="U95" s="1241"/>
      <c r="V95" s="1241"/>
      <c r="W95" s="1241"/>
      <c r="X95" s="1241"/>
      <c r="Y95" s="1420"/>
      <c r="Z95" s="1420"/>
      <c r="AA95" s="1241"/>
      <c r="AB95" s="1241"/>
    </row>
    <row r="96" spans="1:39">
      <c r="A96" s="1241"/>
      <c r="B96" s="1241"/>
      <c r="C96" s="1372" t="s">
        <v>1550</v>
      </c>
      <c r="D96" s="410">
        <v>85</v>
      </c>
      <c r="E96" s="1362">
        <v>150</v>
      </c>
      <c r="F96" s="1363" t="s">
        <v>1482</v>
      </c>
      <c r="G96" s="1429">
        <v>27.39</v>
      </c>
      <c r="H96" s="1365">
        <v>34.89</v>
      </c>
      <c r="I96" s="1366">
        <v>14</v>
      </c>
      <c r="J96" s="1367">
        <v>4.5999999999999996</v>
      </c>
      <c r="K96" s="1427">
        <v>747.48</v>
      </c>
      <c r="L96" s="1369">
        <v>68.900000000000006</v>
      </c>
      <c r="M96" s="1370">
        <v>4.63</v>
      </c>
      <c r="N96" s="1427">
        <v>1187.8599999999999</v>
      </c>
      <c r="O96" s="1370">
        <v>5.83</v>
      </c>
      <c r="P96" s="1427">
        <v>307.08999999999997</v>
      </c>
      <c r="Q96" s="1369">
        <v>52.32</v>
      </c>
      <c r="R96" s="1370">
        <v>2.97</v>
      </c>
      <c r="S96" s="1428">
        <v>440</v>
      </c>
      <c r="T96" s="1371">
        <v>4.1500000000000004</v>
      </c>
      <c r="U96" s="1241"/>
      <c r="V96" s="1241"/>
      <c r="W96" s="1241"/>
      <c r="X96" s="1241"/>
      <c r="Y96" s="1420"/>
      <c r="Z96" s="1420"/>
      <c r="AA96" s="1241"/>
      <c r="AB96" s="1241"/>
    </row>
    <row r="97" spans="1:39">
      <c r="A97" s="1241"/>
      <c r="B97" s="1241"/>
      <c r="C97" s="1372" t="s">
        <v>1550</v>
      </c>
      <c r="D97" s="410">
        <v>86</v>
      </c>
      <c r="E97" s="1362">
        <v>150</v>
      </c>
      <c r="F97" s="1363" t="s">
        <v>1556</v>
      </c>
      <c r="G97" s="1429">
        <v>33.82</v>
      </c>
      <c r="H97" s="1365">
        <v>43.08</v>
      </c>
      <c r="I97" s="1366">
        <v>14</v>
      </c>
      <c r="J97" s="1367">
        <v>4.5999999999999996</v>
      </c>
      <c r="K97" s="1427">
        <v>908.38</v>
      </c>
      <c r="L97" s="1369">
        <v>84.66</v>
      </c>
      <c r="M97" s="1370">
        <v>4.59</v>
      </c>
      <c r="N97" s="1427">
        <v>1442.6</v>
      </c>
      <c r="O97" s="1370">
        <v>5.79</v>
      </c>
      <c r="P97" s="1427">
        <v>374.17</v>
      </c>
      <c r="Q97" s="1369">
        <v>61.96</v>
      </c>
      <c r="R97" s="1370">
        <v>2.95</v>
      </c>
      <c r="S97" s="1428">
        <v>534</v>
      </c>
      <c r="T97" s="1371">
        <v>4.2699999999999996</v>
      </c>
      <c r="U97" s="1241"/>
      <c r="V97" s="1241"/>
      <c r="W97" s="1241"/>
      <c r="X97" s="1241"/>
      <c r="Y97" s="1420"/>
      <c r="Z97" s="1420"/>
      <c r="AA97" s="1241"/>
      <c r="AB97" s="1241"/>
    </row>
    <row r="98" spans="1:39">
      <c r="A98" s="1241"/>
      <c r="B98" s="1241"/>
      <c r="C98" s="1372" t="s">
        <v>1550</v>
      </c>
      <c r="D98" s="410">
        <v>87</v>
      </c>
      <c r="E98" s="1362">
        <v>150</v>
      </c>
      <c r="F98" s="1363" t="s">
        <v>1557</v>
      </c>
      <c r="G98" s="1429">
        <v>40.11</v>
      </c>
      <c r="H98" s="1365">
        <v>51.09</v>
      </c>
      <c r="I98" s="1366">
        <v>14</v>
      </c>
      <c r="J98" s="1367">
        <v>4.5999999999999996</v>
      </c>
      <c r="K98" s="1427">
        <v>1060.08</v>
      </c>
      <c r="L98" s="1369">
        <v>99.86</v>
      </c>
      <c r="M98" s="1370">
        <v>4.5599999999999996</v>
      </c>
      <c r="N98" s="1427">
        <v>1680.92</v>
      </c>
      <c r="O98" s="1370">
        <v>5.74</v>
      </c>
      <c r="P98" s="1427">
        <v>439.24</v>
      </c>
      <c r="Q98" s="1369">
        <v>70.91</v>
      </c>
      <c r="R98" s="1370">
        <v>2.93</v>
      </c>
      <c r="S98" s="1428">
        <v>621</v>
      </c>
      <c r="T98" s="1371">
        <v>4.38</v>
      </c>
      <c r="U98" s="1241"/>
      <c r="V98" s="1241"/>
      <c r="W98" s="1241"/>
      <c r="X98" s="1241"/>
      <c r="Y98" s="1420"/>
      <c r="Z98" s="1420"/>
      <c r="AA98" s="1241"/>
      <c r="AB98" s="1241"/>
    </row>
    <row r="99" spans="1:39">
      <c r="A99" s="1241"/>
      <c r="B99" s="1241"/>
      <c r="C99" s="1280"/>
      <c r="D99" s="410">
        <v>88</v>
      </c>
      <c r="E99" s="1326">
        <v>160</v>
      </c>
      <c r="F99" s="1394">
        <v>10</v>
      </c>
      <c r="G99" s="1430">
        <v>24.7</v>
      </c>
      <c r="H99" s="1329">
        <v>31.4</v>
      </c>
      <c r="I99" s="1396">
        <v>16</v>
      </c>
      <c r="J99" s="1331">
        <v>5.3</v>
      </c>
      <c r="K99" s="1422">
        <v>774.2</v>
      </c>
      <c r="L99" s="1417">
        <v>66.2</v>
      </c>
      <c r="M99" s="1334">
        <v>4.96</v>
      </c>
      <c r="N99" s="1422">
        <v>1229</v>
      </c>
      <c r="O99" s="1334">
        <v>6.25</v>
      </c>
      <c r="P99" s="1422">
        <v>319</v>
      </c>
      <c r="Q99" s="1417">
        <v>52.5</v>
      </c>
      <c r="R99" s="1334">
        <v>3.19</v>
      </c>
      <c r="S99" s="1431">
        <v>455</v>
      </c>
      <c r="T99" s="1337">
        <v>4.3</v>
      </c>
      <c r="U99" s="1241"/>
      <c r="V99" s="1241"/>
      <c r="W99" s="1241"/>
      <c r="X99" s="1241"/>
      <c r="Y99" s="1420"/>
      <c r="Z99" s="1420"/>
      <c r="AA99" s="1241"/>
      <c r="AB99" s="1241"/>
    </row>
    <row r="100" spans="1:39">
      <c r="A100" s="1241"/>
      <c r="B100" s="1446"/>
      <c r="C100" s="1280"/>
      <c r="D100" s="410">
        <v>89</v>
      </c>
      <c r="E100" s="1406">
        <v>160</v>
      </c>
      <c r="F100" s="1407">
        <v>11</v>
      </c>
      <c r="G100" s="1432">
        <v>27</v>
      </c>
      <c r="H100" s="1409">
        <v>34.39</v>
      </c>
      <c r="I100" s="1410">
        <v>16</v>
      </c>
      <c r="J100" s="1411">
        <v>5.3</v>
      </c>
      <c r="K100" s="1423">
        <v>844.2</v>
      </c>
      <c r="L100" s="1418">
        <v>72.400000000000006</v>
      </c>
      <c r="M100" s="1414">
        <v>4.95</v>
      </c>
      <c r="N100" s="1423">
        <v>1341</v>
      </c>
      <c r="O100" s="1414">
        <v>6.24</v>
      </c>
      <c r="P100" s="1423">
        <v>348</v>
      </c>
      <c r="Q100" s="1418">
        <v>56.5</v>
      </c>
      <c r="R100" s="1414">
        <v>3.18</v>
      </c>
      <c r="S100" s="1424">
        <v>496</v>
      </c>
      <c r="T100" s="1415">
        <v>4.3499999999999996</v>
      </c>
      <c r="U100" s="1241"/>
      <c r="V100" s="1241"/>
      <c r="W100" s="1241"/>
      <c r="X100" s="1241"/>
      <c r="Y100" s="1420"/>
      <c r="Z100" s="1420"/>
      <c r="AA100" s="1241"/>
      <c r="AB100" s="1233">
        <v>25</v>
      </c>
    </row>
    <row r="101" spans="1:39">
      <c r="A101" s="1241"/>
      <c r="B101" s="1446"/>
      <c r="C101" s="1280"/>
      <c r="D101" s="410">
        <v>90</v>
      </c>
      <c r="E101" s="1406">
        <v>160</v>
      </c>
      <c r="F101" s="1407">
        <v>12</v>
      </c>
      <c r="G101" s="1432">
        <v>29.4</v>
      </c>
      <c r="H101" s="1409">
        <v>37.4</v>
      </c>
      <c r="I101" s="1410">
        <v>16</v>
      </c>
      <c r="J101" s="1411">
        <v>5.3</v>
      </c>
      <c r="K101" s="1423">
        <v>912.9</v>
      </c>
      <c r="L101" s="1418">
        <v>78.599999999999994</v>
      </c>
      <c r="M101" s="1414">
        <v>4.9400000000000004</v>
      </c>
      <c r="N101" s="1423">
        <v>1450</v>
      </c>
      <c r="O101" s="1414">
        <v>6.23</v>
      </c>
      <c r="P101" s="1423">
        <v>376</v>
      </c>
      <c r="Q101" s="1418">
        <v>60.5</v>
      </c>
      <c r="R101" s="1414">
        <v>3.17</v>
      </c>
      <c r="S101" s="1424">
        <v>537</v>
      </c>
      <c r="T101" s="1415">
        <v>4.3899999999999997</v>
      </c>
      <c r="U101" s="1241"/>
      <c r="V101" s="1241"/>
      <c r="W101" s="1241"/>
      <c r="X101" s="1241"/>
      <c r="Y101" s="1420"/>
      <c r="Z101" s="1420"/>
      <c r="AA101" s="1241"/>
      <c r="AB101" s="1234">
        <v>25</v>
      </c>
    </row>
    <row r="102" spans="1:39">
      <c r="A102" s="1241"/>
      <c r="B102" s="1446"/>
      <c r="C102" s="1280"/>
      <c r="D102" s="410">
        <v>91</v>
      </c>
      <c r="E102" s="1406">
        <v>160</v>
      </c>
      <c r="F102" s="1407">
        <v>14</v>
      </c>
      <c r="G102" s="1432">
        <v>34</v>
      </c>
      <c r="H102" s="1409">
        <v>43.3</v>
      </c>
      <c r="I102" s="1410">
        <v>16</v>
      </c>
      <c r="J102" s="1411">
        <v>5.3</v>
      </c>
      <c r="K102" s="1423">
        <v>1046.5</v>
      </c>
      <c r="L102" s="1418">
        <v>90.8</v>
      </c>
      <c r="M102" s="1414">
        <v>4.92</v>
      </c>
      <c r="N102" s="1423">
        <v>1662</v>
      </c>
      <c r="O102" s="1414">
        <v>6.2</v>
      </c>
      <c r="P102" s="1423">
        <v>431</v>
      </c>
      <c r="Q102" s="1418">
        <v>68.2</v>
      </c>
      <c r="R102" s="1414">
        <v>3.16</v>
      </c>
      <c r="S102" s="1424">
        <v>615</v>
      </c>
      <c r="T102" s="1415">
        <v>4.47</v>
      </c>
      <c r="U102" s="1241"/>
      <c r="V102" s="1241"/>
      <c r="W102" s="1241"/>
      <c r="X102" s="1241"/>
      <c r="Y102" s="1420"/>
      <c r="Z102" s="1420"/>
      <c r="AA102" s="1241"/>
      <c r="AB102" s="1235">
        <v>25</v>
      </c>
    </row>
    <row r="103" spans="1:39">
      <c r="A103" s="1241"/>
      <c r="B103" s="1446"/>
      <c r="C103" s="1280"/>
      <c r="D103" s="410">
        <v>92</v>
      </c>
      <c r="E103" s="1406">
        <v>160</v>
      </c>
      <c r="F103" s="1407">
        <v>16</v>
      </c>
      <c r="G103" s="1432">
        <v>38.5</v>
      </c>
      <c r="H103" s="1409">
        <v>49.03</v>
      </c>
      <c r="I103" s="1410">
        <v>16</v>
      </c>
      <c r="J103" s="1411">
        <v>5.3</v>
      </c>
      <c r="K103" s="1423">
        <v>1175.2</v>
      </c>
      <c r="L103" s="1418">
        <v>102.6</v>
      </c>
      <c r="M103" s="1414">
        <v>4.8899999999999997</v>
      </c>
      <c r="N103" s="1423">
        <v>1866</v>
      </c>
      <c r="O103" s="1414">
        <v>6.17</v>
      </c>
      <c r="P103" s="1423">
        <v>485</v>
      </c>
      <c r="Q103" s="1418">
        <v>75.900000000000006</v>
      </c>
      <c r="R103" s="1414">
        <v>3.14</v>
      </c>
      <c r="S103" s="1424">
        <v>690</v>
      </c>
      <c r="T103" s="1415">
        <v>4.55</v>
      </c>
      <c r="U103" s="1241"/>
      <c r="V103" s="1241"/>
      <c r="W103" s="1241"/>
      <c r="X103" s="1241"/>
      <c r="Y103" s="1420"/>
      <c r="Z103" s="1420"/>
      <c r="AA103" s="1241"/>
      <c r="AB103" s="1237"/>
    </row>
    <row r="104" spans="1:39">
      <c r="A104" s="1241"/>
      <c r="B104" s="1446"/>
      <c r="C104" s="1280"/>
      <c r="D104" s="410">
        <v>93</v>
      </c>
      <c r="E104" s="1406">
        <v>160</v>
      </c>
      <c r="F104" s="1407">
        <v>18</v>
      </c>
      <c r="G104" s="1432">
        <v>43</v>
      </c>
      <c r="H104" s="1409">
        <v>54.76</v>
      </c>
      <c r="I104" s="1410">
        <v>16</v>
      </c>
      <c r="J104" s="1411">
        <v>5.3</v>
      </c>
      <c r="K104" s="1423">
        <v>1290.2</v>
      </c>
      <c r="L104" s="1418">
        <v>114.2</v>
      </c>
      <c r="M104" s="1414">
        <v>4.87</v>
      </c>
      <c r="N104" s="1423">
        <v>2061</v>
      </c>
      <c r="O104" s="1414">
        <v>6.13</v>
      </c>
      <c r="P104" s="1423">
        <v>537</v>
      </c>
      <c r="Q104" s="1418">
        <v>82.1</v>
      </c>
      <c r="R104" s="1414">
        <v>3.13</v>
      </c>
      <c r="S104" s="1424">
        <v>771</v>
      </c>
      <c r="T104" s="1415">
        <v>4.63</v>
      </c>
      <c r="U104" s="1241"/>
      <c r="V104" s="1241"/>
      <c r="W104" s="1241"/>
      <c r="X104" s="1241"/>
      <c r="Y104" s="1420"/>
      <c r="Z104" s="1420"/>
      <c r="AA104" s="1241"/>
      <c r="AB104" s="1237"/>
    </row>
    <row r="105" spans="1:39">
      <c r="A105" s="1241"/>
      <c r="B105" s="1446"/>
      <c r="C105" s="1280"/>
      <c r="D105" s="410">
        <v>94</v>
      </c>
      <c r="E105" s="1340">
        <v>160</v>
      </c>
      <c r="F105" s="1399">
        <v>20</v>
      </c>
      <c r="G105" s="1433">
        <v>47.7</v>
      </c>
      <c r="H105" s="1343">
        <v>60.75</v>
      </c>
      <c r="I105" s="1410">
        <v>16</v>
      </c>
      <c r="J105" s="1411">
        <v>5.3</v>
      </c>
      <c r="K105" s="1434">
        <v>1418.9</v>
      </c>
      <c r="L105" s="1347">
        <v>125.6</v>
      </c>
      <c r="M105" s="1348">
        <v>4.8499999999999996</v>
      </c>
      <c r="N105" s="1434">
        <v>2248</v>
      </c>
      <c r="O105" s="1348">
        <v>6.1</v>
      </c>
      <c r="P105" s="1434">
        <v>589</v>
      </c>
      <c r="Q105" s="1347">
        <v>90.02</v>
      </c>
      <c r="R105" s="1348">
        <v>3.12</v>
      </c>
      <c r="S105" s="1435">
        <v>830</v>
      </c>
      <c r="T105" s="1351">
        <v>4.7</v>
      </c>
      <c r="U105" s="1241"/>
      <c r="V105" s="1241"/>
      <c r="W105" s="1241"/>
      <c r="X105" s="1241"/>
      <c r="Y105" s="1420"/>
      <c r="Z105" s="1420"/>
      <c r="AA105" s="1241"/>
      <c r="AB105" s="1237"/>
    </row>
    <row r="106" spans="1:39">
      <c r="A106" s="1241"/>
      <c r="B106" s="1446"/>
      <c r="C106" s="1280"/>
      <c r="D106" s="410">
        <v>95</v>
      </c>
      <c r="E106" s="1362">
        <v>180</v>
      </c>
      <c r="F106" s="1363">
        <v>11</v>
      </c>
      <c r="G106" s="1429">
        <v>30.5</v>
      </c>
      <c r="H106" s="1365">
        <v>38.799999999999997</v>
      </c>
      <c r="I106" s="1356">
        <v>16</v>
      </c>
      <c r="J106" s="1357">
        <v>5.3</v>
      </c>
      <c r="K106" s="1425">
        <v>1216</v>
      </c>
      <c r="L106" s="1437">
        <v>92.5</v>
      </c>
      <c r="M106" s="1360">
        <v>5.6</v>
      </c>
      <c r="N106" s="1425">
        <v>1933</v>
      </c>
      <c r="O106" s="1360">
        <v>7.06</v>
      </c>
      <c r="P106" s="1425">
        <v>500</v>
      </c>
      <c r="Q106" s="1437">
        <v>72.900000000000006</v>
      </c>
      <c r="R106" s="1360">
        <v>3.59</v>
      </c>
      <c r="S106" s="1426">
        <v>716</v>
      </c>
      <c r="T106" s="1361">
        <v>4.8499999999999996</v>
      </c>
      <c r="U106" s="1241"/>
      <c r="V106" s="1241"/>
      <c r="W106" s="1241"/>
      <c r="X106" s="1241"/>
      <c r="Y106" s="1420"/>
      <c r="Z106" s="1420"/>
      <c r="AA106" s="1241"/>
      <c r="AB106" s="1236"/>
    </row>
    <row r="107" spans="1:39" s="34" customFormat="1">
      <c r="A107" s="1325"/>
      <c r="B107" s="1446"/>
      <c r="C107" s="1383"/>
      <c r="D107" s="410">
        <v>96</v>
      </c>
      <c r="E107" s="1362">
        <v>180</v>
      </c>
      <c r="F107" s="1363">
        <v>12</v>
      </c>
      <c r="G107" s="1429">
        <v>33.1</v>
      </c>
      <c r="H107" s="1365">
        <v>42.2</v>
      </c>
      <c r="I107" s="1366">
        <v>16</v>
      </c>
      <c r="J107" s="1367">
        <v>5.3</v>
      </c>
      <c r="K107" s="1427">
        <v>1317</v>
      </c>
      <c r="L107" s="1447">
        <v>100.4</v>
      </c>
      <c r="M107" s="1370">
        <v>5.59</v>
      </c>
      <c r="N107" s="1427">
        <v>2093</v>
      </c>
      <c r="O107" s="1370">
        <v>7.04</v>
      </c>
      <c r="P107" s="1427">
        <v>540</v>
      </c>
      <c r="Q107" s="1447">
        <v>78.2</v>
      </c>
      <c r="R107" s="1370">
        <v>3.58</v>
      </c>
      <c r="S107" s="1428">
        <v>776</v>
      </c>
      <c r="T107" s="1371">
        <v>4.8899999999999997</v>
      </c>
      <c r="U107" s="1325"/>
      <c r="V107" s="1325"/>
      <c r="W107" s="1325"/>
      <c r="X107" s="1325"/>
      <c r="Y107" s="1338"/>
      <c r="Z107" s="1338"/>
      <c r="AA107" s="1325"/>
      <c r="AB107" s="1028"/>
      <c r="AC107" s="1416"/>
      <c r="AD107" s="1416"/>
      <c r="AE107" s="1416"/>
      <c r="AF107" s="1416"/>
      <c r="AG107" s="1416"/>
      <c r="AH107" s="1416"/>
      <c r="AI107" s="1416"/>
      <c r="AJ107" s="1416"/>
      <c r="AK107" s="1416"/>
      <c r="AL107" s="1416"/>
      <c r="AM107" s="1416"/>
    </row>
    <row r="108" spans="1:39" s="34" customFormat="1">
      <c r="A108" s="1325"/>
      <c r="B108" s="1448"/>
      <c r="C108" s="1372" t="s">
        <v>1550</v>
      </c>
      <c r="D108" s="410">
        <v>97</v>
      </c>
      <c r="E108" s="1362">
        <v>180</v>
      </c>
      <c r="F108" s="1363" t="s">
        <v>1556</v>
      </c>
      <c r="G108" s="1429">
        <v>40.96</v>
      </c>
      <c r="H108" s="1365">
        <v>52.18</v>
      </c>
      <c r="I108" s="1366">
        <v>16</v>
      </c>
      <c r="J108" s="1367">
        <v>5.3</v>
      </c>
      <c r="K108" s="1427">
        <v>1607.36</v>
      </c>
      <c r="L108" s="1447">
        <v>123.74</v>
      </c>
      <c r="M108" s="1370">
        <v>5.55</v>
      </c>
      <c r="N108" s="1427">
        <v>2554.9899999999998</v>
      </c>
      <c r="O108" s="1370">
        <v>7</v>
      </c>
      <c r="P108" s="1427">
        <v>659.73</v>
      </c>
      <c r="Q108" s="1447">
        <v>93.11</v>
      </c>
      <c r="R108" s="1370">
        <v>3.56</v>
      </c>
      <c r="S108" s="1428">
        <v>948</v>
      </c>
      <c r="T108" s="1371">
        <v>5.01</v>
      </c>
      <c r="U108" s="1325"/>
      <c r="V108" s="1325"/>
      <c r="W108" s="1325"/>
      <c r="X108" s="1325"/>
      <c r="Y108" s="1338"/>
      <c r="Z108" s="1338"/>
      <c r="AA108" s="1325"/>
      <c r="AB108" s="1325"/>
      <c r="AC108" s="1416"/>
      <c r="AD108" s="1416"/>
      <c r="AE108" s="1416"/>
      <c r="AF108" s="1416"/>
      <c r="AG108" s="1416"/>
      <c r="AH108" s="1416"/>
      <c r="AI108" s="1416"/>
      <c r="AJ108" s="1416"/>
      <c r="AK108" s="1416"/>
      <c r="AL108" s="1416"/>
      <c r="AM108" s="1416"/>
    </row>
    <row r="109" spans="1:39" s="34" customFormat="1">
      <c r="A109" s="1325"/>
      <c r="B109" s="1448"/>
      <c r="C109" s="1372" t="s">
        <v>1550</v>
      </c>
      <c r="D109" s="410">
        <v>98</v>
      </c>
      <c r="E109" s="1362">
        <v>180</v>
      </c>
      <c r="F109" s="1363" t="s">
        <v>1557</v>
      </c>
      <c r="G109" s="1429">
        <v>48.66</v>
      </c>
      <c r="H109" s="1365">
        <v>61.99</v>
      </c>
      <c r="I109" s="1366">
        <v>16</v>
      </c>
      <c r="J109" s="1367">
        <v>5.3</v>
      </c>
      <c r="K109" s="1427">
        <v>1884.07</v>
      </c>
      <c r="L109" s="1447">
        <v>146.36000000000001</v>
      </c>
      <c r="M109" s="1370">
        <v>5.51</v>
      </c>
      <c r="N109" s="1427">
        <v>2992.69</v>
      </c>
      <c r="O109" s="1370">
        <v>6.95</v>
      </c>
      <c r="P109" s="1427">
        <v>775.44</v>
      </c>
      <c r="Q109" s="1447">
        <v>106.88</v>
      </c>
      <c r="R109" s="1370">
        <v>3.54</v>
      </c>
      <c r="S109" s="1428">
        <v>1108</v>
      </c>
      <c r="T109" s="1371">
        <v>5.13</v>
      </c>
      <c r="U109" s="1325"/>
      <c r="V109" s="1325"/>
      <c r="W109" s="1325"/>
      <c r="X109" s="1325"/>
      <c r="Y109" s="1338"/>
      <c r="Z109" s="1338"/>
      <c r="AA109" s="1325"/>
      <c r="AB109" s="1325"/>
      <c r="AC109" s="1416"/>
      <c r="AD109" s="1416"/>
      <c r="AE109" s="1416"/>
      <c r="AF109" s="1416"/>
      <c r="AG109" s="1416"/>
      <c r="AH109" s="1416"/>
      <c r="AI109" s="1416"/>
      <c r="AJ109" s="1416"/>
      <c r="AK109" s="1416"/>
      <c r="AL109" s="1416"/>
      <c r="AM109" s="1416"/>
    </row>
    <row r="110" spans="1:39">
      <c r="A110" s="1241"/>
      <c r="B110" s="1241"/>
      <c r="C110" s="1372" t="s">
        <v>1550</v>
      </c>
      <c r="D110" s="410">
        <v>99</v>
      </c>
      <c r="E110" s="1362">
        <v>180</v>
      </c>
      <c r="F110" s="1363" t="s">
        <v>1558</v>
      </c>
      <c r="G110" s="1429">
        <v>53.72</v>
      </c>
      <c r="H110" s="1365">
        <v>68.430000000000007</v>
      </c>
      <c r="I110" s="1366">
        <v>16</v>
      </c>
      <c r="J110" s="1367">
        <v>5.3</v>
      </c>
      <c r="K110" s="1427">
        <v>2061.11</v>
      </c>
      <c r="L110" s="1447">
        <v>161.07</v>
      </c>
      <c r="M110" s="1370">
        <v>5.49</v>
      </c>
      <c r="N110" s="1427">
        <v>3271.31</v>
      </c>
      <c r="O110" s="1370">
        <v>6.91</v>
      </c>
      <c r="P110" s="1427">
        <v>850.92</v>
      </c>
      <c r="Q110" s="1447">
        <v>115.71</v>
      </c>
      <c r="R110" s="1370">
        <v>3.53</v>
      </c>
      <c r="S110" s="1428">
        <v>1210</v>
      </c>
      <c r="T110" s="1371">
        <v>5.2</v>
      </c>
      <c r="U110" s="1241"/>
      <c r="V110" s="1241"/>
      <c r="W110" s="1241"/>
      <c r="X110" s="1241"/>
      <c r="Y110" s="1420"/>
      <c r="Z110" s="1420"/>
      <c r="AA110" s="1241"/>
      <c r="AB110" s="1241"/>
    </row>
    <row r="111" spans="1:39">
      <c r="A111" s="1241"/>
      <c r="B111" s="1241"/>
      <c r="C111" s="1280"/>
      <c r="D111" s="410">
        <v>100</v>
      </c>
      <c r="E111" s="1326">
        <v>200</v>
      </c>
      <c r="F111" s="1394">
        <v>12</v>
      </c>
      <c r="G111" s="1430">
        <v>37</v>
      </c>
      <c r="H111" s="1329">
        <v>47.1</v>
      </c>
      <c r="I111" s="1396">
        <v>18</v>
      </c>
      <c r="J111" s="1331">
        <v>6</v>
      </c>
      <c r="K111" s="1422">
        <v>1822.8</v>
      </c>
      <c r="L111" s="1417">
        <v>124.6</v>
      </c>
      <c r="M111" s="1334">
        <v>6.22</v>
      </c>
      <c r="N111" s="1422">
        <v>2896</v>
      </c>
      <c r="O111" s="1334">
        <v>7.84</v>
      </c>
      <c r="P111" s="1422">
        <v>749.4</v>
      </c>
      <c r="Q111" s="1417">
        <v>98.7</v>
      </c>
      <c r="R111" s="1334">
        <v>3.99</v>
      </c>
      <c r="S111" s="1431">
        <v>1073</v>
      </c>
      <c r="T111" s="1337">
        <v>5.37</v>
      </c>
      <c r="U111" s="1241"/>
      <c r="V111" s="1241"/>
      <c r="W111" s="1241"/>
      <c r="X111" s="1241"/>
      <c r="Y111" s="1420"/>
      <c r="Z111" s="1420"/>
      <c r="AA111" s="1241"/>
      <c r="AB111" s="1241"/>
    </row>
    <row r="112" spans="1:39">
      <c r="A112" s="1241"/>
      <c r="B112" s="1241"/>
      <c r="C112" s="1280"/>
      <c r="D112" s="410">
        <v>101</v>
      </c>
      <c r="E112" s="1406">
        <v>200</v>
      </c>
      <c r="F112" s="1407">
        <v>13</v>
      </c>
      <c r="G112" s="1432">
        <v>39.9</v>
      </c>
      <c r="H112" s="1409">
        <v>50.85</v>
      </c>
      <c r="I112" s="1410">
        <v>18</v>
      </c>
      <c r="J112" s="1411">
        <v>6</v>
      </c>
      <c r="K112" s="1423">
        <v>1960.8</v>
      </c>
      <c r="L112" s="1418">
        <v>134.4</v>
      </c>
      <c r="M112" s="1414">
        <v>6.21</v>
      </c>
      <c r="N112" s="1423">
        <v>3116</v>
      </c>
      <c r="O112" s="1414">
        <v>7.83</v>
      </c>
      <c r="P112" s="1423">
        <v>805.4</v>
      </c>
      <c r="Q112" s="1418">
        <v>105.1</v>
      </c>
      <c r="R112" s="1414">
        <v>3.98</v>
      </c>
      <c r="S112" s="1424">
        <v>1156</v>
      </c>
      <c r="T112" s="1415">
        <v>5.42</v>
      </c>
      <c r="U112" s="1241"/>
      <c r="V112" s="1241"/>
      <c r="W112" s="1241"/>
      <c r="X112" s="1241"/>
      <c r="Y112" s="1420"/>
      <c r="Z112" s="1420"/>
      <c r="AA112" s="1241"/>
      <c r="AB112" s="1241"/>
    </row>
    <row r="113" spans="1:28">
      <c r="A113" s="1241"/>
      <c r="B113" s="1241"/>
      <c r="C113" s="1280"/>
      <c r="D113" s="410">
        <v>102</v>
      </c>
      <c r="E113" s="1406">
        <v>200</v>
      </c>
      <c r="F113" s="1407">
        <v>14</v>
      </c>
      <c r="G113" s="1432">
        <v>42.8</v>
      </c>
      <c r="H113" s="1409">
        <v>54.6</v>
      </c>
      <c r="I113" s="1410">
        <v>18</v>
      </c>
      <c r="J113" s="1411">
        <v>6</v>
      </c>
      <c r="K113" s="1423">
        <v>2097</v>
      </c>
      <c r="L113" s="1418">
        <v>144.19999999999999</v>
      </c>
      <c r="M113" s="1414">
        <v>6.2</v>
      </c>
      <c r="N113" s="1423">
        <v>3333</v>
      </c>
      <c r="O113" s="1414">
        <v>7.81</v>
      </c>
      <c r="P113" s="1423">
        <v>861</v>
      </c>
      <c r="Q113" s="1418">
        <v>111.5</v>
      </c>
      <c r="R113" s="1414">
        <v>3.97</v>
      </c>
      <c r="S113" s="1424">
        <v>1236</v>
      </c>
      <c r="T113" s="1415">
        <v>5.46</v>
      </c>
      <c r="U113" s="1241"/>
      <c r="V113" s="1241"/>
      <c r="W113" s="1241"/>
      <c r="X113" s="1241"/>
      <c r="Y113" s="1420"/>
      <c r="Z113" s="1420"/>
      <c r="AA113" s="1241"/>
      <c r="AB113" s="1241"/>
    </row>
    <row r="114" spans="1:28">
      <c r="A114" s="1241"/>
      <c r="B114" s="1241"/>
      <c r="C114" s="1280"/>
      <c r="D114" s="410">
        <v>103</v>
      </c>
      <c r="E114" s="1406">
        <v>200</v>
      </c>
      <c r="F114" s="1407">
        <v>16</v>
      </c>
      <c r="G114" s="1432">
        <v>48.7</v>
      </c>
      <c r="H114" s="1409">
        <v>61.98</v>
      </c>
      <c r="I114" s="1410">
        <v>18</v>
      </c>
      <c r="J114" s="1411">
        <v>6</v>
      </c>
      <c r="K114" s="1423">
        <v>2362.6</v>
      </c>
      <c r="L114" s="1418">
        <v>163.4</v>
      </c>
      <c r="M114" s="1414">
        <v>6.17</v>
      </c>
      <c r="N114" s="1423">
        <v>3755</v>
      </c>
      <c r="O114" s="1414">
        <v>7.78</v>
      </c>
      <c r="P114" s="1423">
        <v>969.7</v>
      </c>
      <c r="Q114" s="1418">
        <v>123.8</v>
      </c>
      <c r="R114" s="1414">
        <v>3.96</v>
      </c>
      <c r="S114" s="1424">
        <v>1393</v>
      </c>
      <c r="T114" s="1415">
        <v>5.54</v>
      </c>
      <c r="U114" s="1241"/>
      <c r="V114" s="1241"/>
      <c r="W114" s="1241"/>
      <c r="X114" s="1241"/>
      <c r="Y114" s="1420"/>
      <c r="Z114" s="1420"/>
      <c r="AA114" s="1241"/>
      <c r="AB114" s="1241"/>
    </row>
    <row r="115" spans="1:28">
      <c r="A115" s="1241"/>
      <c r="B115" s="1241"/>
      <c r="C115" s="1280"/>
      <c r="D115" s="410">
        <v>104</v>
      </c>
      <c r="E115" s="1406">
        <v>200</v>
      </c>
      <c r="F115" s="1407">
        <v>20</v>
      </c>
      <c r="G115" s="1432">
        <v>60.1</v>
      </c>
      <c r="H115" s="1409">
        <v>76.540000000000006</v>
      </c>
      <c r="I115" s="1410">
        <v>18</v>
      </c>
      <c r="J115" s="1411">
        <v>6</v>
      </c>
      <c r="K115" s="1423">
        <v>2871.5</v>
      </c>
      <c r="L115" s="1418">
        <v>200.7</v>
      </c>
      <c r="M115" s="1414">
        <v>6.12</v>
      </c>
      <c r="N115" s="1423">
        <v>4560</v>
      </c>
      <c r="O115" s="1414">
        <v>7.72</v>
      </c>
      <c r="P115" s="1423">
        <v>1181.9000000000001</v>
      </c>
      <c r="Q115" s="1418">
        <v>146.6</v>
      </c>
      <c r="R115" s="1414">
        <v>3.93</v>
      </c>
      <c r="S115" s="1424">
        <v>1689</v>
      </c>
      <c r="T115" s="1415">
        <v>5.7</v>
      </c>
      <c r="U115" s="1241"/>
      <c r="V115" s="1241"/>
      <c r="W115" s="1241"/>
      <c r="X115" s="1241"/>
      <c r="Y115" s="1420"/>
      <c r="Z115" s="1420"/>
      <c r="AA115" s="1241"/>
      <c r="AB115" s="1241"/>
    </row>
    <row r="116" spans="1:28">
      <c r="A116" s="1241"/>
      <c r="B116" s="1449"/>
      <c r="C116" s="1372" t="s">
        <v>1550</v>
      </c>
      <c r="D116" s="410">
        <v>105</v>
      </c>
      <c r="E116" s="1406">
        <v>200</v>
      </c>
      <c r="F116" s="1407" t="s">
        <v>1559</v>
      </c>
      <c r="G116" s="1432">
        <v>71.260000000000005</v>
      </c>
      <c r="H116" s="1409">
        <v>90.78</v>
      </c>
      <c r="I116" s="1410">
        <v>18</v>
      </c>
      <c r="J116" s="1411">
        <v>6</v>
      </c>
      <c r="K116" s="1423">
        <v>3350.66</v>
      </c>
      <c r="L116" s="1418">
        <v>236.77</v>
      </c>
      <c r="M116" s="1414">
        <v>6.08</v>
      </c>
      <c r="N116" s="1423">
        <v>5313.5</v>
      </c>
      <c r="O116" s="1414">
        <v>7.65</v>
      </c>
      <c r="P116" s="1423">
        <v>1387.73</v>
      </c>
      <c r="Q116" s="1418">
        <v>167.74</v>
      </c>
      <c r="R116" s="1414">
        <v>3.91</v>
      </c>
      <c r="S116" s="1424">
        <v>1963</v>
      </c>
      <c r="T116" s="1415">
        <v>5.85</v>
      </c>
      <c r="U116" s="1241"/>
      <c r="V116" s="1241"/>
      <c r="W116" s="1241"/>
      <c r="X116" s="1241"/>
      <c r="Y116" s="1420"/>
      <c r="Z116" s="1420"/>
      <c r="AA116" s="1241"/>
      <c r="AB116" s="1241"/>
    </row>
    <row r="117" spans="1:28">
      <c r="A117" s="1241"/>
      <c r="B117" s="1241"/>
      <c r="C117" s="1280"/>
      <c r="D117" s="410">
        <v>106</v>
      </c>
      <c r="E117" s="1406">
        <v>200</v>
      </c>
      <c r="F117" s="1407">
        <v>25</v>
      </c>
      <c r="G117" s="1432">
        <v>74</v>
      </c>
      <c r="H117" s="1409">
        <v>94.29</v>
      </c>
      <c r="I117" s="1410">
        <v>18</v>
      </c>
      <c r="J117" s="1411">
        <v>6</v>
      </c>
      <c r="K117" s="1423">
        <v>3466.2</v>
      </c>
      <c r="L117" s="1418">
        <v>245.6</v>
      </c>
      <c r="M117" s="1414">
        <v>6.06</v>
      </c>
      <c r="N117" s="1423">
        <v>5494</v>
      </c>
      <c r="O117" s="1414">
        <v>7.63</v>
      </c>
      <c r="P117" s="1423">
        <v>1438.4</v>
      </c>
      <c r="Q117" s="1418">
        <v>172.7</v>
      </c>
      <c r="R117" s="1414">
        <v>3.91</v>
      </c>
      <c r="S117" s="1424">
        <v>2028</v>
      </c>
      <c r="T117" s="1415">
        <v>5.89</v>
      </c>
      <c r="U117" s="1241"/>
      <c r="V117" s="1241"/>
      <c r="W117" s="1241"/>
      <c r="X117" s="1241"/>
      <c r="Y117" s="1420"/>
      <c r="Z117" s="1420"/>
      <c r="AA117" s="1241"/>
      <c r="AB117" s="1241"/>
    </row>
    <row r="118" spans="1:28">
      <c r="A118" s="1241"/>
      <c r="B118" s="1241"/>
      <c r="C118" s="1280"/>
      <c r="D118" s="410">
        <v>107</v>
      </c>
      <c r="E118" s="1340">
        <v>200</v>
      </c>
      <c r="F118" s="1399">
        <v>30</v>
      </c>
      <c r="G118" s="1433">
        <v>87.6</v>
      </c>
      <c r="H118" s="1343">
        <v>111.54</v>
      </c>
      <c r="I118" s="1401">
        <v>18</v>
      </c>
      <c r="J118" s="1345">
        <v>6</v>
      </c>
      <c r="K118" s="1434">
        <v>4019.6</v>
      </c>
      <c r="L118" s="1450">
        <v>288.60000000000002</v>
      </c>
      <c r="M118" s="1348">
        <v>6</v>
      </c>
      <c r="N118" s="1434">
        <v>6351</v>
      </c>
      <c r="O118" s="1348">
        <v>7.55</v>
      </c>
      <c r="P118" s="1434">
        <v>1698.2</v>
      </c>
      <c r="Q118" s="1450">
        <v>193.1</v>
      </c>
      <c r="R118" s="1348">
        <v>3.89</v>
      </c>
      <c r="S118" s="1435">
        <v>2332</v>
      </c>
      <c r="T118" s="1351">
        <v>6.07</v>
      </c>
      <c r="U118" s="1241"/>
      <c r="V118" s="1241"/>
      <c r="W118" s="1241"/>
      <c r="X118" s="1241"/>
      <c r="Y118" s="1420"/>
      <c r="Z118" s="1420"/>
      <c r="AA118" s="1241"/>
      <c r="AB118" s="1241"/>
    </row>
    <row r="119" spans="1:28">
      <c r="A119" s="1241"/>
      <c r="B119" s="1241"/>
      <c r="C119" s="1280"/>
      <c r="D119" s="410">
        <v>108</v>
      </c>
      <c r="E119" s="1352">
        <v>220</v>
      </c>
      <c r="F119" s="1353">
        <v>14</v>
      </c>
      <c r="G119" s="1436">
        <v>47.4</v>
      </c>
      <c r="H119" s="1355">
        <v>60.37</v>
      </c>
      <c r="I119" s="1356">
        <v>21</v>
      </c>
      <c r="J119" s="1357">
        <v>7</v>
      </c>
      <c r="K119" s="1425">
        <v>2814</v>
      </c>
      <c r="L119" s="1437">
        <v>175.2</v>
      </c>
      <c r="M119" s="1360">
        <v>6.83</v>
      </c>
      <c r="N119" s="1425">
        <v>4470</v>
      </c>
      <c r="O119" s="1360">
        <v>8.6</v>
      </c>
      <c r="P119" s="1425">
        <v>1159</v>
      </c>
      <c r="Q119" s="1437">
        <v>138.6</v>
      </c>
      <c r="R119" s="1360">
        <v>4.38</v>
      </c>
      <c r="S119" s="1426">
        <v>1655</v>
      </c>
      <c r="T119" s="1361">
        <v>5.91</v>
      </c>
      <c r="U119" s="1241"/>
      <c r="V119" s="1241"/>
      <c r="W119" s="1241"/>
      <c r="X119" s="1241"/>
      <c r="Y119" s="1420"/>
      <c r="Z119" s="1420"/>
      <c r="AA119" s="1241"/>
      <c r="AB119" s="1241"/>
    </row>
    <row r="120" spans="1:28">
      <c r="A120" s="1241"/>
      <c r="B120" s="1241"/>
      <c r="C120" s="1280"/>
      <c r="D120" s="410">
        <v>109</v>
      </c>
      <c r="E120" s="1373">
        <v>220</v>
      </c>
      <c r="F120" s="1374">
        <v>16</v>
      </c>
      <c r="G120" s="1439">
        <v>53.8</v>
      </c>
      <c r="H120" s="1376">
        <v>68.58</v>
      </c>
      <c r="I120" s="1377">
        <v>21</v>
      </c>
      <c r="J120" s="1378">
        <v>7</v>
      </c>
      <c r="K120" s="1421">
        <v>3175</v>
      </c>
      <c r="L120" s="1440">
        <v>198.7</v>
      </c>
      <c r="M120" s="1381">
        <v>6.81</v>
      </c>
      <c r="N120" s="1421">
        <v>5045</v>
      </c>
      <c r="O120" s="1381">
        <v>8.58</v>
      </c>
      <c r="P120" s="1421">
        <v>1306</v>
      </c>
      <c r="Q120" s="1440">
        <v>153.30000000000001</v>
      </c>
      <c r="R120" s="1381">
        <v>4.3600000000000003</v>
      </c>
      <c r="S120" s="1442">
        <v>1869</v>
      </c>
      <c r="T120" s="1382">
        <v>6.02</v>
      </c>
      <c r="U120" s="1241"/>
      <c r="V120" s="1241"/>
      <c r="W120" s="1241"/>
      <c r="X120" s="1241"/>
      <c r="Y120" s="1420"/>
      <c r="Z120" s="1420"/>
      <c r="AA120" s="1241"/>
      <c r="AB120" s="1241"/>
    </row>
    <row r="121" spans="1:28">
      <c r="A121" s="1241"/>
      <c r="B121" s="1241"/>
      <c r="C121" s="1280"/>
      <c r="D121" s="410">
        <v>110</v>
      </c>
      <c r="E121" s="1326">
        <v>250</v>
      </c>
      <c r="F121" s="1394">
        <v>16</v>
      </c>
      <c r="G121" s="1430">
        <v>61.5</v>
      </c>
      <c r="H121" s="1329">
        <v>78.319999999999993</v>
      </c>
      <c r="I121" s="1396">
        <v>24</v>
      </c>
      <c r="J121" s="1331">
        <v>8</v>
      </c>
      <c r="K121" s="1422">
        <v>4717</v>
      </c>
      <c r="L121" s="1417">
        <v>258.39999999999998</v>
      </c>
      <c r="M121" s="1334">
        <v>7.76</v>
      </c>
      <c r="N121" s="1422">
        <v>7492</v>
      </c>
      <c r="O121" s="1334">
        <v>9.7799999999999994</v>
      </c>
      <c r="P121" s="1422">
        <v>1942</v>
      </c>
      <c r="Q121" s="1417">
        <v>203.5</v>
      </c>
      <c r="R121" s="1334">
        <v>4.9800000000000004</v>
      </c>
      <c r="S121" s="1431">
        <v>2775</v>
      </c>
      <c r="T121" s="1337">
        <v>6.75</v>
      </c>
      <c r="U121" s="1241"/>
      <c r="V121" s="1241"/>
      <c r="W121" s="1241"/>
      <c r="X121" s="1241"/>
      <c r="Y121" s="1420"/>
      <c r="Z121" s="1420"/>
      <c r="AA121" s="1241"/>
      <c r="AB121" s="1241"/>
    </row>
    <row r="122" spans="1:28">
      <c r="A122" s="1241"/>
      <c r="B122" s="1241"/>
      <c r="C122" s="1280"/>
      <c r="D122" s="410">
        <v>111</v>
      </c>
      <c r="E122" s="1406">
        <v>250</v>
      </c>
      <c r="F122" s="1407">
        <v>18</v>
      </c>
      <c r="G122" s="1432">
        <v>68.900000000000006</v>
      </c>
      <c r="H122" s="1409">
        <v>87.75</v>
      </c>
      <c r="I122" s="1410">
        <v>24</v>
      </c>
      <c r="J122" s="1411">
        <v>8</v>
      </c>
      <c r="K122" s="1423">
        <v>5247</v>
      </c>
      <c r="L122" s="1418">
        <v>288.8</v>
      </c>
      <c r="M122" s="1414">
        <v>7.73</v>
      </c>
      <c r="N122" s="1423">
        <v>8337</v>
      </c>
      <c r="O122" s="1414">
        <v>9.75</v>
      </c>
      <c r="P122" s="1423">
        <v>2158</v>
      </c>
      <c r="Q122" s="1418">
        <v>223.4</v>
      </c>
      <c r="R122" s="1414">
        <v>4.96</v>
      </c>
      <c r="S122" s="1424">
        <v>3089</v>
      </c>
      <c r="T122" s="1415">
        <v>6.83</v>
      </c>
      <c r="U122" s="1241"/>
      <c r="V122" s="1241"/>
      <c r="W122" s="1241"/>
      <c r="X122" s="1241"/>
      <c r="Y122" s="1420"/>
      <c r="Z122" s="1420"/>
      <c r="AA122" s="1241"/>
      <c r="AB122" s="1241"/>
    </row>
    <row r="123" spans="1:28">
      <c r="A123" s="1241"/>
      <c r="B123" s="1241"/>
      <c r="C123" s="1280"/>
      <c r="D123" s="410">
        <v>112</v>
      </c>
      <c r="E123" s="1406">
        <v>250</v>
      </c>
      <c r="F123" s="1407">
        <v>20</v>
      </c>
      <c r="G123" s="1432">
        <v>76.099999999999994</v>
      </c>
      <c r="H123" s="1409">
        <v>96.92</v>
      </c>
      <c r="I123" s="1410">
        <v>24</v>
      </c>
      <c r="J123" s="1411">
        <v>8</v>
      </c>
      <c r="K123" s="1423">
        <v>5765</v>
      </c>
      <c r="L123" s="1418">
        <v>318.8</v>
      </c>
      <c r="M123" s="1414">
        <v>7.71</v>
      </c>
      <c r="N123" s="1423">
        <v>9160</v>
      </c>
      <c r="O123" s="1414">
        <v>9.7200000000000006</v>
      </c>
      <c r="P123" s="1423">
        <v>2370</v>
      </c>
      <c r="Q123" s="1418">
        <v>242.5</v>
      </c>
      <c r="R123" s="1414">
        <v>4.9400000000000004</v>
      </c>
      <c r="S123" s="1424">
        <v>3395</v>
      </c>
      <c r="T123" s="1415">
        <v>6.91</v>
      </c>
      <c r="U123" s="1241"/>
      <c r="V123" s="1241"/>
      <c r="W123" s="1241"/>
      <c r="X123" s="1241"/>
      <c r="Y123" s="1420"/>
      <c r="AA123" s="1241"/>
      <c r="AB123" s="1241"/>
    </row>
    <row r="124" spans="1:28">
      <c r="A124" s="1241"/>
      <c r="B124" s="1241"/>
      <c r="C124" s="1280"/>
      <c r="D124" s="410">
        <v>113</v>
      </c>
      <c r="E124" s="1406">
        <v>250</v>
      </c>
      <c r="F124" s="1407">
        <v>22</v>
      </c>
      <c r="G124" s="1432">
        <v>83.3</v>
      </c>
      <c r="H124" s="1409">
        <v>106.08</v>
      </c>
      <c r="I124" s="1410">
        <v>24</v>
      </c>
      <c r="J124" s="1411">
        <v>8</v>
      </c>
      <c r="K124" s="1423">
        <v>6270</v>
      </c>
      <c r="L124" s="1418">
        <v>348.3</v>
      </c>
      <c r="M124" s="1414">
        <v>7.69</v>
      </c>
      <c r="N124" s="1423">
        <v>9961</v>
      </c>
      <c r="O124" s="1414">
        <v>9.69</v>
      </c>
      <c r="P124" s="1423">
        <v>2579</v>
      </c>
      <c r="Q124" s="1418">
        <v>260.5</v>
      </c>
      <c r="R124" s="1414">
        <v>4.93</v>
      </c>
      <c r="S124" s="1424">
        <v>3691</v>
      </c>
      <c r="T124" s="1415">
        <v>7</v>
      </c>
      <c r="U124" s="1241"/>
      <c r="V124" s="1241"/>
      <c r="W124" s="1241"/>
      <c r="X124" s="1241"/>
      <c r="Y124" s="1420"/>
      <c r="AA124" s="1241"/>
      <c r="AB124" s="1241"/>
    </row>
    <row r="125" spans="1:28">
      <c r="A125" s="1241"/>
      <c r="B125" s="1241"/>
      <c r="C125" s="1280"/>
      <c r="D125" s="410">
        <v>114</v>
      </c>
      <c r="E125" s="1406">
        <v>250</v>
      </c>
      <c r="F125" s="1407">
        <v>25</v>
      </c>
      <c r="G125" s="1432">
        <v>94</v>
      </c>
      <c r="H125" s="1409">
        <v>119.71</v>
      </c>
      <c r="I125" s="1410">
        <v>24</v>
      </c>
      <c r="J125" s="1411">
        <v>8</v>
      </c>
      <c r="K125" s="1423">
        <v>7006</v>
      </c>
      <c r="L125" s="1418">
        <v>391.7</v>
      </c>
      <c r="M125" s="1414">
        <v>7.65</v>
      </c>
      <c r="N125" s="1423">
        <v>11125</v>
      </c>
      <c r="O125" s="1414">
        <v>9.64</v>
      </c>
      <c r="P125" s="1423">
        <v>2887</v>
      </c>
      <c r="Q125" s="1418">
        <v>287.10000000000002</v>
      </c>
      <c r="R125" s="1414">
        <v>4.91</v>
      </c>
      <c r="S125" s="1424">
        <v>4119</v>
      </c>
      <c r="T125" s="1415">
        <v>7.11</v>
      </c>
      <c r="U125" s="1241"/>
      <c r="V125" s="1241"/>
      <c r="W125" s="1241"/>
      <c r="X125" s="1241"/>
      <c r="Y125" s="1420"/>
      <c r="AA125" s="1241"/>
      <c r="AB125" s="1241"/>
    </row>
    <row r="126" spans="1:28">
      <c r="A126" s="1241"/>
      <c r="B126" s="1241"/>
      <c r="C126" s="1280"/>
      <c r="D126" s="410">
        <v>115</v>
      </c>
      <c r="E126" s="1406">
        <v>250</v>
      </c>
      <c r="F126" s="1407">
        <v>28</v>
      </c>
      <c r="G126" s="1432">
        <v>104.5</v>
      </c>
      <c r="H126" s="1409">
        <v>133.08000000000001</v>
      </c>
      <c r="I126" s="1410">
        <v>24</v>
      </c>
      <c r="J126" s="1411">
        <v>8</v>
      </c>
      <c r="K126" s="1423">
        <v>7717</v>
      </c>
      <c r="L126" s="1418">
        <v>434.3</v>
      </c>
      <c r="M126" s="1414">
        <v>7.61</v>
      </c>
      <c r="N126" s="1423">
        <v>12244</v>
      </c>
      <c r="O126" s="1414">
        <v>9.59</v>
      </c>
      <c r="P126" s="1423">
        <v>3190</v>
      </c>
      <c r="Q126" s="1418">
        <v>312</v>
      </c>
      <c r="R126" s="1414">
        <v>4.8899999999999997</v>
      </c>
      <c r="S126" s="1424">
        <v>4527</v>
      </c>
      <c r="T126" s="1415">
        <v>7.23</v>
      </c>
      <c r="U126" s="1241"/>
      <c r="V126" s="1241"/>
      <c r="W126" s="1241"/>
      <c r="X126" s="1241"/>
      <c r="Y126" s="1420"/>
      <c r="AA126" s="1241"/>
      <c r="AB126" s="1241"/>
    </row>
    <row r="127" spans="1:28">
      <c r="A127" s="1241"/>
      <c r="B127" s="1241"/>
      <c r="C127" s="1280"/>
      <c r="D127" s="410">
        <v>116</v>
      </c>
      <c r="E127" s="1340">
        <v>250</v>
      </c>
      <c r="F127" s="1399">
        <v>30</v>
      </c>
      <c r="G127" s="1433">
        <v>111.4</v>
      </c>
      <c r="H127" s="1343">
        <v>141.87</v>
      </c>
      <c r="I127" s="1401">
        <v>24</v>
      </c>
      <c r="J127" s="1345">
        <v>8</v>
      </c>
      <c r="K127" s="1434">
        <v>8177</v>
      </c>
      <c r="L127" s="1450">
        <v>462.1</v>
      </c>
      <c r="M127" s="1348">
        <v>7.59</v>
      </c>
      <c r="N127" s="1434">
        <v>12965</v>
      </c>
      <c r="O127" s="1348">
        <v>9.56</v>
      </c>
      <c r="P127" s="1434">
        <v>3389</v>
      </c>
      <c r="Q127" s="1450">
        <v>327.8</v>
      </c>
      <c r="R127" s="1348">
        <v>4.8899999999999997</v>
      </c>
      <c r="S127" s="1435">
        <v>4788</v>
      </c>
      <c r="T127" s="1351">
        <v>7.31</v>
      </c>
      <c r="U127" s="1241"/>
      <c r="V127" s="1241"/>
      <c r="W127" s="1241"/>
      <c r="X127" s="1241"/>
      <c r="Y127" s="1420"/>
      <c r="AA127" s="1241"/>
      <c r="AB127" s="1241"/>
    </row>
    <row r="128" spans="1:28">
      <c r="A128" s="1241"/>
      <c r="B128" s="1241"/>
      <c r="C128" s="1280"/>
      <c r="D128" s="1451"/>
      <c r="E128" s="1452"/>
      <c r="F128" s="1453"/>
      <c r="G128" s="1452"/>
      <c r="H128" s="1452"/>
      <c r="I128" s="1452"/>
      <c r="J128" s="1452"/>
      <c r="K128" s="1452"/>
      <c r="L128" s="1452"/>
      <c r="M128" s="1452"/>
      <c r="N128" s="1452"/>
      <c r="O128" s="1452"/>
      <c r="P128" s="1452"/>
      <c r="Q128" s="1452"/>
      <c r="R128" s="1452"/>
      <c r="S128" s="1452"/>
      <c r="T128" s="1452"/>
      <c r="U128" s="1241"/>
      <c r="V128" s="1241"/>
      <c r="W128" s="1241"/>
      <c r="X128" s="1241"/>
      <c r="Y128" s="1420"/>
      <c r="AA128" s="1241"/>
      <c r="AB128" s="1241"/>
    </row>
    <row r="129" spans="1:28" hidden="1">
      <c r="A129" s="1241"/>
      <c r="B129" s="1241"/>
      <c r="C129" s="1454"/>
      <c r="E129" s="1455"/>
      <c r="F129" s="1456"/>
      <c r="G129" s="1455"/>
      <c r="H129" s="1455"/>
      <c r="I129" s="1455"/>
      <c r="J129" s="1455"/>
      <c r="K129" s="1455"/>
      <c r="L129" s="1455"/>
      <c r="M129" s="1455"/>
      <c r="N129" s="1455"/>
      <c r="O129" s="1455"/>
      <c r="P129" s="1455"/>
      <c r="Q129" s="1455"/>
      <c r="R129" s="1455"/>
      <c r="S129" s="1455"/>
      <c r="T129" s="1455"/>
      <c r="U129" s="1241"/>
      <c r="V129" s="1241"/>
      <c r="W129" s="1241"/>
      <c r="X129" s="1241"/>
      <c r="AA129" s="1241"/>
      <c r="AB129" s="1241"/>
    </row>
    <row r="130" spans="1:28" hidden="1">
      <c r="A130" s="1239">
        <v>1</v>
      </c>
      <c r="B130" s="1026">
        <v>2</v>
      </c>
      <c r="C130" s="1458" t="s">
        <v>1560</v>
      </c>
      <c r="U130" s="1241"/>
      <c r="V130" s="1241"/>
      <c r="W130" s="1241"/>
      <c r="X130" s="1241"/>
      <c r="AA130" s="1241"/>
      <c r="AB130" s="1241"/>
    </row>
    <row r="131" spans="1:28" hidden="1">
      <c r="A131" s="1239">
        <v>2</v>
      </c>
      <c r="B131" s="1026">
        <v>7</v>
      </c>
      <c r="C131" s="1460" t="s">
        <v>1561</v>
      </c>
      <c r="F131" s="1461"/>
    </row>
    <row r="132" spans="1:28" hidden="1">
      <c r="A132" s="1239">
        <v>3</v>
      </c>
      <c r="B132" s="1457">
        <f>VLOOKUP(B130,B150:D176,3,FALSE)</f>
        <v>3</v>
      </c>
      <c r="C132" s="1460" t="s">
        <v>1562</v>
      </c>
      <c r="H132" s="1238"/>
      <c r="I132" s="1238"/>
    </row>
    <row r="133" spans="1:28" hidden="1">
      <c r="A133" s="1239">
        <v>4</v>
      </c>
      <c r="B133" s="1462"/>
      <c r="C133" s="1460" t="s">
        <v>1563</v>
      </c>
      <c r="H133" s="1238"/>
      <c r="I133" s="1238"/>
    </row>
    <row r="134" spans="1:28" hidden="1">
      <c r="A134" s="1239">
        <v>5</v>
      </c>
      <c r="B134" s="1462"/>
      <c r="C134" s="1460" t="s">
        <v>1564</v>
      </c>
      <c r="H134" s="1238"/>
      <c r="I134" s="1238"/>
    </row>
    <row r="135" spans="1:28" hidden="1">
      <c r="A135" s="1239">
        <v>6</v>
      </c>
      <c r="B135" s="1239"/>
      <c r="C135" s="1460" t="s">
        <v>1565</v>
      </c>
      <c r="H135" s="1238"/>
      <c r="I135" s="1238"/>
    </row>
    <row r="136" spans="1:28" hidden="1">
      <c r="A136" s="1239">
        <v>7</v>
      </c>
      <c r="B136" s="1239"/>
      <c r="C136" s="1460" t="s">
        <v>1566</v>
      </c>
      <c r="H136" s="1238"/>
      <c r="I136" s="1238"/>
    </row>
    <row r="137" spans="1:28" hidden="1">
      <c r="A137" s="1239">
        <v>8</v>
      </c>
      <c r="B137" s="1239"/>
      <c r="C137" s="1460" t="s">
        <v>1567</v>
      </c>
      <c r="H137" s="1238"/>
      <c r="I137" s="1238"/>
    </row>
    <row r="138" spans="1:28" hidden="1">
      <c r="A138" s="1239">
        <v>9</v>
      </c>
      <c r="B138" s="1239"/>
      <c r="C138" s="1460" t="s">
        <v>1568</v>
      </c>
      <c r="H138" s="1238"/>
      <c r="I138" s="1238"/>
    </row>
    <row r="139" spans="1:28" hidden="1">
      <c r="A139" s="1239">
        <v>10</v>
      </c>
      <c r="B139" s="1239"/>
      <c r="C139" s="1460" t="s">
        <v>1569</v>
      </c>
      <c r="H139" s="1238"/>
      <c r="I139" s="1238"/>
    </row>
    <row r="140" spans="1:28" hidden="1">
      <c r="A140" s="1239">
        <v>11</v>
      </c>
      <c r="B140" s="1239"/>
      <c r="C140" s="1460" t="s">
        <v>1570</v>
      </c>
      <c r="E140" s="1027">
        <v>1</v>
      </c>
      <c r="H140" s="1238"/>
      <c r="I140" s="1238"/>
    </row>
    <row r="141" spans="1:28" hidden="1">
      <c r="A141" s="1239">
        <v>12</v>
      </c>
      <c r="B141" s="1239"/>
      <c r="C141" s="1460" t="s">
        <v>1571</v>
      </c>
      <c r="H141" s="1238"/>
      <c r="I141" s="1238"/>
    </row>
    <row r="142" spans="1:28" hidden="1">
      <c r="A142" s="1239">
        <v>13</v>
      </c>
      <c r="B142" s="1239"/>
      <c r="C142" s="1460" t="s">
        <v>1572</v>
      </c>
      <c r="H142" s="1238"/>
      <c r="I142" s="1238"/>
    </row>
    <row r="143" spans="1:28" hidden="1">
      <c r="A143" s="1239">
        <v>14</v>
      </c>
      <c r="B143" s="1239"/>
      <c r="C143" s="1460" t="s">
        <v>1573</v>
      </c>
      <c r="H143" s="1238"/>
      <c r="I143" s="1238"/>
    </row>
    <row r="144" spans="1:28" hidden="1">
      <c r="A144" s="1239">
        <v>15</v>
      </c>
      <c r="B144" s="1239"/>
      <c r="C144" s="1460" t="s">
        <v>1574</v>
      </c>
      <c r="H144" s="1238"/>
      <c r="I144" s="1238"/>
    </row>
    <row r="145" spans="1:39" ht="15.75" hidden="1">
      <c r="A145" s="1239">
        <v>16</v>
      </c>
      <c r="B145" s="1239"/>
      <c r="C145" s="1464" t="s">
        <v>1575</v>
      </c>
      <c r="H145" s="1238"/>
      <c r="I145" s="1238"/>
    </row>
    <row r="146" spans="1:39" ht="13.5" hidden="1" thickBot="1">
      <c r="E146" s="1239">
        <v>1</v>
      </c>
      <c r="F146" s="1459" t="s">
        <v>1576</v>
      </c>
      <c r="G146" s="1239">
        <v>2</v>
      </c>
      <c r="H146" s="1459" t="s">
        <v>1577</v>
      </c>
      <c r="I146" s="1239">
        <v>3</v>
      </c>
      <c r="J146" s="1459" t="s">
        <v>1555</v>
      </c>
      <c r="K146" s="1239">
        <v>4</v>
      </c>
      <c r="L146" s="1459" t="s">
        <v>1551</v>
      </c>
      <c r="M146" s="1239">
        <v>5</v>
      </c>
      <c r="N146" s="1459" t="s">
        <v>1552</v>
      </c>
      <c r="O146" s="1239">
        <v>6</v>
      </c>
      <c r="P146" s="1459" t="s">
        <v>1553</v>
      </c>
      <c r="Q146" s="1239">
        <v>7</v>
      </c>
      <c r="R146" s="1459" t="s">
        <v>1554</v>
      </c>
      <c r="S146" s="1239">
        <v>8</v>
      </c>
      <c r="T146" s="1459" t="s">
        <v>1578</v>
      </c>
    </row>
    <row r="147" spans="1:39" ht="39.75" hidden="1" thickTop="1">
      <c r="E147" s="1281" t="s">
        <v>1490</v>
      </c>
      <c r="F147" s="1282" t="s">
        <v>1490</v>
      </c>
      <c r="G147" s="1283" t="s">
        <v>1491</v>
      </c>
      <c r="H147" s="1465" t="s">
        <v>1492</v>
      </c>
      <c r="I147" s="1466"/>
      <c r="J147" s="1467"/>
      <c r="K147" s="1468" t="s">
        <v>1521</v>
      </c>
      <c r="L147" s="1469" t="s">
        <v>1522</v>
      </c>
      <c r="M147" s="1470" t="s">
        <v>1523</v>
      </c>
      <c r="N147" s="1468" t="s">
        <v>1524</v>
      </c>
      <c r="O147" s="1470" t="s">
        <v>1525</v>
      </c>
      <c r="P147" s="1468" t="s">
        <v>1526</v>
      </c>
      <c r="Q147" s="1469" t="s">
        <v>1522</v>
      </c>
      <c r="R147" s="1470" t="s">
        <v>1526</v>
      </c>
      <c r="S147" s="1471"/>
      <c r="T147" s="1472" t="s">
        <v>1527</v>
      </c>
    </row>
    <row r="148" spans="1:39" ht="18.75" hidden="1">
      <c r="D148" s="1295"/>
      <c r="E148" s="1296" t="s">
        <v>1528</v>
      </c>
      <c r="F148" s="1297" t="s">
        <v>1579</v>
      </c>
      <c r="G148" s="1298" t="s">
        <v>1530</v>
      </c>
      <c r="H148" s="1299" t="s">
        <v>1531</v>
      </c>
      <c r="I148" s="1300" t="s">
        <v>1532</v>
      </c>
      <c r="J148" s="1301" t="s">
        <v>1533</v>
      </c>
      <c r="K148" s="1302" t="s">
        <v>1534</v>
      </c>
      <c r="L148" s="1303" t="s">
        <v>1535</v>
      </c>
      <c r="M148" s="1304" t="s">
        <v>1536</v>
      </c>
      <c r="N148" s="1300" t="s">
        <v>1537</v>
      </c>
      <c r="O148" s="1304" t="s">
        <v>1538</v>
      </c>
      <c r="P148" s="1300" t="s">
        <v>1539</v>
      </c>
      <c r="Q148" s="1303" t="s">
        <v>1540</v>
      </c>
      <c r="R148" s="1304" t="s">
        <v>1541</v>
      </c>
      <c r="S148" s="1300" t="s">
        <v>1542</v>
      </c>
      <c r="T148" s="1305" t="s">
        <v>1543</v>
      </c>
    </row>
    <row r="149" spans="1:39" ht="14.25" hidden="1" thickBot="1">
      <c r="D149" s="1310" t="s">
        <v>1544</v>
      </c>
      <c r="E149" s="1473" t="s">
        <v>1545</v>
      </c>
      <c r="F149" s="1474" t="s">
        <v>1580</v>
      </c>
      <c r="G149" s="1475" t="s">
        <v>1483</v>
      </c>
      <c r="H149" s="1476" t="s">
        <v>1546</v>
      </c>
      <c r="I149" s="1477" t="s">
        <v>1545</v>
      </c>
      <c r="J149" s="1478" t="s">
        <v>1545</v>
      </c>
      <c r="K149" s="1479" t="s">
        <v>1547</v>
      </c>
      <c r="L149" s="1480" t="s">
        <v>1548</v>
      </c>
      <c r="M149" s="1481" t="s">
        <v>1549</v>
      </c>
      <c r="N149" s="1479" t="s">
        <v>1547</v>
      </c>
      <c r="O149" s="1482" t="s">
        <v>1549</v>
      </c>
      <c r="P149" s="1479" t="s">
        <v>1547</v>
      </c>
      <c r="Q149" s="1480" t="s">
        <v>1548</v>
      </c>
      <c r="R149" s="1481" t="s">
        <v>1549</v>
      </c>
      <c r="S149" s="1479" t="s">
        <v>1547</v>
      </c>
      <c r="T149" s="1483" t="s">
        <v>1549</v>
      </c>
    </row>
    <row r="150" spans="1:39" s="60" customFormat="1" ht="12" hidden="1">
      <c r="A150" s="1484"/>
      <c r="B150" s="1484">
        <v>1</v>
      </c>
      <c r="C150" s="1485"/>
      <c r="D150" s="410">
        <v>1</v>
      </c>
      <c r="E150" s="1486">
        <v>20</v>
      </c>
      <c r="F150" s="1487" t="s">
        <v>1581</v>
      </c>
      <c r="G150" s="1488" t="s">
        <v>1582</v>
      </c>
      <c r="H150" s="1489" t="s">
        <v>1583</v>
      </c>
      <c r="I150" s="1490">
        <v>3.5</v>
      </c>
      <c r="J150" s="1491">
        <v>1.2</v>
      </c>
      <c r="K150" s="1492" t="s">
        <v>1584</v>
      </c>
      <c r="L150" s="1493" t="s">
        <v>1585</v>
      </c>
      <c r="M150" s="1494" t="s">
        <v>1586</v>
      </c>
      <c r="N150" s="1495" t="s">
        <v>1587</v>
      </c>
      <c r="O150" s="1494" t="s">
        <v>1588</v>
      </c>
      <c r="P150" s="1495" t="s">
        <v>1589</v>
      </c>
      <c r="Q150" s="1496" t="s">
        <v>1590</v>
      </c>
      <c r="R150" s="1494" t="s">
        <v>1591</v>
      </c>
      <c r="S150" s="1497" t="s">
        <v>1592</v>
      </c>
      <c r="T150" s="1497" t="s">
        <v>1593</v>
      </c>
      <c r="U150" s="1484"/>
      <c r="V150" s="1484"/>
      <c r="W150" s="1484"/>
      <c r="X150" s="1484"/>
      <c r="Y150" s="1498"/>
      <c r="Z150" s="1498"/>
      <c r="AA150" s="1484"/>
      <c r="AB150" s="1484"/>
      <c r="AC150" s="1484"/>
      <c r="AD150" s="1484"/>
      <c r="AE150" s="1484"/>
      <c r="AF150" s="1484"/>
      <c r="AG150" s="1484"/>
      <c r="AH150" s="1484"/>
      <c r="AI150" s="1484"/>
      <c r="AJ150" s="1484"/>
      <c r="AK150" s="1484"/>
      <c r="AL150" s="1484"/>
      <c r="AM150" s="1484"/>
    </row>
    <row r="151" spans="1:39" s="60" customFormat="1" hidden="1">
      <c r="A151" s="1484"/>
      <c r="B151" s="1484">
        <v>2</v>
      </c>
      <c r="C151" s="1240" t="s">
        <v>1550</v>
      </c>
      <c r="D151" s="410">
        <v>3</v>
      </c>
      <c r="E151" s="1486">
        <v>25</v>
      </c>
      <c r="F151" s="1487" t="s">
        <v>1594</v>
      </c>
      <c r="G151" s="1488" t="s">
        <v>1595</v>
      </c>
      <c r="H151" s="1489" t="s">
        <v>1596</v>
      </c>
      <c r="I151" s="1499">
        <v>3.5</v>
      </c>
      <c r="J151" s="1491">
        <v>1.2</v>
      </c>
      <c r="K151" s="1492" t="s">
        <v>1597</v>
      </c>
      <c r="L151" s="1493" t="s">
        <v>1598</v>
      </c>
      <c r="M151" s="1494" t="s">
        <v>1588</v>
      </c>
      <c r="N151" s="1492" t="s">
        <v>1599</v>
      </c>
      <c r="O151" s="1494" t="s">
        <v>1600</v>
      </c>
      <c r="P151" s="1492" t="s">
        <v>1601</v>
      </c>
      <c r="Q151" s="1493" t="s">
        <v>1602</v>
      </c>
      <c r="R151" s="1494" t="s">
        <v>1603</v>
      </c>
      <c r="S151" s="1497" t="s">
        <v>1604</v>
      </c>
      <c r="T151" s="1497" t="s">
        <v>1605</v>
      </c>
      <c r="U151" s="1484"/>
      <c r="V151" s="1484"/>
      <c r="W151" s="1484"/>
      <c r="X151" s="1484"/>
      <c r="Y151" s="1498"/>
      <c r="Z151" s="1498"/>
      <c r="AA151" s="1484"/>
      <c r="AB151" s="1484"/>
      <c r="AC151" s="1484"/>
      <c r="AD151" s="1484"/>
      <c r="AE151" s="1484"/>
      <c r="AF151" s="1484"/>
      <c r="AG151" s="1484"/>
      <c r="AH151" s="1484"/>
      <c r="AI151" s="1484"/>
      <c r="AJ151" s="1484"/>
      <c r="AK151" s="1484"/>
      <c r="AL151" s="1484"/>
      <c r="AM151" s="1484"/>
    </row>
    <row r="152" spans="1:39" hidden="1">
      <c r="B152" s="1484">
        <v>3</v>
      </c>
      <c r="C152" s="1280"/>
      <c r="D152" s="410">
        <v>6</v>
      </c>
      <c r="E152" s="1500">
        <v>28</v>
      </c>
      <c r="F152" s="1501">
        <v>3</v>
      </c>
      <c r="G152" s="1502">
        <v>1.27</v>
      </c>
      <c r="H152" s="1503">
        <v>1.62</v>
      </c>
      <c r="I152" s="1504">
        <v>4</v>
      </c>
      <c r="J152" s="1505">
        <v>1.3</v>
      </c>
      <c r="K152" s="1506">
        <v>1.1599999999999999</v>
      </c>
      <c r="L152" s="1507">
        <v>0.57999999999999996</v>
      </c>
      <c r="M152" s="1508">
        <v>0.85</v>
      </c>
      <c r="N152" s="1506">
        <v>1.84</v>
      </c>
      <c r="O152" s="1508">
        <v>1.07</v>
      </c>
      <c r="P152" s="1506">
        <v>0.48</v>
      </c>
      <c r="Q152" s="1507">
        <v>0.42</v>
      </c>
      <c r="R152" s="1508">
        <v>0.55000000000000004</v>
      </c>
      <c r="S152" s="1509">
        <v>0.68</v>
      </c>
      <c r="T152" s="1509">
        <v>0.8</v>
      </c>
    </row>
    <row r="153" spans="1:39" hidden="1">
      <c r="B153" s="1484">
        <v>4</v>
      </c>
      <c r="C153" s="1240" t="s">
        <v>1550</v>
      </c>
      <c r="D153" s="410">
        <v>7</v>
      </c>
      <c r="E153" s="1352">
        <v>30</v>
      </c>
      <c r="F153" s="1487" t="s">
        <v>1594</v>
      </c>
      <c r="G153" s="1510" t="s">
        <v>1606</v>
      </c>
      <c r="H153" s="1355" t="s">
        <v>1607</v>
      </c>
      <c r="I153" s="1356">
        <v>4</v>
      </c>
      <c r="J153" s="1357">
        <v>1.3</v>
      </c>
      <c r="K153" s="1358" t="s">
        <v>1608</v>
      </c>
      <c r="L153" s="1359" t="s">
        <v>1609</v>
      </c>
      <c r="M153" s="1360" t="s">
        <v>1610</v>
      </c>
      <c r="N153" s="1358" t="s">
        <v>1611</v>
      </c>
      <c r="O153" s="1360" t="s">
        <v>1612</v>
      </c>
      <c r="P153" s="1358" t="s">
        <v>1613</v>
      </c>
      <c r="Q153" s="1359" t="s">
        <v>1614</v>
      </c>
      <c r="R153" s="1360" t="s">
        <v>1586</v>
      </c>
      <c r="S153" s="1361" t="s">
        <v>1615</v>
      </c>
      <c r="T153" s="1361" t="s">
        <v>1616</v>
      </c>
    </row>
    <row r="154" spans="1:39" hidden="1">
      <c r="B154" s="1484">
        <v>5</v>
      </c>
      <c r="D154" s="410">
        <v>10</v>
      </c>
      <c r="E154" s="1352">
        <v>32</v>
      </c>
      <c r="F154" s="1487" t="s">
        <v>1581</v>
      </c>
      <c r="G154" s="1511" t="s">
        <v>1617</v>
      </c>
      <c r="H154" s="1355" t="s">
        <v>1618</v>
      </c>
      <c r="I154" s="1356">
        <v>4.5</v>
      </c>
      <c r="J154" s="1357">
        <v>1.5</v>
      </c>
      <c r="K154" s="1358" t="s">
        <v>1619</v>
      </c>
      <c r="L154" s="1359" t="s">
        <v>1620</v>
      </c>
      <c r="M154" s="1360" t="s">
        <v>1621</v>
      </c>
      <c r="N154" s="1358" t="s">
        <v>1622</v>
      </c>
      <c r="O154" s="1360" t="s">
        <v>1623</v>
      </c>
      <c r="P154" s="1358" t="s">
        <v>1624</v>
      </c>
      <c r="Q154" s="1359" t="s">
        <v>1625</v>
      </c>
      <c r="R154" s="1360" t="s">
        <v>1626</v>
      </c>
      <c r="S154" s="1361" t="s">
        <v>1627</v>
      </c>
      <c r="T154" s="1361" t="s">
        <v>1628</v>
      </c>
    </row>
    <row r="155" spans="1:39" hidden="1">
      <c r="B155" s="1484">
        <v>6</v>
      </c>
      <c r="D155" s="410">
        <v>12</v>
      </c>
      <c r="E155" s="1352">
        <v>35</v>
      </c>
      <c r="F155" s="1487" t="s">
        <v>1594</v>
      </c>
      <c r="G155" s="1510" t="s">
        <v>1629</v>
      </c>
      <c r="H155" s="1355" t="s">
        <v>1630</v>
      </c>
      <c r="I155" s="1356">
        <v>4.5</v>
      </c>
      <c r="J155" s="1357">
        <v>1.5</v>
      </c>
      <c r="K155" s="1358" t="s">
        <v>1631</v>
      </c>
      <c r="L155" s="1359" t="s">
        <v>1632</v>
      </c>
      <c r="M155" s="1360" t="s">
        <v>1633</v>
      </c>
      <c r="N155" s="1358" t="s">
        <v>1634</v>
      </c>
      <c r="O155" s="1360" t="s">
        <v>1635</v>
      </c>
      <c r="P155" s="1358" t="s">
        <v>1636</v>
      </c>
      <c r="Q155" s="1359" t="s">
        <v>1637</v>
      </c>
      <c r="R155" s="1360" t="s">
        <v>1638</v>
      </c>
      <c r="S155" s="1361" t="s">
        <v>1639</v>
      </c>
      <c r="T155" s="1361" t="s">
        <v>1640</v>
      </c>
    </row>
    <row r="156" spans="1:39" hidden="1">
      <c r="B156" s="1484">
        <v>7</v>
      </c>
      <c r="C156" s="1240" t="s">
        <v>1550</v>
      </c>
      <c r="D156" s="410">
        <v>15</v>
      </c>
      <c r="E156" s="1352">
        <v>40</v>
      </c>
      <c r="F156" s="1487" t="s">
        <v>1641</v>
      </c>
      <c r="G156" s="1510" t="s">
        <v>1642</v>
      </c>
      <c r="H156" s="1355" t="s">
        <v>1643</v>
      </c>
      <c r="I156" s="1356">
        <v>5</v>
      </c>
      <c r="J156" s="1357">
        <v>1.7</v>
      </c>
      <c r="K156" s="1358" t="s">
        <v>1644</v>
      </c>
      <c r="L156" s="1359" t="s">
        <v>1645</v>
      </c>
      <c r="M156" s="1360" t="s">
        <v>1646</v>
      </c>
      <c r="N156" s="1358" t="s">
        <v>1647</v>
      </c>
      <c r="O156" s="1360" t="s">
        <v>1648</v>
      </c>
      <c r="P156" s="1358" t="s">
        <v>1649</v>
      </c>
      <c r="Q156" s="1359" t="s">
        <v>1650</v>
      </c>
      <c r="R156" s="1360" t="s">
        <v>1651</v>
      </c>
      <c r="S156" s="1361" t="s">
        <v>1652</v>
      </c>
      <c r="T156" s="1361" t="s">
        <v>1653</v>
      </c>
    </row>
    <row r="157" spans="1:39" hidden="1">
      <c r="B157" s="1484">
        <v>8</v>
      </c>
      <c r="D157" s="410">
        <v>19</v>
      </c>
      <c r="E157" s="1352">
        <v>45</v>
      </c>
      <c r="F157" s="1487" t="s">
        <v>1594</v>
      </c>
      <c r="G157" s="1510" t="s">
        <v>1654</v>
      </c>
      <c r="H157" s="1355" t="s">
        <v>1655</v>
      </c>
      <c r="I157" s="1356">
        <v>5</v>
      </c>
      <c r="J157" s="1357">
        <v>1.7</v>
      </c>
      <c r="K157" s="1358" t="s">
        <v>1656</v>
      </c>
      <c r="L157" s="1359" t="s">
        <v>1657</v>
      </c>
      <c r="M157" s="1360" t="s">
        <v>1658</v>
      </c>
      <c r="N157" s="1358" t="s">
        <v>1659</v>
      </c>
      <c r="O157" s="1360" t="s">
        <v>1660</v>
      </c>
      <c r="P157" s="1358" t="s">
        <v>1661</v>
      </c>
      <c r="Q157" s="1359" t="s">
        <v>1662</v>
      </c>
      <c r="R157" s="1360" t="s">
        <v>1663</v>
      </c>
      <c r="S157" s="1361" t="s">
        <v>1664</v>
      </c>
      <c r="T157" s="1361" t="s">
        <v>1665</v>
      </c>
    </row>
    <row r="158" spans="1:39" hidden="1">
      <c r="B158" s="1484">
        <v>9</v>
      </c>
      <c r="C158" s="1240" t="s">
        <v>1550</v>
      </c>
      <c r="D158" s="410">
        <v>22</v>
      </c>
      <c r="E158" s="1352">
        <v>50</v>
      </c>
      <c r="F158" s="1487" t="s">
        <v>1666</v>
      </c>
      <c r="G158" s="1510" t="s">
        <v>1667</v>
      </c>
      <c r="H158" s="1355" t="s">
        <v>1668</v>
      </c>
      <c r="I158" s="1356">
        <v>5.5</v>
      </c>
      <c r="J158" s="1357">
        <v>1.8</v>
      </c>
      <c r="K158" s="1358" t="s">
        <v>1669</v>
      </c>
      <c r="L158" s="1359" t="s">
        <v>1670</v>
      </c>
      <c r="M158" s="1360" t="s">
        <v>1671</v>
      </c>
      <c r="N158" s="1425" t="s">
        <v>1672</v>
      </c>
      <c r="O158" s="1360" t="s">
        <v>1673</v>
      </c>
      <c r="P158" s="1358" t="s">
        <v>1674</v>
      </c>
      <c r="Q158" s="1443" t="s">
        <v>1675</v>
      </c>
      <c r="R158" s="1360" t="s">
        <v>1676</v>
      </c>
      <c r="S158" s="1361" t="s">
        <v>1677</v>
      </c>
      <c r="T158" s="1361" t="s">
        <v>1678</v>
      </c>
    </row>
    <row r="159" spans="1:39" hidden="1">
      <c r="B159" s="1484">
        <v>10</v>
      </c>
      <c r="D159" s="410">
        <v>28</v>
      </c>
      <c r="E159" s="1352">
        <v>56</v>
      </c>
      <c r="F159" s="1487" t="s">
        <v>1679</v>
      </c>
      <c r="G159" s="1510" t="s">
        <v>1680</v>
      </c>
      <c r="H159" s="1355" t="s">
        <v>1681</v>
      </c>
      <c r="I159" s="1356">
        <v>6</v>
      </c>
      <c r="J159" s="1357">
        <v>2</v>
      </c>
      <c r="K159" s="1358" t="s">
        <v>1682</v>
      </c>
      <c r="L159" s="1359" t="s">
        <v>1683</v>
      </c>
      <c r="M159" s="1360" t="s">
        <v>1684</v>
      </c>
      <c r="N159" s="1425" t="s">
        <v>1685</v>
      </c>
      <c r="O159" s="1360" t="s">
        <v>1696</v>
      </c>
      <c r="P159" s="1358" t="s">
        <v>1697</v>
      </c>
      <c r="Q159" s="1359" t="s">
        <v>1698</v>
      </c>
      <c r="R159" s="1360" t="s">
        <v>1699</v>
      </c>
      <c r="S159" s="1361" t="s">
        <v>1700</v>
      </c>
      <c r="T159" s="1361" t="s">
        <v>1701</v>
      </c>
    </row>
    <row r="160" spans="1:39" hidden="1">
      <c r="B160" s="1484">
        <v>11</v>
      </c>
      <c r="C160" s="1240" t="s">
        <v>1702</v>
      </c>
      <c r="D160" s="410">
        <v>30</v>
      </c>
      <c r="E160" s="1352">
        <v>60</v>
      </c>
      <c r="F160" s="1487" t="s">
        <v>1703</v>
      </c>
      <c r="G160" s="1510" t="s">
        <v>1704</v>
      </c>
      <c r="H160" s="1355" t="s">
        <v>1705</v>
      </c>
      <c r="I160" s="1356">
        <v>7</v>
      </c>
      <c r="J160" s="1357">
        <v>2.2999999999999998</v>
      </c>
      <c r="K160" s="1358" t="s">
        <v>1706</v>
      </c>
      <c r="L160" s="1359" t="s">
        <v>1707</v>
      </c>
      <c r="M160" s="1360" t="s">
        <v>1708</v>
      </c>
      <c r="N160" s="1425" t="s">
        <v>1709</v>
      </c>
      <c r="O160" s="1360" t="s">
        <v>1710</v>
      </c>
      <c r="P160" s="1358" t="s">
        <v>1711</v>
      </c>
      <c r="Q160" s="1443" t="s">
        <v>1712</v>
      </c>
      <c r="R160" s="1360" t="s">
        <v>1713</v>
      </c>
      <c r="S160" s="1361" t="s">
        <v>1714</v>
      </c>
      <c r="T160" s="1361" t="s">
        <v>1715</v>
      </c>
    </row>
    <row r="161" spans="2:20" hidden="1">
      <c r="B161" s="1484">
        <v>12</v>
      </c>
      <c r="D161" s="410">
        <v>35</v>
      </c>
      <c r="E161" s="1352">
        <v>63</v>
      </c>
      <c r="F161" s="1353" t="s">
        <v>1716</v>
      </c>
      <c r="G161" s="1510" t="s">
        <v>1717</v>
      </c>
      <c r="H161" s="1355" t="s">
        <v>1718</v>
      </c>
      <c r="I161" s="1356">
        <v>7</v>
      </c>
      <c r="J161" s="1357">
        <v>2.2999999999999998</v>
      </c>
      <c r="K161" s="1358" t="s">
        <v>1719</v>
      </c>
      <c r="L161" s="1359" t="s">
        <v>1720</v>
      </c>
      <c r="M161" s="1360" t="s">
        <v>1721</v>
      </c>
      <c r="N161" s="1425" t="s">
        <v>1722</v>
      </c>
      <c r="O161" s="1360" t="s">
        <v>1723</v>
      </c>
      <c r="P161" s="1358" t="s">
        <v>1724</v>
      </c>
      <c r="Q161" s="1359" t="s">
        <v>1725</v>
      </c>
      <c r="R161" s="1360" t="s">
        <v>1726</v>
      </c>
      <c r="S161" s="1361" t="s">
        <v>1727</v>
      </c>
      <c r="T161" s="1361" t="s">
        <v>1728</v>
      </c>
    </row>
    <row r="162" spans="2:20" hidden="1">
      <c r="B162" s="1484">
        <v>13</v>
      </c>
      <c r="C162" s="1240" t="s">
        <v>1550</v>
      </c>
      <c r="D162" s="410">
        <v>38</v>
      </c>
      <c r="E162" s="1352">
        <v>70</v>
      </c>
      <c r="F162" s="1353" t="s">
        <v>1729</v>
      </c>
      <c r="G162" s="1510" t="s">
        <v>1730</v>
      </c>
      <c r="H162" s="1355" t="s">
        <v>1731</v>
      </c>
      <c r="I162" s="1356">
        <v>8</v>
      </c>
      <c r="J162" s="1357">
        <v>2.7</v>
      </c>
      <c r="K162" s="1358" t="s">
        <v>1732</v>
      </c>
      <c r="L162" s="1359" t="s">
        <v>1733</v>
      </c>
      <c r="M162" s="1360" t="s">
        <v>1734</v>
      </c>
      <c r="N162" s="1425" t="s">
        <v>1735</v>
      </c>
      <c r="O162" s="1360" t="s">
        <v>1736</v>
      </c>
      <c r="P162" s="1358" t="s">
        <v>1737</v>
      </c>
      <c r="Q162" s="1443" t="s">
        <v>1738</v>
      </c>
      <c r="R162" s="1360" t="s">
        <v>1739</v>
      </c>
      <c r="S162" s="1361" t="s">
        <v>1740</v>
      </c>
      <c r="T162" s="1361" t="s">
        <v>1741</v>
      </c>
    </row>
    <row r="163" spans="2:20" hidden="1">
      <c r="B163" s="1484">
        <v>14</v>
      </c>
      <c r="D163" s="410">
        <v>44</v>
      </c>
      <c r="E163" s="1352">
        <v>75</v>
      </c>
      <c r="F163" s="1353" t="s">
        <v>1742</v>
      </c>
      <c r="G163" s="1510" t="s">
        <v>1743</v>
      </c>
      <c r="H163" s="1355" t="s">
        <v>1744</v>
      </c>
      <c r="I163" s="1356">
        <v>9</v>
      </c>
      <c r="J163" s="1357">
        <v>3</v>
      </c>
      <c r="K163" s="1358" t="s">
        <v>1745</v>
      </c>
      <c r="L163" s="1359" t="s">
        <v>1746</v>
      </c>
      <c r="M163" s="1360" t="s">
        <v>1747</v>
      </c>
      <c r="N163" s="1425" t="s">
        <v>1748</v>
      </c>
      <c r="O163" s="1360" t="s">
        <v>1749</v>
      </c>
      <c r="P163" s="1358" t="s">
        <v>1750</v>
      </c>
      <c r="Q163" s="1359" t="s">
        <v>1751</v>
      </c>
      <c r="R163" s="1360" t="s">
        <v>1752</v>
      </c>
      <c r="S163" s="1361" t="s">
        <v>1753</v>
      </c>
      <c r="T163" s="1361" t="s">
        <v>1754</v>
      </c>
    </row>
    <row r="164" spans="2:20" hidden="1">
      <c r="B164" s="1484">
        <v>15</v>
      </c>
      <c r="C164" s="1240" t="s">
        <v>1550</v>
      </c>
      <c r="D164" s="410">
        <v>49</v>
      </c>
      <c r="E164" s="1352">
        <v>80</v>
      </c>
      <c r="F164" s="1353" t="s">
        <v>1755</v>
      </c>
      <c r="G164" s="1510" t="s">
        <v>1756</v>
      </c>
      <c r="H164" s="1355" t="s">
        <v>1757</v>
      </c>
      <c r="I164" s="1356">
        <v>9</v>
      </c>
      <c r="J164" s="1357">
        <v>3</v>
      </c>
      <c r="K164" s="1358" t="s">
        <v>1758</v>
      </c>
      <c r="L164" s="1359" t="s">
        <v>1759</v>
      </c>
      <c r="M164" s="1360" t="s">
        <v>1760</v>
      </c>
      <c r="N164" s="1425" t="s">
        <v>1761</v>
      </c>
      <c r="O164" s="1360" t="s">
        <v>1762</v>
      </c>
      <c r="P164" s="1358" t="s">
        <v>1763</v>
      </c>
      <c r="Q164" s="1443" t="s">
        <v>1764</v>
      </c>
      <c r="R164" s="1360" t="s">
        <v>1765</v>
      </c>
      <c r="S164" s="1361" t="s">
        <v>1766</v>
      </c>
      <c r="T164" s="1361" t="s">
        <v>1767</v>
      </c>
    </row>
    <row r="165" spans="2:20" hidden="1">
      <c r="B165" s="1484">
        <v>16</v>
      </c>
      <c r="C165" s="1240" t="s">
        <v>1550</v>
      </c>
      <c r="D165" s="410">
        <v>55</v>
      </c>
      <c r="E165" s="1352">
        <v>90</v>
      </c>
      <c r="F165" s="1353" t="s">
        <v>1768</v>
      </c>
      <c r="G165" s="1510" t="s">
        <v>1769</v>
      </c>
      <c r="H165" s="1355" t="s">
        <v>1770</v>
      </c>
      <c r="I165" s="1356">
        <v>10</v>
      </c>
      <c r="J165" s="1357">
        <v>3.3</v>
      </c>
      <c r="K165" s="1358" t="s">
        <v>1771</v>
      </c>
      <c r="L165" s="1359" t="s">
        <v>1772</v>
      </c>
      <c r="M165" s="1360" t="s">
        <v>1773</v>
      </c>
      <c r="N165" s="1425" t="s">
        <v>1774</v>
      </c>
      <c r="O165" s="1360" t="s">
        <v>1775</v>
      </c>
      <c r="P165" s="1358" t="s">
        <v>1776</v>
      </c>
      <c r="Q165" s="1359" t="s">
        <v>1777</v>
      </c>
      <c r="R165" s="1360" t="s">
        <v>1778</v>
      </c>
      <c r="S165" s="1426" t="s">
        <v>1779</v>
      </c>
      <c r="T165" s="1361" t="s">
        <v>1780</v>
      </c>
    </row>
    <row r="166" spans="2:20" hidden="1">
      <c r="B166" s="1484">
        <v>17</v>
      </c>
      <c r="C166" s="1240" t="s">
        <v>1550</v>
      </c>
      <c r="D166" s="410">
        <v>61</v>
      </c>
      <c r="E166" s="1352">
        <v>100</v>
      </c>
      <c r="F166" s="1353" t="s">
        <v>1781</v>
      </c>
      <c r="G166" s="1512" t="s">
        <v>1782</v>
      </c>
      <c r="H166" s="1355" t="s">
        <v>1783</v>
      </c>
      <c r="I166" s="1356">
        <v>12</v>
      </c>
      <c r="J166" s="1357">
        <v>4</v>
      </c>
      <c r="K166" s="1425" t="s">
        <v>1784</v>
      </c>
      <c r="L166" s="1443" t="s">
        <v>1785</v>
      </c>
      <c r="M166" s="1360" t="s">
        <v>1786</v>
      </c>
      <c r="N166" s="1425" t="s">
        <v>1787</v>
      </c>
      <c r="O166" s="1360" t="s">
        <v>1788</v>
      </c>
      <c r="P166" s="1358" t="s">
        <v>1789</v>
      </c>
      <c r="Q166" s="1443" t="s">
        <v>1790</v>
      </c>
      <c r="R166" s="1360" t="s">
        <v>1791</v>
      </c>
      <c r="S166" s="1426" t="s">
        <v>1792</v>
      </c>
      <c r="T166" s="1361" t="s">
        <v>1793</v>
      </c>
    </row>
    <row r="167" spans="2:20" hidden="1">
      <c r="B167" s="1484">
        <v>18</v>
      </c>
      <c r="D167" s="410">
        <v>69</v>
      </c>
      <c r="E167" s="1352">
        <v>110</v>
      </c>
      <c r="F167" s="1353" t="s">
        <v>1794</v>
      </c>
      <c r="G167" s="1512" t="s">
        <v>1795</v>
      </c>
      <c r="H167" s="1355" t="s">
        <v>1796</v>
      </c>
      <c r="I167" s="1356">
        <v>12</v>
      </c>
      <c r="J167" s="1357">
        <v>4</v>
      </c>
      <c r="K167" s="1425" t="s">
        <v>1797</v>
      </c>
      <c r="L167" s="1437" t="s">
        <v>1798</v>
      </c>
      <c r="M167" s="1360" t="s">
        <v>1799</v>
      </c>
      <c r="N167" s="1425" t="s">
        <v>1800</v>
      </c>
      <c r="O167" s="1360" t="s">
        <v>1801</v>
      </c>
      <c r="P167" s="1358" t="s">
        <v>1802</v>
      </c>
      <c r="Q167" s="1438" t="s">
        <v>1803</v>
      </c>
      <c r="R167" s="1360" t="s">
        <v>1804</v>
      </c>
      <c r="S167" s="1426" t="s">
        <v>1805</v>
      </c>
      <c r="T167" s="1361" t="s">
        <v>1806</v>
      </c>
    </row>
    <row r="168" spans="2:20" hidden="1">
      <c r="B168" s="1484">
        <v>19</v>
      </c>
      <c r="C168" s="1240" t="s">
        <v>1702</v>
      </c>
      <c r="D168" s="410">
        <v>71</v>
      </c>
      <c r="E168" s="1352">
        <v>120</v>
      </c>
      <c r="F168" s="1353" t="s">
        <v>1807</v>
      </c>
      <c r="G168" s="1512" t="s">
        <v>1808</v>
      </c>
      <c r="H168" s="1355" t="s">
        <v>1809</v>
      </c>
      <c r="I168" s="1356">
        <v>12</v>
      </c>
      <c r="J168" s="1357">
        <v>4</v>
      </c>
      <c r="K168" s="1425" t="s">
        <v>1810</v>
      </c>
      <c r="L168" s="1447" t="s">
        <v>1811</v>
      </c>
      <c r="M168" s="1360" t="s">
        <v>1812</v>
      </c>
      <c r="N168" s="1425" t="s">
        <v>1813</v>
      </c>
      <c r="O168" s="1360" t="s">
        <v>1814</v>
      </c>
      <c r="P168" s="1358" t="s">
        <v>1815</v>
      </c>
      <c r="Q168" s="1438" t="s">
        <v>1816</v>
      </c>
      <c r="R168" s="1360" t="s">
        <v>1817</v>
      </c>
      <c r="S168" s="1426" t="s">
        <v>1818</v>
      </c>
      <c r="T168" s="1361" t="s">
        <v>1819</v>
      </c>
    </row>
    <row r="169" spans="2:20" hidden="1">
      <c r="B169" s="1484">
        <v>20</v>
      </c>
      <c r="D169" s="410">
        <v>75</v>
      </c>
      <c r="E169" s="1352">
        <v>125</v>
      </c>
      <c r="F169" s="1353" t="s">
        <v>1820</v>
      </c>
      <c r="G169" s="1512" t="s">
        <v>1821</v>
      </c>
      <c r="H169" s="1355" t="s">
        <v>1822</v>
      </c>
      <c r="I169" s="1356">
        <v>14</v>
      </c>
      <c r="J169" s="1357">
        <v>4.5999999999999996</v>
      </c>
      <c r="K169" s="1425" t="s">
        <v>1823</v>
      </c>
      <c r="L169" s="1369" t="s">
        <v>1824</v>
      </c>
      <c r="M169" s="1360" t="s">
        <v>1825</v>
      </c>
      <c r="N169" s="1425" t="s">
        <v>1826</v>
      </c>
      <c r="O169" s="1360" t="s">
        <v>1827</v>
      </c>
      <c r="P169" s="1425" t="s">
        <v>1828</v>
      </c>
      <c r="Q169" s="1443" t="s">
        <v>1829</v>
      </c>
      <c r="R169" s="1360" t="s">
        <v>1830</v>
      </c>
      <c r="S169" s="1426" t="s">
        <v>1831</v>
      </c>
      <c r="T169" s="1361" t="s">
        <v>1832</v>
      </c>
    </row>
    <row r="170" spans="2:20" hidden="1">
      <c r="B170" s="1484">
        <v>21</v>
      </c>
      <c r="D170" s="410">
        <v>81</v>
      </c>
      <c r="E170" s="1352">
        <v>140</v>
      </c>
      <c r="F170" s="1353" t="s">
        <v>1833</v>
      </c>
      <c r="G170" s="1512" t="s">
        <v>1834</v>
      </c>
      <c r="H170" s="1355" t="s">
        <v>1835</v>
      </c>
      <c r="I170" s="1356">
        <v>14</v>
      </c>
      <c r="J170" s="1357">
        <v>4.5999999999999996</v>
      </c>
      <c r="K170" s="1425" t="s">
        <v>1836</v>
      </c>
      <c r="L170" s="1513" t="s">
        <v>1837</v>
      </c>
      <c r="M170" s="1360" t="s">
        <v>1838</v>
      </c>
      <c r="N170" s="1425" t="s">
        <v>1839</v>
      </c>
      <c r="O170" s="1360" t="s">
        <v>1840</v>
      </c>
      <c r="P170" s="1425" t="s">
        <v>1841</v>
      </c>
      <c r="Q170" s="1443" t="s">
        <v>1842</v>
      </c>
      <c r="R170" s="1360" t="s">
        <v>1843</v>
      </c>
      <c r="S170" s="1426" t="s">
        <v>1844</v>
      </c>
      <c r="T170" s="1361" t="s">
        <v>1845</v>
      </c>
    </row>
    <row r="171" spans="2:20" hidden="1">
      <c r="B171" s="1484">
        <v>22</v>
      </c>
      <c r="C171" s="1240" t="s">
        <v>1702</v>
      </c>
      <c r="D171" s="410">
        <v>84</v>
      </c>
      <c r="E171" s="1352">
        <v>150</v>
      </c>
      <c r="F171" s="1353" t="s">
        <v>1846</v>
      </c>
      <c r="G171" s="1512" t="s">
        <v>1847</v>
      </c>
      <c r="H171" s="1355" t="s">
        <v>1848</v>
      </c>
      <c r="I171" s="1356">
        <v>14</v>
      </c>
      <c r="J171" s="1357">
        <v>4.5999999999999996</v>
      </c>
      <c r="K171" s="1425" t="s">
        <v>1849</v>
      </c>
      <c r="L171" s="1513" t="s">
        <v>1850</v>
      </c>
      <c r="M171" s="1360" t="s">
        <v>1851</v>
      </c>
      <c r="N171" s="1425" t="s">
        <v>1852</v>
      </c>
      <c r="O171" s="1360" t="s">
        <v>1853</v>
      </c>
      <c r="P171" s="1425" t="s">
        <v>1854</v>
      </c>
      <c r="Q171" s="1443" t="s">
        <v>1855</v>
      </c>
      <c r="R171" s="1360" t="s">
        <v>1856</v>
      </c>
      <c r="S171" s="1426" t="s">
        <v>1857</v>
      </c>
      <c r="T171" s="1361" t="s">
        <v>1858</v>
      </c>
    </row>
    <row r="172" spans="2:20" hidden="1">
      <c r="B172" s="1484">
        <v>23</v>
      </c>
      <c r="D172" s="410">
        <v>88</v>
      </c>
      <c r="E172" s="1352">
        <v>160</v>
      </c>
      <c r="F172" s="1353" t="s">
        <v>1859</v>
      </c>
      <c r="G172" s="1512" t="s">
        <v>1860</v>
      </c>
      <c r="H172" s="1355" t="s">
        <v>1861</v>
      </c>
      <c r="I172" s="1356">
        <v>16</v>
      </c>
      <c r="J172" s="1357">
        <v>5.3</v>
      </c>
      <c r="K172" s="1425" t="s">
        <v>1862</v>
      </c>
      <c r="L172" s="1443" t="s">
        <v>1863</v>
      </c>
      <c r="M172" s="1360" t="s">
        <v>1864</v>
      </c>
      <c r="N172" s="1425" t="s">
        <v>1865</v>
      </c>
      <c r="O172" s="1360" t="s">
        <v>1866</v>
      </c>
      <c r="P172" s="1425" t="s">
        <v>1867</v>
      </c>
      <c r="Q172" s="1443" t="s">
        <v>1868</v>
      </c>
      <c r="R172" s="1360" t="s">
        <v>1869</v>
      </c>
      <c r="S172" s="1426" t="s">
        <v>1870</v>
      </c>
      <c r="T172" s="1361" t="s">
        <v>1871</v>
      </c>
    </row>
    <row r="173" spans="2:20" hidden="1">
      <c r="B173" s="1484">
        <v>24</v>
      </c>
      <c r="C173" s="1240" t="s">
        <v>1550</v>
      </c>
      <c r="D173" s="410">
        <v>95</v>
      </c>
      <c r="E173" s="1352">
        <v>180</v>
      </c>
      <c r="F173" s="1353" t="s">
        <v>1872</v>
      </c>
      <c r="G173" s="1512" t="s">
        <v>1873</v>
      </c>
      <c r="H173" s="1355" t="s">
        <v>1874</v>
      </c>
      <c r="I173" s="1356">
        <v>16</v>
      </c>
      <c r="J173" s="1357">
        <v>5.3</v>
      </c>
      <c r="K173" s="1425" t="s">
        <v>1875</v>
      </c>
      <c r="L173" s="1437" t="s">
        <v>1876</v>
      </c>
      <c r="M173" s="1360" t="s">
        <v>1877</v>
      </c>
      <c r="N173" s="1425" t="s">
        <v>1878</v>
      </c>
      <c r="O173" s="1360" t="s">
        <v>1879</v>
      </c>
      <c r="P173" s="1425" t="s">
        <v>1880</v>
      </c>
      <c r="Q173" s="1437" t="s">
        <v>1881</v>
      </c>
      <c r="R173" s="1360" t="s">
        <v>1882</v>
      </c>
      <c r="S173" s="1426" t="s">
        <v>1883</v>
      </c>
      <c r="T173" s="1361" t="s">
        <v>1884</v>
      </c>
    </row>
    <row r="174" spans="2:20" hidden="1">
      <c r="B174" s="1484">
        <v>25</v>
      </c>
      <c r="D174" s="410">
        <v>100</v>
      </c>
      <c r="E174" s="1352">
        <v>200</v>
      </c>
      <c r="F174" s="1353" t="s">
        <v>1885</v>
      </c>
      <c r="G174" s="1512" t="s">
        <v>1886</v>
      </c>
      <c r="H174" s="1355" t="s">
        <v>1887</v>
      </c>
      <c r="I174" s="1356">
        <v>18</v>
      </c>
      <c r="J174" s="1357">
        <v>6</v>
      </c>
      <c r="K174" s="1425" t="s">
        <v>1888</v>
      </c>
      <c r="L174" s="1443" t="s">
        <v>1889</v>
      </c>
      <c r="M174" s="1360" t="s">
        <v>1890</v>
      </c>
      <c r="N174" s="1425" t="s">
        <v>1891</v>
      </c>
      <c r="O174" s="1360" t="s">
        <v>1892</v>
      </c>
      <c r="P174" s="1425" t="s">
        <v>1893</v>
      </c>
      <c r="Q174" s="1443" t="s">
        <v>1894</v>
      </c>
      <c r="R174" s="1360" t="s">
        <v>1895</v>
      </c>
      <c r="S174" s="1426" t="s">
        <v>1896</v>
      </c>
      <c r="T174" s="1361" t="s">
        <v>1897</v>
      </c>
    </row>
    <row r="175" spans="2:20" hidden="1">
      <c r="B175" s="1484">
        <v>26</v>
      </c>
      <c r="D175" s="410">
        <v>108</v>
      </c>
      <c r="E175" s="1352">
        <v>220</v>
      </c>
      <c r="F175" s="1353" t="s">
        <v>1898</v>
      </c>
      <c r="G175" s="1512" t="s">
        <v>1899</v>
      </c>
      <c r="H175" s="1355" t="s">
        <v>1900</v>
      </c>
      <c r="I175" s="1356">
        <v>21</v>
      </c>
      <c r="J175" s="1357">
        <v>7</v>
      </c>
      <c r="K175" s="1425" t="s">
        <v>1901</v>
      </c>
      <c r="L175" s="1437" t="s">
        <v>1902</v>
      </c>
      <c r="M175" s="1360" t="s">
        <v>1903</v>
      </c>
      <c r="N175" s="1425" t="s">
        <v>1904</v>
      </c>
      <c r="O175" s="1360" t="s">
        <v>1905</v>
      </c>
      <c r="P175" s="1425" t="s">
        <v>1906</v>
      </c>
      <c r="Q175" s="1437" t="s">
        <v>1907</v>
      </c>
      <c r="R175" s="1360" t="s">
        <v>1908</v>
      </c>
      <c r="S175" s="1426" t="s">
        <v>1909</v>
      </c>
      <c r="T175" s="1361" t="s">
        <v>1910</v>
      </c>
    </row>
    <row r="176" spans="2:20" ht="13.5" hidden="1" thickBot="1">
      <c r="B176" s="1484">
        <v>27</v>
      </c>
      <c r="D176" s="410">
        <v>110</v>
      </c>
      <c r="E176" s="1514">
        <v>250</v>
      </c>
      <c r="F176" s="1515" t="s">
        <v>1911</v>
      </c>
      <c r="G176" s="1516" t="s">
        <v>1912</v>
      </c>
      <c r="H176" s="1517" t="s">
        <v>1913</v>
      </c>
      <c r="I176" s="1518">
        <v>24</v>
      </c>
      <c r="J176" s="1519">
        <v>8</v>
      </c>
      <c r="K176" s="1520" t="s">
        <v>1914</v>
      </c>
      <c r="L176" s="1521" t="s">
        <v>1915</v>
      </c>
      <c r="M176" s="1522" t="s">
        <v>1916</v>
      </c>
      <c r="N176" s="1520" t="s">
        <v>1917</v>
      </c>
      <c r="O176" s="1522" t="s">
        <v>1918</v>
      </c>
      <c r="P176" s="1520" t="s">
        <v>1919</v>
      </c>
      <c r="Q176" s="1521" t="s">
        <v>1920</v>
      </c>
      <c r="R176" s="1522" t="s">
        <v>1921</v>
      </c>
      <c r="S176" s="1523" t="s">
        <v>1922</v>
      </c>
      <c r="T176" s="1524" t="s">
        <v>1923</v>
      </c>
    </row>
    <row r="177" ht="13.5" hidden="1" thickTop="1"/>
    <row r="178" hidden="1"/>
  </sheetData>
  <pageMargins left="0.7" right="0.7" top="0.75" bottom="0.75" header="0.3" footer="0.3"/>
  <pageSetup paperSize="9" orientation="portrait" horizontalDpi="300" verticalDpi="240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List Box 5">
              <controlPr defaultSize="0" print="0" autoFill="0" autoLine="0" autoPict="0" macro="[0]!Мак2_для_листа1">
                <anchor>
                  <from>
                    <xdr:col>9</xdr:col>
                    <xdr:colOff>28575</xdr:colOff>
                    <xdr:row>1</xdr:row>
                    <xdr:rowOff>38100</xdr:rowOff>
                  </from>
                  <to>
                    <xdr:col>11</xdr:col>
                    <xdr:colOff>209550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5" name="Drop Down 29">
              <controlPr defaultSize="0" print="0" autoFill="0" autoLine="0" autoPict="0" macro="[0]!Мак3_для_листа1">
                <anchor moveWithCells="1">
                  <from>
                    <xdr:col>12</xdr:col>
                    <xdr:colOff>9525</xdr:colOff>
                    <xdr:row>2</xdr:row>
                    <xdr:rowOff>133350</xdr:rowOff>
                  </from>
                  <to>
                    <xdr:col>13</xdr:col>
                    <xdr:colOff>209550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Drop Down 4">
              <controlPr defaultSize="0" print="0" autoFill="0" autoLine="0" autoPict="0" macro="[0]!Мак1_для_листа1">
                <anchor moveWithCells="1">
                  <from>
                    <xdr:col>11</xdr:col>
                    <xdr:colOff>333375</xdr:colOff>
                    <xdr:row>1</xdr:row>
                    <xdr:rowOff>57150</xdr:rowOff>
                  </from>
                  <to>
                    <xdr:col>17</xdr:col>
                    <xdr:colOff>104775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7" name="Button 34">
              <controlPr locked="0" defaultSize="0" print="0" autoFill="0" autoLine="0" autoPict="0" macro="[0]!Вначало">
                <anchor moveWithCells="1">
                  <from>
                    <xdr:col>7</xdr:col>
                    <xdr:colOff>238125</xdr:colOff>
                    <xdr:row>0</xdr:row>
                    <xdr:rowOff>19050</xdr:rowOff>
                  </from>
                  <to>
                    <xdr:col>14</xdr:col>
                    <xdr:colOff>247650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F134"/>
  <sheetViews>
    <sheetView workbookViewId="0">
      <pane ySplit="11" topLeftCell="A12" activePane="bottomLeft" state="frozenSplit"/>
      <selection pane="bottomLeft" activeCell="C17" sqref="C17"/>
    </sheetView>
  </sheetViews>
  <sheetFormatPr defaultRowHeight="12.75"/>
  <cols>
    <col min="1" max="1" width="10.140625" customWidth="1"/>
    <col min="2" max="2" width="9.42578125" style="140" customWidth="1"/>
    <col min="3" max="3" width="8.42578125" customWidth="1"/>
    <col min="4" max="4" width="5.7109375" style="60" customWidth="1"/>
    <col min="5" max="7" width="6.7109375" style="1" customWidth="1"/>
    <col min="8" max="8" width="5.28515625" style="46" customWidth="1"/>
    <col min="9" max="9" width="7.28515625" customWidth="1"/>
    <col min="10" max="10" width="3.5703125" style="1" customWidth="1"/>
    <col min="11" max="11" width="3.5703125" customWidth="1"/>
    <col min="12" max="12" width="7.5703125" customWidth="1"/>
    <col min="13" max="13" width="6.5703125" customWidth="1"/>
    <col min="14" max="14" width="4.5703125" customWidth="1"/>
    <col min="15" max="16" width="6.5703125" style="1" customWidth="1"/>
    <col min="17" max="17" width="4.42578125" customWidth="1"/>
    <col min="18" max="18" width="6.5703125" customWidth="1"/>
    <col min="19" max="19" width="5.5703125" customWidth="1"/>
    <col min="20" max="20" width="4.7109375" customWidth="1"/>
    <col min="21" max="21" width="5.5703125" customWidth="1"/>
    <col min="22" max="22" width="5.140625" customWidth="1"/>
    <col min="23" max="23" width="5.5703125" customWidth="1"/>
    <col min="24" max="24" width="5.85546875" customWidth="1"/>
    <col min="25" max="25" width="4.42578125" customWidth="1"/>
    <col min="26" max="26" width="4.5703125" customWidth="1"/>
    <col min="27" max="27" width="7.7109375" customWidth="1"/>
    <col min="28" max="28" width="7.28515625" customWidth="1"/>
    <col min="29" max="29" width="7.5703125" customWidth="1"/>
    <col min="30" max="32" width="7.28515625" customWidth="1"/>
  </cols>
  <sheetData>
    <row r="1" spans="2:32" ht="19.5" customHeight="1">
      <c r="B1" s="599"/>
      <c r="I1" s="1"/>
      <c r="K1" s="1"/>
      <c r="L1" s="1"/>
      <c r="M1" s="1"/>
      <c r="N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2:32" ht="13.5" thickBot="1">
      <c r="B2" s="599"/>
      <c r="G2" s="41" t="s">
        <v>1924</v>
      </c>
      <c r="I2" s="1"/>
      <c r="K2" s="1"/>
      <c r="L2" s="1"/>
      <c r="M2" s="35"/>
      <c r="N2" s="35"/>
      <c r="O2" s="35"/>
      <c r="P2" s="35"/>
      <c r="Q2" s="35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2:32" ht="13.5" thickBot="1">
      <c r="B3" s="599"/>
      <c r="F3" s="1030" t="s">
        <v>1484</v>
      </c>
      <c r="G3" s="1029">
        <v>3</v>
      </c>
      <c r="H3" s="411">
        <f>F3*G3</f>
        <v>30</v>
      </c>
      <c r="I3" s="42" t="s">
        <v>1483</v>
      </c>
      <c r="K3" s="1"/>
      <c r="L3" s="1"/>
      <c r="M3" s="1"/>
      <c r="N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2:32" ht="13.5" thickBot="1">
      <c r="B4" s="599"/>
      <c r="F4" s="1031" t="s">
        <v>1925</v>
      </c>
      <c r="G4" s="412">
        <f>G3</f>
        <v>3</v>
      </c>
      <c r="H4" s="413">
        <f>IF(G4=0,0,F4/G4)</f>
        <v>7.333333333333333</v>
      </c>
      <c r="I4" s="407" t="s">
        <v>1926</v>
      </c>
      <c r="K4" s="1"/>
      <c r="L4" s="1"/>
      <c r="M4" s="1"/>
      <c r="N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2:32" ht="15" thickBot="1">
      <c r="B5" s="599"/>
      <c r="E5" s="581" t="s">
        <v>1927</v>
      </c>
      <c r="F5" s="580"/>
      <c r="G5" s="1024">
        <v>1.43</v>
      </c>
      <c r="H5" s="408"/>
      <c r="I5" s="735" t="s">
        <v>1928</v>
      </c>
      <c r="K5" s="1"/>
      <c r="L5" s="1"/>
      <c r="M5" s="1"/>
      <c r="N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2:32" ht="13.5" thickBot="1">
      <c r="B6" s="599"/>
      <c r="E6" s="736"/>
      <c r="F6" s="737" t="s">
        <v>1488</v>
      </c>
      <c r="G6" s="1032" t="s">
        <v>1958</v>
      </c>
      <c r="H6" s="738"/>
      <c r="I6" s="1530" t="str">
        <f>IF(G6=0,"",CHOOSE(M90,D10,E11,F11,G11,H11,I11,J11,K11,L11,M11,N11,O11,P11,Q11,R11,S11,T11,U11,V11,W11,X10))</f>
        <v>№</v>
      </c>
      <c r="K6" s="1"/>
      <c r="N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2:32">
      <c r="B7" s="599"/>
      <c r="I7" s="1"/>
      <c r="K7" s="1"/>
      <c r="N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2:32" ht="13.5" thickBot="1">
      <c r="B8" s="599"/>
      <c r="I8" s="1"/>
      <c r="K8" s="1"/>
      <c r="L8" s="601" t="s">
        <v>1929</v>
      </c>
      <c r="M8" s="1"/>
      <c r="N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2:32" s="414" customFormat="1" ht="36" customHeight="1">
      <c r="B9" s="600"/>
      <c r="D9" s="415" t="s">
        <v>1930</v>
      </c>
      <c r="E9" s="416" t="s">
        <v>1490</v>
      </c>
      <c r="F9" s="417" t="s">
        <v>1490</v>
      </c>
      <c r="G9" s="418" t="s">
        <v>1490</v>
      </c>
      <c r="H9" s="419" t="s">
        <v>1491</v>
      </c>
      <c r="I9" s="415" t="s">
        <v>1931</v>
      </c>
      <c r="J9" s="420"/>
      <c r="K9" s="421"/>
      <c r="L9" s="416" t="s">
        <v>1521</v>
      </c>
      <c r="M9" s="417" t="s">
        <v>1932</v>
      </c>
      <c r="N9" s="418" t="s">
        <v>1523</v>
      </c>
      <c r="O9" s="416" t="s">
        <v>1933</v>
      </c>
      <c r="P9" s="417" t="s">
        <v>1934</v>
      </c>
      <c r="Q9" s="418" t="s">
        <v>1933</v>
      </c>
      <c r="R9" s="416" t="s">
        <v>1935</v>
      </c>
      <c r="S9" s="417" t="s">
        <v>1936</v>
      </c>
      <c r="T9" s="418" t="s">
        <v>1937</v>
      </c>
      <c r="U9" s="415"/>
      <c r="V9" s="415"/>
      <c r="W9" s="415"/>
      <c r="X9" s="415" t="s">
        <v>1938</v>
      </c>
      <c r="Y9" s="422"/>
      <c r="Z9" s="422"/>
      <c r="AA9" s="422"/>
      <c r="AB9" s="422"/>
      <c r="AC9" s="422"/>
      <c r="AD9" s="422"/>
      <c r="AE9" s="422"/>
      <c r="AF9" s="422"/>
    </row>
    <row r="10" spans="2:32" s="7" customFormat="1" ht="18.75">
      <c r="B10" s="601"/>
      <c r="D10" s="75" t="s">
        <v>1544</v>
      </c>
      <c r="E10" s="13" t="s">
        <v>1939</v>
      </c>
      <c r="F10" s="15" t="s">
        <v>1528</v>
      </c>
      <c r="G10" s="9" t="s">
        <v>1529</v>
      </c>
      <c r="H10" s="47" t="s">
        <v>1530</v>
      </c>
      <c r="I10" s="11" t="s">
        <v>1531</v>
      </c>
      <c r="J10" s="13" t="s">
        <v>1532</v>
      </c>
      <c r="K10" s="9" t="s">
        <v>1533</v>
      </c>
      <c r="L10" s="13" t="s">
        <v>1940</v>
      </c>
      <c r="M10" s="73" t="s">
        <v>1941</v>
      </c>
      <c r="N10" s="74" t="s">
        <v>1942</v>
      </c>
      <c r="O10" s="13" t="s">
        <v>1943</v>
      </c>
      <c r="P10" s="73" t="s">
        <v>1944</v>
      </c>
      <c r="Q10" s="9" t="s">
        <v>1945</v>
      </c>
      <c r="R10" s="13" t="s">
        <v>1946</v>
      </c>
      <c r="S10" s="73" t="s">
        <v>1947</v>
      </c>
      <c r="T10" s="9" t="s">
        <v>1948</v>
      </c>
      <c r="U10" s="45" t="s">
        <v>1949</v>
      </c>
      <c r="V10" s="45" t="s">
        <v>1950</v>
      </c>
      <c r="W10" s="13" t="s">
        <v>1951</v>
      </c>
      <c r="X10" s="45" t="s">
        <v>1952</v>
      </c>
      <c r="Y10" s="9"/>
      <c r="Z10" s="9"/>
      <c r="AA10" s="9"/>
      <c r="AB10" s="9"/>
      <c r="AC10" s="9"/>
      <c r="AD10" s="9"/>
      <c r="AE10" s="9"/>
      <c r="AF10" s="9"/>
    </row>
    <row r="11" spans="2:32" s="8" customFormat="1" ht="15.75" thickBot="1">
      <c r="C11" s="3" t="s">
        <v>1953</v>
      </c>
      <c r="D11" s="76"/>
      <c r="E11" s="14" t="s">
        <v>1545</v>
      </c>
      <c r="F11" s="16" t="s">
        <v>1545</v>
      </c>
      <c r="G11" s="10" t="s">
        <v>1545</v>
      </c>
      <c r="H11" s="48" t="s">
        <v>1483</v>
      </c>
      <c r="I11" s="12" t="s">
        <v>1954</v>
      </c>
      <c r="J11" s="14" t="s">
        <v>1955</v>
      </c>
      <c r="K11" s="10" t="s">
        <v>1545</v>
      </c>
      <c r="L11" s="14" t="s">
        <v>1956</v>
      </c>
      <c r="M11" s="68" t="s">
        <v>1548</v>
      </c>
      <c r="N11" s="40" t="s">
        <v>1549</v>
      </c>
      <c r="O11" s="14" t="s">
        <v>1956</v>
      </c>
      <c r="P11" s="68" t="s">
        <v>1548</v>
      </c>
      <c r="Q11" s="10" t="s">
        <v>1549</v>
      </c>
      <c r="R11" s="14" t="s">
        <v>1956</v>
      </c>
      <c r="S11" s="68" t="s">
        <v>1548</v>
      </c>
      <c r="T11" s="10" t="s">
        <v>1549</v>
      </c>
      <c r="U11" s="25" t="s">
        <v>1549</v>
      </c>
      <c r="V11" s="25" t="s">
        <v>1549</v>
      </c>
      <c r="W11" s="14" t="s">
        <v>1956</v>
      </c>
      <c r="X11" s="25"/>
      <c r="Y11" s="44"/>
      <c r="Z11" s="44"/>
      <c r="AA11" s="44"/>
      <c r="AB11" s="44"/>
      <c r="AC11" s="44"/>
      <c r="AD11" s="44"/>
      <c r="AE11" s="44"/>
      <c r="AF11" s="44"/>
    </row>
    <row r="12" spans="2:32">
      <c r="C12" s="2">
        <v>1</v>
      </c>
      <c r="D12" s="588" t="s">
        <v>1957</v>
      </c>
      <c r="E12" s="589">
        <v>25</v>
      </c>
      <c r="F12" s="590">
        <v>16</v>
      </c>
      <c r="G12" s="591">
        <v>3</v>
      </c>
      <c r="H12" s="592">
        <v>0.91</v>
      </c>
      <c r="I12" s="592">
        <v>1.1599999999999999</v>
      </c>
      <c r="J12" s="451">
        <v>3.5</v>
      </c>
      <c r="K12" s="452">
        <v>1.2</v>
      </c>
      <c r="L12" s="453">
        <v>0.7</v>
      </c>
      <c r="M12" s="454">
        <v>0.43</v>
      </c>
      <c r="N12" s="455">
        <v>0.78</v>
      </c>
      <c r="O12" s="456">
        <v>0.22</v>
      </c>
      <c r="P12" s="457">
        <v>0.19</v>
      </c>
      <c r="Q12" s="455">
        <v>0.44</v>
      </c>
      <c r="R12" s="458">
        <v>0.13</v>
      </c>
      <c r="S12" s="459">
        <v>0.16</v>
      </c>
      <c r="T12" s="460">
        <f>V12*X12</f>
        <v>0.33657931034482763</v>
      </c>
      <c r="U12" s="458">
        <v>0.42</v>
      </c>
      <c r="V12" s="460">
        <v>0.85862068965517246</v>
      </c>
      <c r="W12" s="461">
        <v>0.22</v>
      </c>
      <c r="X12" s="461">
        <v>0.39200000000000002</v>
      </c>
    </row>
    <row r="13" spans="2:32">
      <c r="B13" s="140" t="s">
        <v>1550</v>
      </c>
      <c r="C13" s="2">
        <v>2</v>
      </c>
      <c r="D13" s="433" t="s">
        <v>1958</v>
      </c>
      <c r="E13" s="434">
        <v>30</v>
      </c>
      <c r="F13" s="435">
        <v>20</v>
      </c>
      <c r="G13" s="436">
        <v>3</v>
      </c>
      <c r="H13" s="437">
        <v>1.1200000000000001</v>
      </c>
      <c r="I13" s="437">
        <v>1.43</v>
      </c>
      <c r="J13" s="84">
        <v>3.5</v>
      </c>
      <c r="K13" s="85">
        <v>1.2</v>
      </c>
      <c r="L13" s="93">
        <v>1.27</v>
      </c>
      <c r="M13" s="78">
        <v>0.62</v>
      </c>
      <c r="N13" s="94">
        <v>0.91</v>
      </c>
      <c r="O13" s="101">
        <v>0.45</v>
      </c>
      <c r="P13" s="77">
        <v>0.3</v>
      </c>
      <c r="Q13" s="94">
        <v>0.56000000000000005</v>
      </c>
      <c r="R13" s="93">
        <v>0.26</v>
      </c>
      <c r="S13" s="78">
        <v>0.25</v>
      </c>
      <c r="T13" s="104">
        <v>0.43</v>
      </c>
      <c r="U13" s="93">
        <v>0.50454545454545463</v>
      </c>
      <c r="V13" s="94">
        <v>0.99755244755244765</v>
      </c>
      <c r="W13" s="107">
        <v>0.43</v>
      </c>
      <c r="X13" s="107">
        <v>0.42699999999999999</v>
      </c>
    </row>
    <row r="14" spans="2:32">
      <c r="B14" s="602" t="s">
        <v>1550</v>
      </c>
      <c r="C14" s="2">
        <v>3</v>
      </c>
      <c r="D14" s="438" t="s">
        <v>1958</v>
      </c>
      <c r="E14" s="439">
        <v>30</v>
      </c>
      <c r="F14" s="440">
        <v>20</v>
      </c>
      <c r="G14" s="441">
        <v>4</v>
      </c>
      <c r="H14" s="442">
        <v>1.46</v>
      </c>
      <c r="I14" s="442">
        <v>1.86</v>
      </c>
      <c r="J14" s="86">
        <v>3.5</v>
      </c>
      <c r="K14" s="87">
        <v>1.2</v>
      </c>
      <c r="L14" s="95">
        <v>1.61</v>
      </c>
      <c r="M14" s="80">
        <v>0.82</v>
      </c>
      <c r="N14" s="96">
        <v>0.93</v>
      </c>
      <c r="O14" s="102">
        <v>0.56000000000000005</v>
      </c>
      <c r="P14" s="79">
        <v>0.39</v>
      </c>
      <c r="Q14" s="96">
        <v>0.55000000000000004</v>
      </c>
      <c r="R14" s="95">
        <v>0.34</v>
      </c>
      <c r="S14" s="80">
        <v>0.32</v>
      </c>
      <c r="T14" s="105">
        <v>0.43</v>
      </c>
      <c r="U14" s="95">
        <v>0.54193548387096768</v>
      </c>
      <c r="V14" s="105">
        <v>1.0365591397849461</v>
      </c>
      <c r="W14" s="108">
        <v>0.51</v>
      </c>
      <c r="X14" s="108">
        <v>0.42099999999999999</v>
      </c>
    </row>
    <row r="15" spans="2:32">
      <c r="B15" s="602"/>
      <c r="C15" s="2">
        <v>4</v>
      </c>
      <c r="D15" s="509" t="s">
        <v>1959</v>
      </c>
      <c r="E15" s="510">
        <v>32</v>
      </c>
      <c r="F15" s="511">
        <v>20</v>
      </c>
      <c r="G15" s="512">
        <v>3</v>
      </c>
      <c r="H15" s="513">
        <v>1.17</v>
      </c>
      <c r="I15" s="513">
        <v>1.49</v>
      </c>
      <c r="J15" s="462">
        <v>3.5</v>
      </c>
      <c r="K15" s="463">
        <v>1.2</v>
      </c>
      <c r="L15" s="464">
        <v>1.52</v>
      </c>
      <c r="M15" s="465">
        <v>0.72</v>
      </c>
      <c r="N15" s="466">
        <v>1.01</v>
      </c>
      <c r="O15" s="467">
        <v>0.46</v>
      </c>
      <c r="P15" s="468">
        <v>0.3</v>
      </c>
      <c r="Q15" s="466">
        <v>0.55000000000000004</v>
      </c>
      <c r="R15" s="464">
        <v>0.28000000000000003</v>
      </c>
      <c r="S15" s="465">
        <v>0.25</v>
      </c>
      <c r="T15" s="469">
        <v>0.43</v>
      </c>
      <c r="U15" s="464">
        <v>0.49</v>
      </c>
      <c r="V15" s="469">
        <v>1.08</v>
      </c>
      <c r="W15" s="470">
        <v>0.47</v>
      </c>
      <c r="X15" s="470">
        <v>0.38200000000000001</v>
      </c>
    </row>
    <row r="16" spans="2:32">
      <c r="C16" s="2">
        <v>5</v>
      </c>
      <c r="D16" s="514" t="s">
        <v>1959</v>
      </c>
      <c r="E16" s="515">
        <v>32</v>
      </c>
      <c r="F16" s="516">
        <v>20</v>
      </c>
      <c r="G16" s="517">
        <v>4</v>
      </c>
      <c r="H16" s="518">
        <v>1.52</v>
      </c>
      <c r="I16" s="518">
        <v>1.94</v>
      </c>
      <c r="J16" s="471">
        <v>3.5</v>
      </c>
      <c r="K16" s="472">
        <v>1.2</v>
      </c>
      <c r="L16" s="473">
        <v>1.93</v>
      </c>
      <c r="M16" s="474">
        <v>0.93</v>
      </c>
      <c r="N16" s="475">
        <v>1</v>
      </c>
      <c r="O16" s="476">
        <v>0.56999999999999995</v>
      </c>
      <c r="P16" s="477">
        <v>0.39</v>
      </c>
      <c r="Q16" s="475">
        <v>0.54</v>
      </c>
      <c r="R16" s="473">
        <v>0.35</v>
      </c>
      <c r="S16" s="474">
        <v>0.33</v>
      </c>
      <c r="T16" s="478">
        <v>0.43</v>
      </c>
      <c r="U16" s="473">
        <v>0.52783505154639176</v>
      </c>
      <c r="V16" s="478">
        <v>1.1216494845360825</v>
      </c>
      <c r="W16" s="479">
        <v>0.59</v>
      </c>
      <c r="X16" s="479">
        <v>0.374</v>
      </c>
    </row>
    <row r="17" spans="2:24">
      <c r="C17" s="2">
        <v>6</v>
      </c>
      <c r="D17" s="433" t="s">
        <v>1960</v>
      </c>
      <c r="E17" s="434">
        <v>40</v>
      </c>
      <c r="F17" s="435">
        <v>25</v>
      </c>
      <c r="G17" s="436">
        <v>3</v>
      </c>
      <c r="H17" s="437">
        <v>1.48</v>
      </c>
      <c r="I17" s="437">
        <v>1.88</v>
      </c>
      <c r="J17" s="84">
        <v>4</v>
      </c>
      <c r="K17" s="88">
        <v>1.3</v>
      </c>
      <c r="L17" s="93">
        <v>3.06</v>
      </c>
      <c r="M17" s="78">
        <v>1.1399999999999999</v>
      </c>
      <c r="N17" s="94">
        <v>1.27</v>
      </c>
      <c r="O17" s="101">
        <v>0.93</v>
      </c>
      <c r="P17" s="77">
        <v>0.49</v>
      </c>
      <c r="Q17" s="94">
        <v>0.7</v>
      </c>
      <c r="R17" s="93">
        <v>0.56000000000000005</v>
      </c>
      <c r="S17" s="78">
        <v>0.41</v>
      </c>
      <c r="T17" s="104">
        <v>0.54</v>
      </c>
      <c r="U17" s="93">
        <v>0.58723404255319156</v>
      </c>
      <c r="V17" s="104">
        <v>1.3292553191489362</v>
      </c>
      <c r="W17" s="107">
        <v>0.96</v>
      </c>
      <c r="X17" s="107">
        <v>0.38500000000000001</v>
      </c>
    </row>
    <row r="18" spans="2:24">
      <c r="C18" s="2">
        <v>7</v>
      </c>
      <c r="D18" s="443" t="s">
        <v>1960</v>
      </c>
      <c r="E18" s="444">
        <v>40</v>
      </c>
      <c r="F18" s="445">
        <v>25</v>
      </c>
      <c r="G18" s="446">
        <v>4</v>
      </c>
      <c r="H18" s="447">
        <v>1.94</v>
      </c>
      <c r="I18" s="447">
        <v>2.4700000000000002</v>
      </c>
      <c r="J18" s="89">
        <v>4</v>
      </c>
      <c r="K18" s="90">
        <v>1.3</v>
      </c>
      <c r="L18" s="97">
        <v>3.93</v>
      </c>
      <c r="M18" s="83">
        <v>1.49</v>
      </c>
      <c r="N18" s="98">
        <v>1.26</v>
      </c>
      <c r="O18" s="103">
        <v>1.18</v>
      </c>
      <c r="P18" s="81">
        <v>0.63</v>
      </c>
      <c r="Q18" s="98">
        <v>0.69</v>
      </c>
      <c r="R18" s="97">
        <v>0.71</v>
      </c>
      <c r="S18" s="83">
        <v>0.52</v>
      </c>
      <c r="T18" s="99">
        <v>0.54</v>
      </c>
      <c r="U18" s="97">
        <v>0.62267206477732795</v>
      </c>
      <c r="V18" s="99">
        <v>1.3635627530364374</v>
      </c>
      <c r="W18" s="109">
        <v>1.22</v>
      </c>
      <c r="X18" s="109">
        <v>0.38100000000000001</v>
      </c>
    </row>
    <row r="19" spans="2:24">
      <c r="C19" s="2">
        <v>8</v>
      </c>
      <c r="D19" s="438" t="s">
        <v>1960</v>
      </c>
      <c r="E19" s="439">
        <v>40</v>
      </c>
      <c r="F19" s="440">
        <v>25</v>
      </c>
      <c r="G19" s="441">
        <v>5</v>
      </c>
      <c r="H19" s="442">
        <v>2.37</v>
      </c>
      <c r="I19" s="442">
        <v>3.02</v>
      </c>
      <c r="J19" s="86">
        <v>4</v>
      </c>
      <c r="K19" s="91">
        <v>1.3</v>
      </c>
      <c r="L19" s="95">
        <v>4.7300000000000004</v>
      </c>
      <c r="M19" s="80">
        <v>1.82</v>
      </c>
      <c r="N19" s="96">
        <v>1.25</v>
      </c>
      <c r="O19" s="102">
        <v>1.41</v>
      </c>
      <c r="P19" s="79">
        <v>0.77</v>
      </c>
      <c r="Q19" s="96">
        <v>0.68</v>
      </c>
      <c r="R19" s="95">
        <v>0.86</v>
      </c>
      <c r="S19" s="80">
        <v>0.61</v>
      </c>
      <c r="T19" s="105">
        <v>0.53</v>
      </c>
      <c r="U19" s="95">
        <v>0.66225165562913912</v>
      </c>
      <c r="V19" s="105">
        <v>1.4072847682119205</v>
      </c>
      <c r="W19" s="108">
        <v>1.44</v>
      </c>
      <c r="X19" s="108">
        <v>0.374</v>
      </c>
    </row>
    <row r="20" spans="2:24">
      <c r="B20" s="140" t="s">
        <v>1550</v>
      </c>
      <c r="C20" s="2">
        <v>9</v>
      </c>
      <c r="D20" s="509" t="s">
        <v>1970</v>
      </c>
      <c r="E20" s="510">
        <v>40</v>
      </c>
      <c r="F20" s="511">
        <v>30</v>
      </c>
      <c r="G20" s="512">
        <v>4</v>
      </c>
      <c r="H20" s="513">
        <v>2.2599999999999998</v>
      </c>
      <c r="I20" s="513">
        <v>2.67</v>
      </c>
      <c r="J20" s="462">
        <v>4</v>
      </c>
      <c r="K20" s="480">
        <v>1.3</v>
      </c>
      <c r="L20" s="464">
        <v>4.18</v>
      </c>
      <c r="M20" s="465">
        <v>1.54</v>
      </c>
      <c r="N20" s="466">
        <v>1.25</v>
      </c>
      <c r="O20" s="467">
        <v>2.0099999999999998</v>
      </c>
      <c r="P20" s="468">
        <v>0.91</v>
      </c>
      <c r="Q20" s="466">
        <v>0.87</v>
      </c>
      <c r="R20" s="464">
        <v>1.0900000000000001</v>
      </c>
      <c r="S20" s="465">
        <v>0.75</v>
      </c>
      <c r="T20" s="469">
        <v>0.64</v>
      </c>
      <c r="U20" s="464">
        <v>0.78</v>
      </c>
      <c r="V20" s="469">
        <v>1.28</v>
      </c>
      <c r="W20" s="470">
        <v>1.68</v>
      </c>
      <c r="X20" s="470">
        <v>0.54400000000000004</v>
      </c>
    </row>
    <row r="21" spans="2:24">
      <c r="B21" s="140" t="s">
        <v>1550</v>
      </c>
      <c r="C21" s="2">
        <v>10</v>
      </c>
      <c r="D21" s="514" t="s">
        <v>1970</v>
      </c>
      <c r="E21" s="515">
        <v>40</v>
      </c>
      <c r="F21" s="516">
        <v>30</v>
      </c>
      <c r="G21" s="517">
        <v>5</v>
      </c>
      <c r="H21" s="518">
        <v>2.46</v>
      </c>
      <c r="I21" s="518">
        <v>3.28</v>
      </c>
      <c r="J21" s="471">
        <v>4</v>
      </c>
      <c r="K21" s="481">
        <v>1.3</v>
      </c>
      <c r="L21" s="473">
        <v>5.04</v>
      </c>
      <c r="M21" s="474">
        <v>1.88</v>
      </c>
      <c r="N21" s="475">
        <v>1.24</v>
      </c>
      <c r="O21" s="476">
        <v>2.41</v>
      </c>
      <c r="P21" s="477">
        <v>1.1100000000000001</v>
      </c>
      <c r="Q21" s="475">
        <v>0.86</v>
      </c>
      <c r="R21" s="473">
        <v>1.33</v>
      </c>
      <c r="S21" s="474">
        <v>0.91</v>
      </c>
      <c r="T21" s="478">
        <v>0.64</v>
      </c>
      <c r="U21" s="473">
        <v>0.81935975609756106</v>
      </c>
      <c r="V21" s="478">
        <v>1.3147865853658538</v>
      </c>
      <c r="W21" s="482">
        <v>2</v>
      </c>
      <c r="X21" s="479">
        <v>0.53900000000000003</v>
      </c>
    </row>
    <row r="22" spans="2:24">
      <c r="C22" s="2">
        <v>11</v>
      </c>
      <c r="D22" s="433" t="s">
        <v>1971</v>
      </c>
      <c r="E22" s="434">
        <v>45</v>
      </c>
      <c r="F22" s="435">
        <v>28</v>
      </c>
      <c r="G22" s="436">
        <v>3</v>
      </c>
      <c r="H22" s="437">
        <v>1.68</v>
      </c>
      <c r="I22" s="437">
        <v>2.14</v>
      </c>
      <c r="J22" s="84">
        <v>5</v>
      </c>
      <c r="K22" s="88">
        <v>1.7</v>
      </c>
      <c r="L22" s="93">
        <v>4.41</v>
      </c>
      <c r="M22" s="78">
        <v>1.45</v>
      </c>
      <c r="N22" s="94">
        <v>1.48</v>
      </c>
      <c r="O22" s="101">
        <v>1.32</v>
      </c>
      <c r="P22" s="77">
        <v>0.61</v>
      </c>
      <c r="Q22" s="94">
        <v>0.79</v>
      </c>
      <c r="R22" s="93">
        <v>0.79</v>
      </c>
      <c r="S22" s="78">
        <v>0.52</v>
      </c>
      <c r="T22" s="104">
        <v>0.61</v>
      </c>
      <c r="U22" s="93">
        <v>0.6378504672897195</v>
      </c>
      <c r="V22" s="104">
        <v>1.47196261682243</v>
      </c>
      <c r="W22" s="107">
        <v>1.38</v>
      </c>
      <c r="X22" s="107">
        <v>0.38200000000000001</v>
      </c>
    </row>
    <row r="23" spans="2:24">
      <c r="C23" s="2">
        <v>12</v>
      </c>
      <c r="D23" s="438" t="s">
        <v>1971</v>
      </c>
      <c r="E23" s="439">
        <v>45</v>
      </c>
      <c r="F23" s="440">
        <v>28</v>
      </c>
      <c r="G23" s="441">
        <v>4</v>
      </c>
      <c r="H23" s="442">
        <v>2.2000000000000002</v>
      </c>
      <c r="I23" s="442">
        <v>2.8</v>
      </c>
      <c r="J23" s="86">
        <v>5</v>
      </c>
      <c r="K23" s="91">
        <v>1.7</v>
      </c>
      <c r="L23" s="95">
        <v>5.68</v>
      </c>
      <c r="M23" s="80">
        <v>1.9</v>
      </c>
      <c r="N23" s="96">
        <v>1.42</v>
      </c>
      <c r="O23" s="102">
        <v>1.69</v>
      </c>
      <c r="P23" s="79">
        <v>0.8</v>
      </c>
      <c r="Q23" s="96">
        <v>0.78</v>
      </c>
      <c r="R23" s="95">
        <v>1.02</v>
      </c>
      <c r="S23" s="80">
        <v>0.67</v>
      </c>
      <c r="T23" s="96">
        <v>0.6</v>
      </c>
      <c r="U23" s="95">
        <v>0.67714285714285716</v>
      </c>
      <c r="V23" s="105">
        <v>1.5149999999999999</v>
      </c>
      <c r="W23" s="108">
        <v>1.77</v>
      </c>
      <c r="X23" s="108">
        <v>0.379</v>
      </c>
    </row>
    <row r="24" spans="2:24">
      <c r="C24" s="2">
        <v>13</v>
      </c>
      <c r="D24" s="509" t="s">
        <v>1972</v>
      </c>
      <c r="E24" s="510">
        <v>50</v>
      </c>
      <c r="F24" s="511">
        <v>32</v>
      </c>
      <c r="G24" s="512">
        <v>3</v>
      </c>
      <c r="H24" s="513">
        <v>1.9</v>
      </c>
      <c r="I24" s="513">
        <v>2.42</v>
      </c>
      <c r="J24" s="462">
        <v>5.5</v>
      </c>
      <c r="K24" s="480">
        <v>1.8</v>
      </c>
      <c r="L24" s="464">
        <v>6.18</v>
      </c>
      <c r="M24" s="465">
        <v>1.82</v>
      </c>
      <c r="N24" s="466">
        <v>1.6</v>
      </c>
      <c r="O24" s="467">
        <v>1.99</v>
      </c>
      <c r="P24" s="468">
        <v>0.81</v>
      </c>
      <c r="Q24" s="466">
        <v>0.91</v>
      </c>
      <c r="R24" s="464">
        <v>1.18</v>
      </c>
      <c r="S24" s="465">
        <v>0.68</v>
      </c>
      <c r="T24" s="466">
        <v>0.7</v>
      </c>
      <c r="U24" s="464">
        <v>0.7221074380165291</v>
      </c>
      <c r="V24" s="466">
        <v>1.6035123966942149</v>
      </c>
      <c r="W24" s="470">
        <v>2.0099999999999998</v>
      </c>
      <c r="X24" s="470">
        <v>0.40300000000000002</v>
      </c>
    </row>
    <row r="25" spans="2:24">
      <c r="C25" s="2">
        <v>14</v>
      </c>
      <c r="D25" s="514" t="s">
        <v>1972</v>
      </c>
      <c r="E25" s="515">
        <v>50</v>
      </c>
      <c r="F25" s="516">
        <v>32</v>
      </c>
      <c r="G25" s="517">
        <v>4</v>
      </c>
      <c r="H25" s="518">
        <v>2.4900000000000002</v>
      </c>
      <c r="I25" s="518">
        <v>3.17</v>
      </c>
      <c r="J25" s="471">
        <v>5.5</v>
      </c>
      <c r="K25" s="481">
        <v>1.8</v>
      </c>
      <c r="L25" s="473">
        <v>7.98</v>
      </c>
      <c r="M25" s="474">
        <v>2.38</v>
      </c>
      <c r="N25" s="475">
        <v>1.59</v>
      </c>
      <c r="O25" s="476">
        <v>2.56</v>
      </c>
      <c r="P25" s="477">
        <v>1.05</v>
      </c>
      <c r="Q25" s="475">
        <v>0.9</v>
      </c>
      <c r="R25" s="473">
        <v>1.52</v>
      </c>
      <c r="S25" s="474">
        <v>0.88</v>
      </c>
      <c r="T25" s="478">
        <v>0.69</v>
      </c>
      <c r="U25" s="473">
        <v>0.76214511041009458</v>
      </c>
      <c r="V25" s="478">
        <v>1.6479495268138802</v>
      </c>
      <c r="W25" s="479">
        <v>2.59</v>
      </c>
      <c r="X25" s="479">
        <v>0.40100000000000002</v>
      </c>
    </row>
    <row r="26" spans="2:24">
      <c r="C26" s="2">
        <v>15</v>
      </c>
      <c r="D26" s="433" t="s">
        <v>1973</v>
      </c>
      <c r="E26" s="434">
        <v>56</v>
      </c>
      <c r="F26" s="435">
        <v>36</v>
      </c>
      <c r="G26" s="436">
        <v>4</v>
      </c>
      <c r="H26" s="437">
        <v>2.81</v>
      </c>
      <c r="I26" s="437">
        <v>3.58</v>
      </c>
      <c r="J26" s="84">
        <v>6</v>
      </c>
      <c r="K26" s="88">
        <v>2</v>
      </c>
      <c r="L26" s="93">
        <v>11.37</v>
      </c>
      <c r="M26" s="78">
        <v>3.01</v>
      </c>
      <c r="N26" s="94">
        <v>1.78</v>
      </c>
      <c r="O26" s="101">
        <v>3.7</v>
      </c>
      <c r="P26" s="77">
        <v>1.34</v>
      </c>
      <c r="Q26" s="94">
        <v>1.02</v>
      </c>
      <c r="R26" s="93">
        <v>2.19</v>
      </c>
      <c r="S26" s="78">
        <v>1.1299999999999999</v>
      </c>
      <c r="T26" s="104">
        <v>0.78</v>
      </c>
      <c r="U26" s="93">
        <v>0.84022346368715073</v>
      </c>
      <c r="V26" s="104">
        <v>1.8234636871508378</v>
      </c>
      <c r="W26" s="107">
        <v>3.74</v>
      </c>
      <c r="X26" s="107">
        <v>0.40300000000000002</v>
      </c>
    </row>
    <row r="27" spans="2:24">
      <c r="C27" s="2">
        <v>16</v>
      </c>
      <c r="D27" s="438" t="s">
        <v>1973</v>
      </c>
      <c r="E27" s="439">
        <v>56</v>
      </c>
      <c r="F27" s="440">
        <v>36</v>
      </c>
      <c r="G27" s="441">
        <v>5</v>
      </c>
      <c r="H27" s="442">
        <v>3.46</v>
      </c>
      <c r="I27" s="442">
        <v>4.41</v>
      </c>
      <c r="J27" s="86">
        <v>6</v>
      </c>
      <c r="K27" s="91">
        <v>2</v>
      </c>
      <c r="L27" s="95">
        <v>13.82</v>
      </c>
      <c r="M27" s="80">
        <v>3.7</v>
      </c>
      <c r="N27" s="96">
        <v>1.77</v>
      </c>
      <c r="O27" s="102">
        <v>4.4800000000000004</v>
      </c>
      <c r="P27" s="79">
        <v>1.65</v>
      </c>
      <c r="Q27" s="96">
        <v>1.01</v>
      </c>
      <c r="R27" s="95">
        <v>2.65</v>
      </c>
      <c r="S27" s="80">
        <v>1.37</v>
      </c>
      <c r="T27" s="105">
        <v>0.78</v>
      </c>
      <c r="U27" s="95">
        <v>0.87925170068027192</v>
      </c>
      <c r="V27" s="105">
        <v>1.865646258503401</v>
      </c>
      <c r="W27" s="110">
        <v>4.5</v>
      </c>
      <c r="X27" s="108">
        <v>0.40400000000000003</v>
      </c>
    </row>
    <row r="28" spans="2:24">
      <c r="C28" s="2">
        <v>17</v>
      </c>
      <c r="D28" s="509" t="s">
        <v>1974</v>
      </c>
      <c r="E28" s="510">
        <v>63</v>
      </c>
      <c r="F28" s="511">
        <v>40</v>
      </c>
      <c r="G28" s="512">
        <v>4</v>
      </c>
      <c r="H28" s="513">
        <v>3.17</v>
      </c>
      <c r="I28" s="513">
        <v>4.04</v>
      </c>
      <c r="J28" s="462">
        <v>7</v>
      </c>
      <c r="K28" s="480">
        <v>2.2999999999999998</v>
      </c>
      <c r="L28" s="464">
        <v>16.329999999999998</v>
      </c>
      <c r="M28" s="465">
        <v>3.83</v>
      </c>
      <c r="N28" s="466">
        <v>2.0099999999999998</v>
      </c>
      <c r="O28" s="467">
        <v>5.16</v>
      </c>
      <c r="P28" s="468">
        <v>1.67</v>
      </c>
      <c r="Q28" s="466">
        <v>1.1299999999999999</v>
      </c>
      <c r="R28" s="464">
        <v>3.07</v>
      </c>
      <c r="S28" s="465">
        <v>1.41</v>
      </c>
      <c r="T28" s="469">
        <v>0.87</v>
      </c>
      <c r="U28" s="464">
        <v>0.90891089108910894</v>
      </c>
      <c r="V28" s="469">
        <v>2.0361386138613859</v>
      </c>
      <c r="W28" s="470">
        <v>5.25</v>
      </c>
      <c r="X28" s="470">
        <v>0.39700000000000002</v>
      </c>
    </row>
    <row r="29" spans="2:24">
      <c r="C29" s="2">
        <v>18</v>
      </c>
      <c r="D29" s="519" t="s">
        <v>1974</v>
      </c>
      <c r="E29" s="450">
        <v>63</v>
      </c>
      <c r="F29" s="520">
        <v>40</v>
      </c>
      <c r="G29" s="521">
        <v>5</v>
      </c>
      <c r="H29" s="522">
        <v>3.91</v>
      </c>
      <c r="I29" s="522">
        <v>4.9800000000000004</v>
      </c>
      <c r="J29" s="483">
        <v>7</v>
      </c>
      <c r="K29" s="484">
        <v>2.2999999999999998</v>
      </c>
      <c r="L29" s="485">
        <v>19.010000000000002</v>
      </c>
      <c r="M29" s="486">
        <v>4.72</v>
      </c>
      <c r="N29" s="487">
        <v>2</v>
      </c>
      <c r="O29" s="488">
        <v>6.26</v>
      </c>
      <c r="P29" s="489">
        <v>2.0499999999999998</v>
      </c>
      <c r="Q29" s="487">
        <v>1.1200000000000001</v>
      </c>
      <c r="R29" s="485">
        <v>3.73</v>
      </c>
      <c r="S29" s="486">
        <v>1.72</v>
      </c>
      <c r="T29" s="228">
        <v>0.86</v>
      </c>
      <c r="U29" s="485">
        <v>0.94879518072289137</v>
      </c>
      <c r="V29" s="228">
        <v>2.0803212851405619</v>
      </c>
      <c r="W29" s="490">
        <v>6.41</v>
      </c>
      <c r="X29" s="490">
        <v>0.39600000000000002</v>
      </c>
    </row>
    <row r="30" spans="2:24">
      <c r="C30" s="2">
        <v>19</v>
      </c>
      <c r="D30" s="519" t="s">
        <v>1974</v>
      </c>
      <c r="E30" s="450">
        <v>63</v>
      </c>
      <c r="F30" s="520">
        <v>40</v>
      </c>
      <c r="G30" s="521">
        <v>6</v>
      </c>
      <c r="H30" s="522">
        <v>4.63</v>
      </c>
      <c r="I30" s="522">
        <v>5.9</v>
      </c>
      <c r="J30" s="483">
        <v>7</v>
      </c>
      <c r="K30" s="484">
        <v>2.2999999999999998</v>
      </c>
      <c r="L30" s="485">
        <v>23.31</v>
      </c>
      <c r="M30" s="486">
        <v>5.58</v>
      </c>
      <c r="N30" s="487">
        <v>1.99</v>
      </c>
      <c r="O30" s="488">
        <v>7.29</v>
      </c>
      <c r="P30" s="489">
        <v>2.42</v>
      </c>
      <c r="Q30" s="487">
        <v>1.1100000000000001</v>
      </c>
      <c r="R30" s="485">
        <v>4.3600000000000003</v>
      </c>
      <c r="S30" s="486">
        <v>2.02</v>
      </c>
      <c r="T30" s="228">
        <v>0.86</v>
      </c>
      <c r="U30" s="485">
        <v>0.98745762711864404</v>
      </c>
      <c r="V30" s="228">
        <v>2.121864406779661</v>
      </c>
      <c r="W30" s="490">
        <v>7.41</v>
      </c>
      <c r="X30" s="490">
        <v>0.39300000000000002</v>
      </c>
    </row>
    <row r="31" spans="2:24">
      <c r="C31" s="2">
        <v>20</v>
      </c>
      <c r="D31" s="514" t="s">
        <v>1974</v>
      </c>
      <c r="E31" s="515">
        <v>63</v>
      </c>
      <c r="F31" s="516">
        <v>40</v>
      </c>
      <c r="G31" s="517">
        <v>8</v>
      </c>
      <c r="H31" s="518">
        <v>6.03</v>
      </c>
      <c r="I31" s="518">
        <v>7.68</v>
      </c>
      <c r="J31" s="471">
        <v>7</v>
      </c>
      <c r="K31" s="481">
        <v>2.2999999999999998</v>
      </c>
      <c r="L31" s="473">
        <v>29.6</v>
      </c>
      <c r="M31" s="474">
        <v>7.22</v>
      </c>
      <c r="N31" s="475">
        <v>1.96</v>
      </c>
      <c r="O31" s="476">
        <v>9.15</v>
      </c>
      <c r="P31" s="477">
        <v>3.12</v>
      </c>
      <c r="Q31" s="475">
        <v>1.0900000000000001</v>
      </c>
      <c r="R31" s="473">
        <v>5.58</v>
      </c>
      <c r="S31" s="474">
        <v>2.6</v>
      </c>
      <c r="T31" s="478">
        <v>0.85</v>
      </c>
      <c r="U31" s="473">
        <v>1.0625</v>
      </c>
      <c r="V31" s="475">
        <v>2.200520833333333</v>
      </c>
      <c r="W31" s="479">
        <v>9.27</v>
      </c>
      <c r="X31" s="479">
        <v>0.38600000000000001</v>
      </c>
    </row>
    <row r="32" spans="2:24">
      <c r="B32" s="140" t="s">
        <v>1550</v>
      </c>
      <c r="C32" s="2">
        <v>21</v>
      </c>
      <c r="D32" s="443" t="s">
        <v>1975</v>
      </c>
      <c r="E32" s="444">
        <v>65</v>
      </c>
      <c r="F32" s="445">
        <v>50</v>
      </c>
      <c r="G32" s="446">
        <v>5</v>
      </c>
      <c r="H32" s="447">
        <v>4.3600000000000003</v>
      </c>
      <c r="I32" s="447">
        <v>5.56</v>
      </c>
      <c r="J32" s="89">
        <v>6</v>
      </c>
      <c r="K32" s="90">
        <v>2</v>
      </c>
      <c r="L32" s="97">
        <v>23.41</v>
      </c>
      <c r="M32" s="83">
        <v>5.2</v>
      </c>
      <c r="N32" s="98">
        <v>2.0499999999999998</v>
      </c>
      <c r="O32" s="103">
        <v>12.08</v>
      </c>
      <c r="P32" s="81">
        <v>3.23</v>
      </c>
      <c r="Q32" s="98">
        <v>1.47</v>
      </c>
      <c r="R32" s="97">
        <v>6.41</v>
      </c>
      <c r="S32" s="83">
        <v>2.68</v>
      </c>
      <c r="T32" s="99">
        <v>1.07</v>
      </c>
      <c r="U32" s="97">
        <v>1.26</v>
      </c>
      <c r="V32" s="98">
        <v>2</v>
      </c>
      <c r="W32" s="109">
        <v>9.77</v>
      </c>
      <c r="X32" s="109">
        <v>0.57599999999999996</v>
      </c>
    </row>
    <row r="33" spans="2:24">
      <c r="B33" s="140" t="s">
        <v>1550</v>
      </c>
      <c r="C33" s="2">
        <v>22</v>
      </c>
      <c r="D33" s="443" t="s">
        <v>1975</v>
      </c>
      <c r="E33" s="444">
        <v>65</v>
      </c>
      <c r="F33" s="445">
        <v>50</v>
      </c>
      <c r="G33" s="446">
        <v>6</v>
      </c>
      <c r="H33" s="447">
        <v>5.18</v>
      </c>
      <c r="I33" s="447">
        <v>6.6</v>
      </c>
      <c r="J33" s="89">
        <v>6</v>
      </c>
      <c r="K33" s="90">
        <v>2</v>
      </c>
      <c r="L33" s="97">
        <v>27.46</v>
      </c>
      <c r="M33" s="83">
        <v>6.16</v>
      </c>
      <c r="N33" s="98">
        <v>2.04</v>
      </c>
      <c r="O33" s="103">
        <v>14.12</v>
      </c>
      <c r="P33" s="81">
        <v>3.82</v>
      </c>
      <c r="Q33" s="98">
        <v>1.46</v>
      </c>
      <c r="R33" s="97">
        <v>7.52</v>
      </c>
      <c r="S33" s="83">
        <v>3.15</v>
      </c>
      <c r="T33" s="99">
        <v>1.07</v>
      </c>
      <c r="U33" s="97">
        <v>1.2972727272727274</v>
      </c>
      <c r="V33" s="99">
        <v>2.0404545454545455</v>
      </c>
      <c r="W33" s="111">
        <v>11.46</v>
      </c>
      <c r="X33" s="109">
        <v>0.57499999999999996</v>
      </c>
    </row>
    <row r="34" spans="2:24">
      <c r="B34" s="140" t="s">
        <v>1550</v>
      </c>
      <c r="C34" s="2">
        <v>23</v>
      </c>
      <c r="D34" s="443" t="s">
        <v>1975</v>
      </c>
      <c r="E34" s="444">
        <v>65</v>
      </c>
      <c r="F34" s="445">
        <v>50</v>
      </c>
      <c r="G34" s="446">
        <v>7</v>
      </c>
      <c r="H34" s="447">
        <v>5.98</v>
      </c>
      <c r="I34" s="447">
        <v>7.62</v>
      </c>
      <c r="J34" s="89">
        <v>6</v>
      </c>
      <c r="K34" s="90">
        <v>2</v>
      </c>
      <c r="L34" s="97">
        <v>31.32</v>
      </c>
      <c r="M34" s="83">
        <v>7.08</v>
      </c>
      <c r="N34" s="98">
        <v>2.0299999999999998</v>
      </c>
      <c r="O34" s="103">
        <v>16.05</v>
      </c>
      <c r="P34" s="114">
        <v>4.28</v>
      </c>
      <c r="Q34" s="98">
        <v>1.45</v>
      </c>
      <c r="R34" s="97">
        <v>8.6</v>
      </c>
      <c r="S34" s="83">
        <v>3.59</v>
      </c>
      <c r="T34" s="99">
        <v>1.06</v>
      </c>
      <c r="U34" s="97">
        <v>1.334776902887139</v>
      </c>
      <c r="V34" s="99">
        <v>2.0788713910761154</v>
      </c>
      <c r="W34" s="111">
        <v>12.94</v>
      </c>
      <c r="X34" s="109">
        <v>0.57099999999999995</v>
      </c>
    </row>
    <row r="35" spans="2:24">
      <c r="B35" s="140" t="s">
        <v>1550</v>
      </c>
      <c r="C35" s="2">
        <v>24</v>
      </c>
      <c r="D35" s="438" t="s">
        <v>1975</v>
      </c>
      <c r="E35" s="439">
        <v>65</v>
      </c>
      <c r="F35" s="440">
        <v>50</v>
      </c>
      <c r="G35" s="441">
        <v>8</v>
      </c>
      <c r="H35" s="442">
        <v>6.77</v>
      </c>
      <c r="I35" s="442">
        <v>8.6199999999999992</v>
      </c>
      <c r="J35" s="86">
        <v>6</v>
      </c>
      <c r="K35" s="91">
        <v>2</v>
      </c>
      <c r="L35" s="95">
        <v>35</v>
      </c>
      <c r="M35" s="80">
        <v>7.99</v>
      </c>
      <c r="N35" s="96">
        <v>2.02</v>
      </c>
      <c r="O35" s="102">
        <v>18.88</v>
      </c>
      <c r="P35" s="115">
        <v>4.8499999999999996</v>
      </c>
      <c r="Q35" s="96">
        <v>1.44</v>
      </c>
      <c r="R35" s="95">
        <v>9.65</v>
      </c>
      <c r="S35" s="80">
        <v>4.0199999999999996</v>
      </c>
      <c r="T35" s="105">
        <v>1.06</v>
      </c>
      <c r="U35" s="95">
        <v>1.3716937354988401</v>
      </c>
      <c r="V35" s="105">
        <v>2.1164733178654296</v>
      </c>
      <c r="W35" s="110">
        <v>13.61</v>
      </c>
      <c r="X35" s="112">
        <v>0.56999999999999995</v>
      </c>
    </row>
    <row r="36" spans="2:24">
      <c r="C36" s="2">
        <v>25</v>
      </c>
      <c r="D36" s="514" t="s">
        <v>1976</v>
      </c>
      <c r="E36" s="515">
        <v>70</v>
      </c>
      <c r="F36" s="516">
        <v>45</v>
      </c>
      <c r="G36" s="517">
        <v>5</v>
      </c>
      <c r="H36" s="518">
        <v>4.3899999999999997</v>
      </c>
      <c r="I36" s="518">
        <v>5.59</v>
      </c>
      <c r="J36" s="471">
        <v>7.5</v>
      </c>
      <c r="K36" s="481">
        <v>2.5</v>
      </c>
      <c r="L36" s="473">
        <v>27.76</v>
      </c>
      <c r="M36" s="474">
        <v>5.88</v>
      </c>
      <c r="N36" s="475">
        <v>2.23</v>
      </c>
      <c r="O36" s="476">
        <v>9.0500000000000007</v>
      </c>
      <c r="P36" s="477">
        <v>2.62</v>
      </c>
      <c r="Q36" s="475">
        <v>1.27</v>
      </c>
      <c r="R36" s="473">
        <v>5.34</v>
      </c>
      <c r="S36" s="474">
        <v>2.2000000000000002</v>
      </c>
      <c r="T36" s="478">
        <v>0.98</v>
      </c>
      <c r="U36" s="473">
        <v>1.0509838998211092</v>
      </c>
      <c r="V36" s="478">
        <v>2.2808586762075134</v>
      </c>
      <c r="W36" s="479">
        <v>9.1199999999999992</v>
      </c>
      <c r="X36" s="479">
        <v>0.40600000000000003</v>
      </c>
    </row>
    <row r="37" spans="2:24">
      <c r="C37" s="2">
        <v>26</v>
      </c>
      <c r="D37" s="443" t="s">
        <v>1977</v>
      </c>
      <c r="E37" s="444">
        <v>75</v>
      </c>
      <c r="F37" s="445">
        <v>60</v>
      </c>
      <c r="G37" s="446">
        <v>5</v>
      </c>
      <c r="H37" s="447">
        <v>4.79</v>
      </c>
      <c r="I37" s="447">
        <v>6.1</v>
      </c>
      <c r="J37" s="89">
        <v>8</v>
      </c>
      <c r="K37" s="90">
        <v>2.7</v>
      </c>
      <c r="L37" s="97">
        <v>34.81</v>
      </c>
      <c r="M37" s="83">
        <v>6.81</v>
      </c>
      <c r="N37" s="98">
        <v>2.39</v>
      </c>
      <c r="O37" s="103">
        <v>12.47</v>
      </c>
      <c r="P37" s="81">
        <v>3.25</v>
      </c>
      <c r="Q37" s="98">
        <v>1.43</v>
      </c>
      <c r="R37" s="97">
        <v>7.24</v>
      </c>
      <c r="S37" s="83">
        <v>2.73</v>
      </c>
      <c r="T37" s="99">
        <v>1.0900000000000001</v>
      </c>
      <c r="U37" s="97">
        <v>1.17</v>
      </c>
      <c r="V37" s="99">
        <v>2.39</v>
      </c>
      <c r="W37" s="111">
        <v>12</v>
      </c>
      <c r="X37" s="109">
        <v>0.436</v>
      </c>
    </row>
    <row r="38" spans="2:24">
      <c r="C38" s="2">
        <v>27</v>
      </c>
      <c r="D38" s="443" t="s">
        <v>1977</v>
      </c>
      <c r="E38" s="444">
        <v>75</v>
      </c>
      <c r="F38" s="445">
        <v>60</v>
      </c>
      <c r="G38" s="446">
        <v>6</v>
      </c>
      <c r="H38" s="447">
        <v>5.69</v>
      </c>
      <c r="I38" s="447">
        <v>7.25</v>
      </c>
      <c r="J38" s="89">
        <v>8</v>
      </c>
      <c r="K38" s="90">
        <v>2.7</v>
      </c>
      <c r="L38" s="97">
        <v>40.92</v>
      </c>
      <c r="M38" s="83">
        <v>8.08</v>
      </c>
      <c r="N38" s="98">
        <v>2.38</v>
      </c>
      <c r="O38" s="103">
        <v>14.6</v>
      </c>
      <c r="P38" s="81">
        <v>3.85</v>
      </c>
      <c r="Q38" s="98">
        <v>1.42</v>
      </c>
      <c r="R38" s="97">
        <v>8.48</v>
      </c>
      <c r="S38" s="83">
        <v>3.21</v>
      </c>
      <c r="T38" s="99">
        <v>1.08</v>
      </c>
      <c r="U38" s="97">
        <v>1.21</v>
      </c>
      <c r="V38" s="99">
        <v>2.44</v>
      </c>
      <c r="W38" s="111">
        <v>14.1</v>
      </c>
      <c r="X38" s="109">
        <v>0.435</v>
      </c>
    </row>
    <row r="39" spans="2:24">
      <c r="B39" s="140" t="s">
        <v>1550</v>
      </c>
      <c r="C39" s="2">
        <v>28</v>
      </c>
      <c r="D39" s="443" t="s">
        <v>1978</v>
      </c>
      <c r="E39" s="444">
        <v>75</v>
      </c>
      <c r="F39" s="445">
        <v>60</v>
      </c>
      <c r="G39" s="446">
        <v>7</v>
      </c>
      <c r="H39" s="447">
        <v>6.57</v>
      </c>
      <c r="I39" s="447">
        <v>8.3699999999999992</v>
      </c>
      <c r="J39" s="89">
        <v>8</v>
      </c>
      <c r="K39" s="90">
        <v>2.7</v>
      </c>
      <c r="L39" s="97">
        <v>46.77</v>
      </c>
      <c r="M39" s="83">
        <v>9.31</v>
      </c>
      <c r="N39" s="99">
        <v>2.36</v>
      </c>
      <c r="O39" s="103">
        <v>16.61</v>
      </c>
      <c r="P39" s="81">
        <v>4.43</v>
      </c>
      <c r="Q39" s="98">
        <v>1.41</v>
      </c>
      <c r="R39" s="97">
        <v>9.69</v>
      </c>
      <c r="S39" s="83">
        <v>3.69</v>
      </c>
      <c r="T39" s="99">
        <v>1.08</v>
      </c>
      <c r="U39" s="97">
        <v>1.25</v>
      </c>
      <c r="V39" s="99">
        <v>2.48</v>
      </c>
      <c r="W39" s="111">
        <v>16.18</v>
      </c>
      <c r="X39" s="109">
        <v>0.435</v>
      </c>
    </row>
    <row r="40" spans="2:24">
      <c r="C40" s="2">
        <v>29</v>
      </c>
      <c r="D40" s="438" t="s">
        <v>1977</v>
      </c>
      <c r="E40" s="439">
        <v>75</v>
      </c>
      <c r="F40" s="440">
        <v>60</v>
      </c>
      <c r="G40" s="441">
        <v>8</v>
      </c>
      <c r="H40" s="442">
        <v>7.43</v>
      </c>
      <c r="I40" s="442">
        <v>9.4600000000000009</v>
      </c>
      <c r="J40" s="86">
        <v>8</v>
      </c>
      <c r="K40" s="91">
        <v>2.7</v>
      </c>
      <c r="L40" s="95">
        <v>52.38</v>
      </c>
      <c r="M40" s="80">
        <v>10.52</v>
      </c>
      <c r="N40" s="105">
        <v>2.35</v>
      </c>
      <c r="O40" s="102">
        <v>18.52</v>
      </c>
      <c r="P40" s="79">
        <v>4.88</v>
      </c>
      <c r="Q40" s="96">
        <v>1.4</v>
      </c>
      <c r="R40" s="95">
        <v>10.87</v>
      </c>
      <c r="S40" s="80">
        <v>4.1399999999999997</v>
      </c>
      <c r="T40" s="105">
        <v>1.07</v>
      </c>
      <c r="U40" s="95">
        <v>1.29</v>
      </c>
      <c r="V40" s="105">
        <v>2.52</v>
      </c>
      <c r="W40" s="110">
        <v>17.8</v>
      </c>
      <c r="X40" s="112">
        <v>0.43</v>
      </c>
    </row>
    <row r="41" spans="2:24">
      <c r="C41" s="2">
        <v>30</v>
      </c>
      <c r="D41" s="523" t="s">
        <v>1979</v>
      </c>
      <c r="E41" s="450">
        <v>80</v>
      </c>
      <c r="F41" s="520">
        <v>50</v>
      </c>
      <c r="G41" s="521">
        <v>5</v>
      </c>
      <c r="H41" s="522">
        <v>4.99</v>
      </c>
      <c r="I41" s="522">
        <v>6.35</v>
      </c>
      <c r="J41" s="483">
        <v>8</v>
      </c>
      <c r="K41" s="484">
        <v>2.7</v>
      </c>
      <c r="L41" s="485">
        <v>41.64</v>
      </c>
      <c r="M41" s="486">
        <v>7.71</v>
      </c>
      <c r="N41" s="487">
        <v>2.56</v>
      </c>
      <c r="O41" s="488">
        <v>12.68</v>
      </c>
      <c r="P41" s="489">
        <v>3.28</v>
      </c>
      <c r="Q41" s="487">
        <v>1.41</v>
      </c>
      <c r="R41" s="485">
        <v>7.57</v>
      </c>
      <c r="S41" s="486">
        <v>2.75</v>
      </c>
      <c r="T41" s="487">
        <v>1</v>
      </c>
      <c r="U41" s="485">
        <v>1.1318897637795275</v>
      </c>
      <c r="V41" s="228">
        <v>2.6082677165354333</v>
      </c>
      <c r="W41" s="491">
        <v>13.2</v>
      </c>
      <c r="X41" s="492">
        <v>0.38700000000000001</v>
      </c>
    </row>
    <row r="42" spans="2:24">
      <c r="C42" s="2">
        <v>31</v>
      </c>
      <c r="D42" s="593" t="s">
        <v>1979</v>
      </c>
      <c r="E42" s="515">
        <v>80</v>
      </c>
      <c r="F42" s="516">
        <v>50</v>
      </c>
      <c r="G42" s="517">
        <v>6</v>
      </c>
      <c r="H42" s="518">
        <v>5.92</v>
      </c>
      <c r="I42" s="518">
        <v>7.54</v>
      </c>
      <c r="J42" s="471">
        <v>8</v>
      </c>
      <c r="K42" s="481">
        <v>2.7</v>
      </c>
      <c r="L42" s="473">
        <v>48.98</v>
      </c>
      <c r="M42" s="474">
        <v>9.15</v>
      </c>
      <c r="N42" s="475">
        <v>2.5499999999999998</v>
      </c>
      <c r="O42" s="476">
        <v>14.85</v>
      </c>
      <c r="P42" s="477">
        <v>3.88</v>
      </c>
      <c r="Q42" s="475">
        <v>1.4</v>
      </c>
      <c r="R42" s="473">
        <v>8.8800000000000008</v>
      </c>
      <c r="S42" s="474">
        <v>3.24</v>
      </c>
      <c r="T42" s="478">
        <v>1.08</v>
      </c>
      <c r="U42" s="473">
        <v>1.1713527851458887</v>
      </c>
      <c r="V42" s="478">
        <v>2.6514588859416448</v>
      </c>
      <c r="W42" s="482">
        <v>15.5</v>
      </c>
      <c r="X42" s="493">
        <v>0.38600000000000001</v>
      </c>
    </row>
    <row r="43" spans="2:24">
      <c r="B43" s="140" t="s">
        <v>1550</v>
      </c>
      <c r="C43" s="2">
        <v>32</v>
      </c>
      <c r="D43" s="448" t="s">
        <v>1980</v>
      </c>
      <c r="E43" s="444">
        <v>80</v>
      </c>
      <c r="F43" s="445">
        <v>60</v>
      </c>
      <c r="G43" s="446">
        <v>6</v>
      </c>
      <c r="H43" s="447">
        <v>6.39</v>
      </c>
      <c r="I43" s="447">
        <v>8.15</v>
      </c>
      <c r="J43" s="89">
        <v>8</v>
      </c>
      <c r="K43" s="90">
        <v>2.7</v>
      </c>
      <c r="L43" s="97">
        <v>52.06</v>
      </c>
      <c r="M43" s="83">
        <v>9.42</v>
      </c>
      <c r="N43" s="98">
        <v>2.5299999999999998</v>
      </c>
      <c r="O43" s="103">
        <v>25.18</v>
      </c>
      <c r="P43" s="81">
        <v>5.58</v>
      </c>
      <c r="Q43" s="98">
        <v>1.76</v>
      </c>
      <c r="R43" s="97">
        <v>13.61</v>
      </c>
      <c r="S43" s="83">
        <v>4.66</v>
      </c>
      <c r="T43" s="99">
        <v>1.29</v>
      </c>
      <c r="U43" s="97">
        <v>1.49</v>
      </c>
      <c r="V43" s="99">
        <v>2.4700000000000002</v>
      </c>
      <c r="W43" s="111">
        <v>20.98</v>
      </c>
      <c r="X43" s="113">
        <v>0.54700000000000004</v>
      </c>
    </row>
    <row r="44" spans="2:24">
      <c r="B44" s="140" t="s">
        <v>1550</v>
      </c>
      <c r="C44" s="2">
        <v>33</v>
      </c>
      <c r="D44" s="443" t="s">
        <v>1980</v>
      </c>
      <c r="E44" s="444">
        <v>80</v>
      </c>
      <c r="F44" s="445">
        <v>60</v>
      </c>
      <c r="G44" s="446">
        <v>7</v>
      </c>
      <c r="H44" s="447">
        <v>7.39</v>
      </c>
      <c r="I44" s="447">
        <v>9.41</v>
      </c>
      <c r="J44" s="89">
        <v>8</v>
      </c>
      <c r="K44" s="90">
        <v>2.7</v>
      </c>
      <c r="L44" s="97">
        <v>59.61</v>
      </c>
      <c r="M44" s="83">
        <v>10.87</v>
      </c>
      <c r="N44" s="98">
        <v>2.52</v>
      </c>
      <c r="O44" s="103">
        <v>28.74</v>
      </c>
      <c r="P44" s="81">
        <v>6.43</v>
      </c>
      <c r="Q44" s="98">
        <v>1.75</v>
      </c>
      <c r="R44" s="106">
        <v>15.58</v>
      </c>
      <c r="S44" s="34">
        <v>5.34</v>
      </c>
      <c r="T44" s="99">
        <v>1.29</v>
      </c>
      <c r="U44" s="97">
        <v>1.5290648246546228</v>
      </c>
      <c r="V44" s="99">
        <v>2.5184378320935172</v>
      </c>
      <c r="W44" s="111">
        <v>24.01</v>
      </c>
      <c r="X44" s="113">
        <v>0.54600000000000004</v>
      </c>
    </row>
    <row r="45" spans="2:24">
      <c r="B45" s="140" t="s">
        <v>1550</v>
      </c>
      <c r="C45" s="2">
        <v>34</v>
      </c>
      <c r="D45" s="438" t="s">
        <v>1980</v>
      </c>
      <c r="E45" s="439">
        <v>80</v>
      </c>
      <c r="F45" s="440">
        <v>60</v>
      </c>
      <c r="G45" s="441">
        <v>8</v>
      </c>
      <c r="H45" s="442">
        <v>8.3699999999999992</v>
      </c>
      <c r="I45" s="442">
        <v>10.66</v>
      </c>
      <c r="J45" s="86">
        <v>8</v>
      </c>
      <c r="K45" s="91">
        <v>2.7</v>
      </c>
      <c r="L45" s="95">
        <v>66.88</v>
      </c>
      <c r="M45" s="80">
        <v>12.38</v>
      </c>
      <c r="N45" s="96">
        <v>2.5</v>
      </c>
      <c r="O45" s="102">
        <v>32.15</v>
      </c>
      <c r="P45" s="79">
        <v>7.26</v>
      </c>
      <c r="Q45" s="96">
        <v>1.74</v>
      </c>
      <c r="R45" s="116">
        <v>17.489999999999998</v>
      </c>
      <c r="S45" s="117">
        <v>5.99</v>
      </c>
      <c r="T45" s="105">
        <v>1.28</v>
      </c>
      <c r="U45" s="95">
        <v>1.5669793621013133</v>
      </c>
      <c r="V45" s="105">
        <v>2.5575984990619141</v>
      </c>
      <c r="W45" s="110">
        <v>26.83</v>
      </c>
      <c r="X45" s="112">
        <v>0.54400000000000004</v>
      </c>
    </row>
    <row r="46" spans="2:24">
      <c r="C46" s="2">
        <v>35</v>
      </c>
      <c r="D46" s="519" t="s">
        <v>1981</v>
      </c>
      <c r="E46" s="450">
        <v>90</v>
      </c>
      <c r="F46" s="520">
        <v>56</v>
      </c>
      <c r="G46" s="521">
        <v>5.5</v>
      </c>
      <c r="H46" s="522">
        <v>6.17</v>
      </c>
      <c r="I46" s="522">
        <v>7.86</v>
      </c>
      <c r="J46" s="483">
        <v>9</v>
      </c>
      <c r="K46" s="484">
        <v>3</v>
      </c>
      <c r="L46" s="485">
        <v>65.28</v>
      </c>
      <c r="M46" s="486">
        <v>10.74</v>
      </c>
      <c r="N46" s="487">
        <v>2.88</v>
      </c>
      <c r="O46" s="488">
        <v>19.670000000000002</v>
      </c>
      <c r="P46" s="489">
        <v>4.53</v>
      </c>
      <c r="Q46" s="487">
        <v>1.58</v>
      </c>
      <c r="R46" s="485">
        <v>11.77</v>
      </c>
      <c r="S46" s="217">
        <v>3.81</v>
      </c>
      <c r="T46" s="228">
        <v>1.22</v>
      </c>
      <c r="U46" s="485">
        <v>1.2598043893129767</v>
      </c>
      <c r="V46" s="228">
        <v>2.9311466284987273</v>
      </c>
      <c r="W46" s="491">
        <v>20.54</v>
      </c>
      <c r="X46" s="490">
        <v>0.38400000000000001</v>
      </c>
    </row>
    <row r="47" spans="2:24">
      <c r="C47" s="2">
        <v>36</v>
      </c>
      <c r="D47" s="519" t="s">
        <v>1981</v>
      </c>
      <c r="E47" s="450">
        <v>90</v>
      </c>
      <c r="F47" s="520">
        <v>56</v>
      </c>
      <c r="G47" s="521">
        <v>6</v>
      </c>
      <c r="H47" s="522">
        <v>6.7</v>
      </c>
      <c r="I47" s="522">
        <v>8.5299999999999994</v>
      </c>
      <c r="J47" s="483">
        <v>9</v>
      </c>
      <c r="K47" s="484">
        <v>3</v>
      </c>
      <c r="L47" s="485">
        <v>70.58</v>
      </c>
      <c r="M47" s="486">
        <v>11.66</v>
      </c>
      <c r="N47" s="487">
        <v>2.88</v>
      </c>
      <c r="O47" s="488">
        <v>21.22</v>
      </c>
      <c r="P47" s="489">
        <v>4.91</v>
      </c>
      <c r="Q47" s="487">
        <v>1.58</v>
      </c>
      <c r="R47" s="485">
        <v>12.7</v>
      </c>
      <c r="S47" s="217">
        <v>4.12</v>
      </c>
      <c r="T47" s="228">
        <v>1.22</v>
      </c>
      <c r="U47" s="485">
        <v>1.2801875732708088</v>
      </c>
      <c r="V47" s="228">
        <v>2.9542790152403287</v>
      </c>
      <c r="W47" s="491">
        <v>22.23</v>
      </c>
      <c r="X47" s="490">
        <v>0.38400000000000001</v>
      </c>
    </row>
    <row r="48" spans="2:24">
      <c r="C48" s="2">
        <v>37</v>
      </c>
      <c r="D48" s="514" t="s">
        <v>1981</v>
      </c>
      <c r="E48" s="515">
        <v>90</v>
      </c>
      <c r="F48" s="516">
        <v>56</v>
      </c>
      <c r="G48" s="517">
        <v>8</v>
      </c>
      <c r="H48" s="518">
        <v>8.77</v>
      </c>
      <c r="I48" s="518">
        <v>11.17</v>
      </c>
      <c r="J48" s="471">
        <v>9</v>
      </c>
      <c r="K48" s="481">
        <v>3</v>
      </c>
      <c r="L48" s="473">
        <v>90.87</v>
      </c>
      <c r="M48" s="474">
        <v>15.24</v>
      </c>
      <c r="N48" s="475">
        <v>2.85</v>
      </c>
      <c r="O48" s="476">
        <v>27.08</v>
      </c>
      <c r="P48" s="477">
        <v>6.39</v>
      </c>
      <c r="Q48" s="475">
        <v>1.56</v>
      </c>
      <c r="R48" s="473">
        <v>16.29</v>
      </c>
      <c r="S48" s="494">
        <v>5.32</v>
      </c>
      <c r="T48" s="478">
        <v>1.21</v>
      </c>
      <c r="U48" s="473">
        <v>1.3579230080572964</v>
      </c>
      <c r="V48" s="478">
        <v>3.0381378692927483</v>
      </c>
      <c r="W48" s="482">
        <v>28.33</v>
      </c>
      <c r="X48" s="493">
        <v>0.38</v>
      </c>
    </row>
    <row r="49" spans="2:24">
      <c r="C49" s="2">
        <v>38</v>
      </c>
      <c r="D49" s="443" t="s">
        <v>1982</v>
      </c>
      <c r="E49" s="444">
        <v>100</v>
      </c>
      <c r="F49" s="445">
        <v>63</v>
      </c>
      <c r="G49" s="446">
        <v>6</v>
      </c>
      <c r="H49" s="447">
        <v>7.53</v>
      </c>
      <c r="I49" s="447">
        <v>9.59</v>
      </c>
      <c r="J49" s="92">
        <v>10</v>
      </c>
      <c r="K49" s="90">
        <v>3.3</v>
      </c>
      <c r="L49" s="97">
        <v>98.29</v>
      </c>
      <c r="M49" s="83">
        <v>14.52</v>
      </c>
      <c r="N49" s="98">
        <v>3.2</v>
      </c>
      <c r="O49" s="103">
        <v>30.58</v>
      </c>
      <c r="P49" s="81">
        <v>6.27</v>
      </c>
      <c r="Q49" s="98">
        <v>1.79</v>
      </c>
      <c r="R49" s="97">
        <v>18.2</v>
      </c>
      <c r="S49" s="34">
        <v>5.27</v>
      </c>
      <c r="T49" s="99">
        <v>1.38</v>
      </c>
      <c r="U49" s="97">
        <v>1.4180396246089677</v>
      </c>
      <c r="V49" s="99">
        <v>3.2352450469238789</v>
      </c>
      <c r="W49" s="111">
        <v>31.5</v>
      </c>
      <c r="X49" s="113">
        <v>0.39300000000000002</v>
      </c>
    </row>
    <row r="50" spans="2:24">
      <c r="C50" s="2">
        <v>39</v>
      </c>
      <c r="D50" s="443" t="s">
        <v>1982</v>
      </c>
      <c r="E50" s="444">
        <v>100</v>
      </c>
      <c r="F50" s="445">
        <v>63</v>
      </c>
      <c r="G50" s="446">
        <v>7</v>
      </c>
      <c r="H50" s="447">
        <v>8.6999999999999993</v>
      </c>
      <c r="I50" s="447">
        <v>11.08</v>
      </c>
      <c r="J50" s="92">
        <v>10</v>
      </c>
      <c r="K50" s="90">
        <v>3.3</v>
      </c>
      <c r="L50" s="97">
        <v>112.86</v>
      </c>
      <c r="M50" s="83">
        <v>16.78</v>
      </c>
      <c r="N50" s="98">
        <v>3.19</v>
      </c>
      <c r="O50" s="103">
        <v>34.99</v>
      </c>
      <c r="P50" s="81">
        <v>7.23</v>
      </c>
      <c r="Q50" s="98">
        <v>1.78</v>
      </c>
      <c r="R50" s="97">
        <v>20.83</v>
      </c>
      <c r="S50" s="34">
        <v>6.06</v>
      </c>
      <c r="T50" s="99">
        <v>1.37</v>
      </c>
      <c r="U50" s="97">
        <v>1.4593862815884475</v>
      </c>
      <c r="V50" s="99">
        <v>3.2826714801444044</v>
      </c>
      <c r="W50" s="111">
        <v>36.1</v>
      </c>
      <c r="X50" s="113">
        <v>0.39200000000000002</v>
      </c>
    </row>
    <row r="51" spans="2:24">
      <c r="C51" s="2">
        <v>40</v>
      </c>
      <c r="D51" s="443" t="s">
        <v>1982</v>
      </c>
      <c r="E51" s="444">
        <v>100</v>
      </c>
      <c r="F51" s="445">
        <v>63</v>
      </c>
      <c r="G51" s="446">
        <v>8</v>
      </c>
      <c r="H51" s="447">
        <v>9.8699999999999992</v>
      </c>
      <c r="I51" s="447">
        <v>12.57</v>
      </c>
      <c r="J51" s="92">
        <v>10</v>
      </c>
      <c r="K51" s="90">
        <v>3.3</v>
      </c>
      <c r="L51" s="97">
        <v>126.96</v>
      </c>
      <c r="M51" s="83">
        <v>19.010000000000002</v>
      </c>
      <c r="N51" s="98">
        <v>3.18</v>
      </c>
      <c r="O51" s="103">
        <v>39.21</v>
      </c>
      <c r="P51" s="81">
        <v>8.17</v>
      </c>
      <c r="Q51" s="98">
        <v>1.77</v>
      </c>
      <c r="R51" s="97">
        <v>23.38</v>
      </c>
      <c r="S51" s="34">
        <v>6.82</v>
      </c>
      <c r="T51" s="99">
        <v>1.36</v>
      </c>
      <c r="U51" s="97">
        <v>1.4972155926809865</v>
      </c>
      <c r="V51" s="99">
        <v>3.3221957040572789</v>
      </c>
      <c r="W51" s="111">
        <v>40.5</v>
      </c>
      <c r="X51" s="113">
        <v>0.39100000000000001</v>
      </c>
    </row>
    <row r="52" spans="2:24">
      <c r="C52" s="2">
        <v>41</v>
      </c>
      <c r="D52" s="438" t="s">
        <v>1982</v>
      </c>
      <c r="E52" s="439">
        <v>100</v>
      </c>
      <c r="F52" s="440">
        <v>63</v>
      </c>
      <c r="G52" s="441">
        <v>10</v>
      </c>
      <c r="H52" s="442">
        <v>12.14</v>
      </c>
      <c r="I52" s="442">
        <v>15.47</v>
      </c>
      <c r="J52" s="118">
        <v>10</v>
      </c>
      <c r="K52" s="91">
        <v>3.3</v>
      </c>
      <c r="L52" s="95">
        <v>153.94999999999999</v>
      </c>
      <c r="M52" s="80">
        <v>23.32</v>
      </c>
      <c r="N52" s="96">
        <v>3.15</v>
      </c>
      <c r="O52" s="102">
        <v>47.18</v>
      </c>
      <c r="P52" s="79">
        <v>9.99</v>
      </c>
      <c r="Q52" s="96">
        <v>1.75</v>
      </c>
      <c r="R52" s="95">
        <v>28.34</v>
      </c>
      <c r="S52" s="117">
        <v>8.31</v>
      </c>
      <c r="T52" s="105">
        <v>1.35</v>
      </c>
      <c r="U52" s="95">
        <v>1.5736910148674854</v>
      </c>
      <c r="V52" s="96">
        <v>3.403361344537815</v>
      </c>
      <c r="W52" s="110">
        <v>48.6</v>
      </c>
      <c r="X52" s="112">
        <v>0.38700000000000001</v>
      </c>
    </row>
    <row r="53" spans="2:24">
      <c r="B53" s="140" t="s">
        <v>1550</v>
      </c>
      <c r="C53" s="2">
        <v>42</v>
      </c>
      <c r="D53" s="519" t="s">
        <v>1983</v>
      </c>
      <c r="E53" s="450">
        <v>100</v>
      </c>
      <c r="F53" s="520">
        <v>65</v>
      </c>
      <c r="G53" s="521">
        <v>7</v>
      </c>
      <c r="H53" s="522">
        <v>8.81</v>
      </c>
      <c r="I53" s="522">
        <v>11.23</v>
      </c>
      <c r="J53" s="495">
        <v>10</v>
      </c>
      <c r="K53" s="484">
        <v>3.3</v>
      </c>
      <c r="L53" s="485">
        <v>114.05</v>
      </c>
      <c r="M53" s="486">
        <v>16.87</v>
      </c>
      <c r="N53" s="487">
        <v>3.19</v>
      </c>
      <c r="O53" s="488">
        <v>38.32</v>
      </c>
      <c r="P53" s="489">
        <v>7.7</v>
      </c>
      <c r="Q53" s="487">
        <v>1.85</v>
      </c>
      <c r="R53" s="485">
        <v>22.77</v>
      </c>
      <c r="S53" s="217">
        <v>6.43</v>
      </c>
      <c r="T53" s="228">
        <v>1.41</v>
      </c>
      <c r="U53" s="485">
        <v>1.52</v>
      </c>
      <c r="V53" s="487">
        <v>3.24</v>
      </c>
      <c r="W53" s="491">
        <v>38</v>
      </c>
      <c r="X53" s="492">
        <v>0.41499999999999998</v>
      </c>
    </row>
    <row r="54" spans="2:24">
      <c r="B54" s="140" t="s">
        <v>1550</v>
      </c>
      <c r="C54" s="2">
        <v>43</v>
      </c>
      <c r="D54" s="519" t="s">
        <v>1983</v>
      </c>
      <c r="E54" s="450">
        <v>100</v>
      </c>
      <c r="F54" s="520">
        <v>65</v>
      </c>
      <c r="G54" s="521">
        <v>8</v>
      </c>
      <c r="H54" s="522">
        <v>9.99</v>
      </c>
      <c r="I54" s="522">
        <v>12.72</v>
      </c>
      <c r="J54" s="495">
        <v>10</v>
      </c>
      <c r="K54" s="484">
        <v>3.3</v>
      </c>
      <c r="L54" s="485">
        <v>128.31</v>
      </c>
      <c r="M54" s="486">
        <v>19.11</v>
      </c>
      <c r="N54" s="487">
        <v>3.18</v>
      </c>
      <c r="O54" s="488">
        <v>42.96</v>
      </c>
      <c r="P54" s="489">
        <v>8.6999999999999993</v>
      </c>
      <c r="Q54" s="487">
        <v>1.84</v>
      </c>
      <c r="R54" s="485">
        <v>25.24</v>
      </c>
      <c r="S54" s="217">
        <v>7.26</v>
      </c>
      <c r="T54" s="228">
        <v>1.41</v>
      </c>
      <c r="U54" s="485">
        <v>1.5600628930817608</v>
      </c>
      <c r="V54" s="228">
        <v>3.2880503144654085</v>
      </c>
      <c r="W54" s="491">
        <v>42.64</v>
      </c>
      <c r="X54" s="492">
        <v>0.41399999999999998</v>
      </c>
    </row>
    <row r="55" spans="2:24">
      <c r="B55" s="140" t="s">
        <v>1550</v>
      </c>
      <c r="C55" s="2">
        <v>44</v>
      </c>
      <c r="D55" s="514" t="s">
        <v>1983</v>
      </c>
      <c r="E55" s="515">
        <v>100</v>
      </c>
      <c r="F55" s="516">
        <v>65</v>
      </c>
      <c r="G55" s="517">
        <v>10</v>
      </c>
      <c r="H55" s="518">
        <v>12.3</v>
      </c>
      <c r="I55" s="518">
        <v>15.66</v>
      </c>
      <c r="J55" s="497">
        <v>10</v>
      </c>
      <c r="K55" s="481">
        <v>3.3</v>
      </c>
      <c r="L55" s="473">
        <v>155.52000000000001</v>
      </c>
      <c r="M55" s="474">
        <v>23.45</v>
      </c>
      <c r="N55" s="475">
        <v>3.15</v>
      </c>
      <c r="O55" s="476">
        <v>51.68</v>
      </c>
      <c r="P55" s="477">
        <v>10.64</v>
      </c>
      <c r="Q55" s="475">
        <v>1.82</v>
      </c>
      <c r="R55" s="473">
        <v>30.6</v>
      </c>
      <c r="S55" s="494">
        <v>8.83</v>
      </c>
      <c r="T55" s="475">
        <v>1.4</v>
      </c>
      <c r="U55" s="473">
        <v>1.6363346104725416</v>
      </c>
      <c r="V55" s="478">
        <v>3.3684546615581099</v>
      </c>
      <c r="W55" s="482">
        <v>51.18</v>
      </c>
      <c r="X55" s="493">
        <v>0.41</v>
      </c>
    </row>
    <row r="56" spans="2:24">
      <c r="C56" s="2">
        <v>45</v>
      </c>
      <c r="D56" s="448" t="s">
        <v>1984</v>
      </c>
      <c r="E56" s="444">
        <v>110</v>
      </c>
      <c r="F56" s="445">
        <v>70</v>
      </c>
      <c r="G56" s="446">
        <v>6.5</v>
      </c>
      <c r="H56" s="447">
        <v>8.98</v>
      </c>
      <c r="I56" s="447">
        <v>11.44</v>
      </c>
      <c r="J56" s="92">
        <v>10</v>
      </c>
      <c r="K56" s="90">
        <v>3.3</v>
      </c>
      <c r="L56" s="97">
        <v>142.41999999999999</v>
      </c>
      <c r="M56" s="83">
        <v>19.11</v>
      </c>
      <c r="N56" s="98">
        <v>3.53</v>
      </c>
      <c r="O56" s="103">
        <v>45.61</v>
      </c>
      <c r="P56" s="81">
        <v>8.42</v>
      </c>
      <c r="Q56" s="98">
        <v>2</v>
      </c>
      <c r="R56" s="97">
        <v>26.94</v>
      </c>
      <c r="S56" s="34">
        <v>7.05</v>
      </c>
      <c r="T56" s="98">
        <v>1.53</v>
      </c>
      <c r="U56" s="97">
        <v>1.5831676136363637</v>
      </c>
      <c r="V56" s="99">
        <v>3.5547585227272731</v>
      </c>
      <c r="W56" s="111">
        <v>46.8</v>
      </c>
      <c r="X56" s="113">
        <v>0.40200000000000002</v>
      </c>
    </row>
    <row r="57" spans="2:24">
      <c r="C57" s="2">
        <v>46</v>
      </c>
      <c r="D57" s="449" t="s">
        <v>1984</v>
      </c>
      <c r="E57" s="439">
        <v>110</v>
      </c>
      <c r="F57" s="440">
        <v>70</v>
      </c>
      <c r="G57" s="441">
        <v>8</v>
      </c>
      <c r="H57" s="442">
        <v>10.93</v>
      </c>
      <c r="I57" s="442">
        <v>13.92</v>
      </c>
      <c r="J57" s="118">
        <v>10</v>
      </c>
      <c r="K57" s="91">
        <v>3.3</v>
      </c>
      <c r="L57" s="95">
        <v>171.54</v>
      </c>
      <c r="M57" s="80">
        <v>23.22</v>
      </c>
      <c r="N57" s="96">
        <v>3.51</v>
      </c>
      <c r="O57" s="102">
        <v>54.64</v>
      </c>
      <c r="P57" s="79">
        <v>10.199999999999999</v>
      </c>
      <c r="Q57" s="96">
        <v>1.98</v>
      </c>
      <c r="R57" s="95">
        <v>32.31</v>
      </c>
      <c r="S57" s="80">
        <v>8.5</v>
      </c>
      <c r="T57" s="96">
        <v>1.52</v>
      </c>
      <c r="U57" s="95">
        <v>1.642528735632184</v>
      </c>
      <c r="V57" s="105">
        <v>3.6195402298850579</v>
      </c>
      <c r="W57" s="110">
        <v>55.9</v>
      </c>
      <c r="X57" s="112">
        <v>0.4</v>
      </c>
    </row>
    <row r="58" spans="2:24">
      <c r="C58" s="2">
        <v>47</v>
      </c>
      <c r="D58" s="523" t="s">
        <v>1985</v>
      </c>
      <c r="E58" s="450">
        <v>125</v>
      </c>
      <c r="F58" s="520">
        <v>80</v>
      </c>
      <c r="G58" s="521">
        <v>7</v>
      </c>
      <c r="H58" s="522">
        <v>11.04</v>
      </c>
      <c r="I58" s="522">
        <v>14.06</v>
      </c>
      <c r="J58" s="495">
        <v>11</v>
      </c>
      <c r="K58" s="484">
        <v>3.7</v>
      </c>
      <c r="L58" s="485">
        <v>226.53</v>
      </c>
      <c r="M58" s="486">
        <v>26.67</v>
      </c>
      <c r="N58" s="487">
        <v>4.01</v>
      </c>
      <c r="O58" s="488">
        <v>73.73</v>
      </c>
      <c r="P58" s="489">
        <v>11.89</v>
      </c>
      <c r="Q58" s="487">
        <v>2.29</v>
      </c>
      <c r="R58" s="485">
        <v>43.4</v>
      </c>
      <c r="S58" s="486">
        <v>9.9600000000000009</v>
      </c>
      <c r="T58" s="487">
        <v>1.76</v>
      </c>
      <c r="U58" s="485">
        <v>1.7987908961593171</v>
      </c>
      <c r="V58" s="228">
        <v>4.0167852062588905</v>
      </c>
      <c r="W58" s="491">
        <v>74.7</v>
      </c>
      <c r="X58" s="492">
        <v>0.40699999999999997</v>
      </c>
    </row>
    <row r="59" spans="2:24">
      <c r="C59" s="2">
        <v>48</v>
      </c>
      <c r="D59" s="523" t="s">
        <v>1985</v>
      </c>
      <c r="E59" s="450">
        <v>125</v>
      </c>
      <c r="F59" s="520">
        <v>80</v>
      </c>
      <c r="G59" s="521">
        <v>8</v>
      </c>
      <c r="H59" s="522">
        <v>12.58</v>
      </c>
      <c r="I59" s="522">
        <v>15.98</v>
      </c>
      <c r="J59" s="495">
        <v>11</v>
      </c>
      <c r="K59" s="484">
        <v>3.7</v>
      </c>
      <c r="L59" s="485">
        <v>225.62</v>
      </c>
      <c r="M59" s="486">
        <v>30.26</v>
      </c>
      <c r="N59" s="487">
        <v>4</v>
      </c>
      <c r="O59" s="488">
        <v>80.95</v>
      </c>
      <c r="P59" s="489">
        <v>13.47</v>
      </c>
      <c r="Q59" s="487">
        <v>2.2799999999999998</v>
      </c>
      <c r="R59" s="485">
        <v>48.82</v>
      </c>
      <c r="S59" s="486">
        <v>11.25</v>
      </c>
      <c r="T59" s="487">
        <v>1.75</v>
      </c>
      <c r="U59" s="485">
        <v>1.8362953692115145</v>
      </c>
      <c r="V59" s="228">
        <v>4.05531914893617</v>
      </c>
      <c r="W59" s="491">
        <v>84.1</v>
      </c>
      <c r="X59" s="492">
        <v>0.40600000000000003</v>
      </c>
    </row>
    <row r="60" spans="2:24">
      <c r="C60" s="2">
        <v>49</v>
      </c>
      <c r="D60" s="523" t="s">
        <v>1985</v>
      </c>
      <c r="E60" s="450">
        <v>125</v>
      </c>
      <c r="F60" s="520">
        <v>80</v>
      </c>
      <c r="G60" s="521">
        <v>10</v>
      </c>
      <c r="H60" s="522">
        <v>15.47</v>
      </c>
      <c r="I60" s="522">
        <v>19.7</v>
      </c>
      <c r="J60" s="495">
        <v>11</v>
      </c>
      <c r="K60" s="484">
        <v>3.7</v>
      </c>
      <c r="L60" s="485">
        <v>311.61</v>
      </c>
      <c r="M60" s="486">
        <v>37.270000000000003</v>
      </c>
      <c r="N60" s="487">
        <v>3.98</v>
      </c>
      <c r="O60" s="488">
        <v>100.47</v>
      </c>
      <c r="P60" s="489">
        <v>16.52</v>
      </c>
      <c r="Q60" s="487">
        <v>2.2599999999999998</v>
      </c>
      <c r="R60" s="485">
        <v>59.33</v>
      </c>
      <c r="S60" s="486">
        <v>13.47</v>
      </c>
      <c r="T60" s="487">
        <v>1.74</v>
      </c>
      <c r="U60" s="485">
        <v>1.9162436548223352</v>
      </c>
      <c r="V60" s="228">
        <v>4.1434010152284264</v>
      </c>
      <c r="W60" s="498">
        <v>102</v>
      </c>
      <c r="X60" s="492">
        <v>0.40400000000000003</v>
      </c>
    </row>
    <row r="61" spans="2:24">
      <c r="C61" s="2">
        <v>50</v>
      </c>
      <c r="D61" s="593" t="s">
        <v>1985</v>
      </c>
      <c r="E61" s="515">
        <v>125</v>
      </c>
      <c r="F61" s="516">
        <v>80</v>
      </c>
      <c r="G61" s="517">
        <v>12</v>
      </c>
      <c r="H61" s="518">
        <v>18.34</v>
      </c>
      <c r="I61" s="518">
        <v>23.36</v>
      </c>
      <c r="J61" s="497">
        <v>11</v>
      </c>
      <c r="K61" s="481">
        <v>3.7</v>
      </c>
      <c r="L61" s="473">
        <v>364.79</v>
      </c>
      <c r="M61" s="474">
        <v>44.07</v>
      </c>
      <c r="N61" s="475">
        <v>3.95</v>
      </c>
      <c r="O61" s="476">
        <v>116.84</v>
      </c>
      <c r="P61" s="477">
        <v>19.46</v>
      </c>
      <c r="Q61" s="475">
        <v>2.2400000000000002</v>
      </c>
      <c r="R61" s="473">
        <v>69.47</v>
      </c>
      <c r="S61" s="474">
        <v>16.11</v>
      </c>
      <c r="T61" s="475">
        <v>1.72</v>
      </c>
      <c r="U61" s="473">
        <v>1.9921232876712329</v>
      </c>
      <c r="V61" s="478">
        <v>4.2228595890410956</v>
      </c>
      <c r="W61" s="499">
        <v>118</v>
      </c>
      <c r="X61" s="493">
        <v>0.4</v>
      </c>
    </row>
    <row r="62" spans="2:24">
      <c r="C62" s="2">
        <v>51</v>
      </c>
      <c r="D62" s="448" t="s">
        <v>1986</v>
      </c>
      <c r="E62" s="444">
        <v>140</v>
      </c>
      <c r="F62" s="445">
        <v>90</v>
      </c>
      <c r="G62" s="446">
        <v>8</v>
      </c>
      <c r="H62" s="447">
        <v>14.13</v>
      </c>
      <c r="I62" s="447">
        <v>17.989999999999998</v>
      </c>
      <c r="J62" s="92">
        <v>12</v>
      </c>
      <c r="K62" s="90">
        <v>4</v>
      </c>
      <c r="L62" s="97">
        <v>363.68</v>
      </c>
      <c r="M62" s="83">
        <v>38.25</v>
      </c>
      <c r="N62" s="98">
        <v>4.49</v>
      </c>
      <c r="O62" s="103">
        <v>119.79</v>
      </c>
      <c r="P62" s="81">
        <v>17.190000000000001</v>
      </c>
      <c r="Q62" s="98">
        <v>2.58</v>
      </c>
      <c r="R62" s="97">
        <v>70.27</v>
      </c>
      <c r="S62" s="83">
        <v>14.39</v>
      </c>
      <c r="T62" s="98">
        <v>1.58</v>
      </c>
      <c r="U62" s="97">
        <v>2.0357976653696497</v>
      </c>
      <c r="V62" s="98">
        <v>4.5038354641467491</v>
      </c>
      <c r="W62" s="119">
        <v>121</v>
      </c>
      <c r="X62" s="113">
        <v>0.41099999999999998</v>
      </c>
    </row>
    <row r="63" spans="2:24">
      <c r="C63" s="2">
        <v>52</v>
      </c>
      <c r="D63" s="449" t="s">
        <v>1986</v>
      </c>
      <c r="E63" s="439">
        <v>140</v>
      </c>
      <c r="F63" s="440">
        <v>90</v>
      </c>
      <c r="G63" s="441">
        <v>10</v>
      </c>
      <c r="H63" s="442">
        <v>17.46</v>
      </c>
      <c r="I63" s="442">
        <v>22.24</v>
      </c>
      <c r="J63" s="118">
        <v>12</v>
      </c>
      <c r="K63" s="91">
        <v>4</v>
      </c>
      <c r="L63" s="95">
        <v>444.45</v>
      </c>
      <c r="M63" s="80">
        <v>47.19</v>
      </c>
      <c r="N63" s="96">
        <v>4.47</v>
      </c>
      <c r="O63" s="102">
        <v>145.54</v>
      </c>
      <c r="P63" s="79">
        <v>21.14</v>
      </c>
      <c r="Q63" s="96">
        <v>2.58</v>
      </c>
      <c r="R63" s="95">
        <v>85.51</v>
      </c>
      <c r="S63" s="80">
        <v>17.579999999999998</v>
      </c>
      <c r="T63" s="96">
        <v>1.96</v>
      </c>
      <c r="U63" s="95">
        <v>2.1133093525179856</v>
      </c>
      <c r="V63" s="105">
        <v>4.5863309352517989</v>
      </c>
      <c r="W63" s="120">
        <v>147</v>
      </c>
      <c r="X63" s="112">
        <v>0.40899999999999997</v>
      </c>
    </row>
    <row r="64" spans="2:24">
      <c r="C64" s="2">
        <v>53</v>
      </c>
      <c r="D64" s="523" t="s">
        <v>1987</v>
      </c>
      <c r="E64" s="450">
        <v>160</v>
      </c>
      <c r="F64" s="520">
        <v>100</v>
      </c>
      <c r="G64" s="521">
        <v>9</v>
      </c>
      <c r="H64" s="522">
        <v>17.96</v>
      </c>
      <c r="I64" s="522">
        <v>22.87</v>
      </c>
      <c r="J64" s="495">
        <v>13</v>
      </c>
      <c r="K64" s="484">
        <v>4.3</v>
      </c>
      <c r="L64" s="485">
        <v>605.97</v>
      </c>
      <c r="M64" s="486">
        <v>56.04</v>
      </c>
      <c r="N64" s="487">
        <v>5.15</v>
      </c>
      <c r="O64" s="488">
        <v>186.03</v>
      </c>
      <c r="P64" s="489">
        <v>23.96</v>
      </c>
      <c r="Q64" s="487">
        <v>2.85</v>
      </c>
      <c r="R64" s="485">
        <v>110.4</v>
      </c>
      <c r="S64" s="486">
        <v>20.010000000000002</v>
      </c>
      <c r="T64" s="487">
        <v>2.2000000000000002</v>
      </c>
      <c r="U64" s="485">
        <v>2.2350459116746828</v>
      </c>
      <c r="V64" s="487">
        <v>5.1983165719282907</v>
      </c>
      <c r="W64" s="498">
        <v>194</v>
      </c>
      <c r="X64" s="492">
        <v>0.31900000000000001</v>
      </c>
    </row>
    <row r="65" spans="3:24">
      <c r="C65" s="2">
        <v>54</v>
      </c>
      <c r="D65" s="523" t="s">
        <v>1987</v>
      </c>
      <c r="E65" s="450">
        <v>160</v>
      </c>
      <c r="F65" s="520">
        <v>100</v>
      </c>
      <c r="G65" s="521">
        <v>10</v>
      </c>
      <c r="H65" s="522">
        <v>19.850000000000001</v>
      </c>
      <c r="I65" s="522">
        <v>25.28</v>
      </c>
      <c r="J65" s="495">
        <v>13</v>
      </c>
      <c r="K65" s="484">
        <v>4.3</v>
      </c>
      <c r="L65" s="485">
        <v>666.59</v>
      </c>
      <c r="M65" s="486">
        <v>61.91</v>
      </c>
      <c r="N65" s="487">
        <v>5.13</v>
      </c>
      <c r="O65" s="488">
        <v>204.09</v>
      </c>
      <c r="P65" s="489">
        <v>26.42</v>
      </c>
      <c r="Q65" s="487">
        <v>2.84</v>
      </c>
      <c r="R65" s="485">
        <v>121.16</v>
      </c>
      <c r="S65" s="486">
        <v>22.02</v>
      </c>
      <c r="T65" s="487">
        <v>2.19</v>
      </c>
      <c r="U65" s="485">
        <v>2.274525316455696</v>
      </c>
      <c r="V65" s="228">
        <v>5.2412974683544302</v>
      </c>
      <c r="W65" s="498">
        <v>213</v>
      </c>
      <c r="X65" s="492">
        <v>0.39</v>
      </c>
    </row>
    <row r="66" spans="3:24">
      <c r="C66" s="2">
        <v>55</v>
      </c>
      <c r="D66" s="523" t="s">
        <v>1987</v>
      </c>
      <c r="E66" s="450">
        <v>160</v>
      </c>
      <c r="F66" s="520">
        <v>100</v>
      </c>
      <c r="G66" s="521">
        <v>12</v>
      </c>
      <c r="H66" s="522">
        <v>23.58</v>
      </c>
      <c r="I66" s="522">
        <v>30.03</v>
      </c>
      <c r="J66" s="495">
        <v>13</v>
      </c>
      <c r="K66" s="484">
        <v>4.3</v>
      </c>
      <c r="L66" s="485">
        <v>784.22</v>
      </c>
      <c r="M66" s="486">
        <v>73.42</v>
      </c>
      <c r="N66" s="487">
        <v>5.1100000000000003</v>
      </c>
      <c r="O66" s="488">
        <v>238.75</v>
      </c>
      <c r="P66" s="489">
        <v>31.23</v>
      </c>
      <c r="Q66" s="487">
        <v>2.82</v>
      </c>
      <c r="R66" s="485">
        <v>142.13999999999999</v>
      </c>
      <c r="S66" s="486">
        <v>25.93</v>
      </c>
      <c r="T66" s="487">
        <v>2.1800000000000002</v>
      </c>
      <c r="U66" s="485">
        <v>2.3528471528471528</v>
      </c>
      <c r="V66" s="228">
        <v>5.325874125874126</v>
      </c>
      <c r="W66" s="498">
        <v>249</v>
      </c>
      <c r="X66" s="492">
        <v>0.38800000000000001</v>
      </c>
    </row>
    <row r="67" spans="3:24">
      <c r="C67" s="2">
        <v>56</v>
      </c>
      <c r="D67" s="593" t="s">
        <v>1987</v>
      </c>
      <c r="E67" s="515">
        <v>160</v>
      </c>
      <c r="F67" s="516">
        <v>100</v>
      </c>
      <c r="G67" s="517">
        <v>14</v>
      </c>
      <c r="H67" s="518">
        <v>27.26</v>
      </c>
      <c r="I67" s="518">
        <v>34.79</v>
      </c>
      <c r="J67" s="497">
        <v>13</v>
      </c>
      <c r="K67" s="481">
        <v>4.3</v>
      </c>
      <c r="L67" s="473">
        <v>897.1</v>
      </c>
      <c r="M67" s="474">
        <v>84.65</v>
      </c>
      <c r="N67" s="475">
        <v>5.08</v>
      </c>
      <c r="O67" s="476">
        <v>271.60000000000002</v>
      </c>
      <c r="P67" s="477">
        <v>35.89</v>
      </c>
      <c r="Q67" s="475">
        <v>2.8</v>
      </c>
      <c r="R67" s="473">
        <v>162.49</v>
      </c>
      <c r="S67" s="474">
        <v>29.75</v>
      </c>
      <c r="T67" s="475">
        <v>2.16</v>
      </c>
      <c r="U67" s="473">
        <v>2.4233400402414489</v>
      </c>
      <c r="V67" s="478">
        <v>5.3931589537223337</v>
      </c>
      <c r="W67" s="499">
        <v>282</v>
      </c>
      <c r="X67" s="493">
        <v>0.38500000000000001</v>
      </c>
    </row>
    <row r="68" spans="3:24">
      <c r="C68" s="2">
        <v>57</v>
      </c>
      <c r="D68" s="448" t="s">
        <v>1988</v>
      </c>
      <c r="E68" s="444">
        <v>180</v>
      </c>
      <c r="F68" s="445">
        <v>110</v>
      </c>
      <c r="G68" s="446">
        <v>10</v>
      </c>
      <c r="H68" s="447">
        <v>22.2</v>
      </c>
      <c r="I68" s="447">
        <v>28.33</v>
      </c>
      <c r="J68" s="92">
        <v>14</v>
      </c>
      <c r="K68" s="90">
        <v>4.7</v>
      </c>
      <c r="L68" s="97">
        <v>952.28</v>
      </c>
      <c r="M68" s="83">
        <v>78.59</v>
      </c>
      <c r="N68" s="98">
        <v>5.8</v>
      </c>
      <c r="O68" s="103">
        <v>276.37</v>
      </c>
      <c r="P68" s="81">
        <v>32.270000000000003</v>
      </c>
      <c r="Q68" s="98">
        <v>3.12</v>
      </c>
      <c r="R68" s="97">
        <v>165.44</v>
      </c>
      <c r="S68" s="83">
        <v>26.96</v>
      </c>
      <c r="T68" s="98">
        <v>2.42</v>
      </c>
      <c r="U68" s="97">
        <v>2.4355806565478293</v>
      </c>
      <c r="V68" s="99">
        <v>5.8948111542534418</v>
      </c>
      <c r="W68" s="119">
        <v>295</v>
      </c>
      <c r="X68" s="113">
        <v>0.376</v>
      </c>
    </row>
    <row r="69" spans="3:24">
      <c r="C69" s="2">
        <v>58</v>
      </c>
      <c r="D69" s="449" t="s">
        <v>1988</v>
      </c>
      <c r="E69" s="439">
        <v>180</v>
      </c>
      <c r="F69" s="440">
        <v>110</v>
      </c>
      <c r="G69" s="441">
        <v>12</v>
      </c>
      <c r="H69" s="442">
        <v>26.4</v>
      </c>
      <c r="I69" s="442">
        <v>33.69</v>
      </c>
      <c r="J69" s="118">
        <v>14</v>
      </c>
      <c r="K69" s="91">
        <v>4.7</v>
      </c>
      <c r="L69" s="95">
        <v>1122.56</v>
      </c>
      <c r="M69" s="80">
        <v>93.33</v>
      </c>
      <c r="N69" s="96">
        <v>5.77</v>
      </c>
      <c r="O69" s="102">
        <v>324.08999999999997</v>
      </c>
      <c r="P69" s="79">
        <v>38.200000000000003</v>
      </c>
      <c r="Q69" s="96">
        <v>3.1</v>
      </c>
      <c r="R69" s="95">
        <v>194.28</v>
      </c>
      <c r="S69" s="80">
        <v>31.83</v>
      </c>
      <c r="T69" s="96">
        <v>2.4</v>
      </c>
      <c r="U69" s="95">
        <v>2.5139804096170972</v>
      </c>
      <c r="V69" s="105">
        <v>5.9796972395369563</v>
      </c>
      <c r="W69" s="120">
        <v>348</v>
      </c>
      <c r="X69" s="112">
        <v>0.374</v>
      </c>
    </row>
    <row r="70" spans="3:24">
      <c r="C70" s="2">
        <v>59</v>
      </c>
      <c r="D70" s="523" t="s">
        <v>1989</v>
      </c>
      <c r="E70" s="450">
        <v>200</v>
      </c>
      <c r="F70" s="520">
        <v>125</v>
      </c>
      <c r="G70" s="521">
        <v>11</v>
      </c>
      <c r="H70" s="522">
        <v>27.37</v>
      </c>
      <c r="I70" s="522">
        <v>34.86</v>
      </c>
      <c r="J70" s="495">
        <v>14</v>
      </c>
      <c r="K70" s="484">
        <v>4.7</v>
      </c>
      <c r="L70" s="485">
        <v>1449.02</v>
      </c>
      <c r="M70" s="486">
        <v>107.31</v>
      </c>
      <c r="N70" s="487">
        <v>6.45</v>
      </c>
      <c r="O70" s="488">
        <v>446.36</v>
      </c>
      <c r="P70" s="489">
        <v>45.98</v>
      </c>
      <c r="Q70" s="487">
        <v>3.58</v>
      </c>
      <c r="R70" s="485">
        <v>263.83999999999997</v>
      </c>
      <c r="S70" s="486">
        <v>38.270000000000003</v>
      </c>
      <c r="T70" s="487">
        <v>2.75</v>
      </c>
      <c r="U70" s="485">
        <v>2.7932300631095814</v>
      </c>
      <c r="V70" s="228">
        <v>6.5088066551921973</v>
      </c>
      <c r="W70" s="498">
        <v>465</v>
      </c>
      <c r="X70" s="492">
        <v>0.39200000000000002</v>
      </c>
    </row>
    <row r="71" spans="3:24">
      <c r="C71" s="2">
        <v>60</v>
      </c>
      <c r="D71" s="523" t="s">
        <v>1989</v>
      </c>
      <c r="E71" s="450">
        <v>200</v>
      </c>
      <c r="F71" s="520">
        <v>125</v>
      </c>
      <c r="G71" s="521">
        <v>12</v>
      </c>
      <c r="H71" s="522">
        <v>29.74</v>
      </c>
      <c r="I71" s="522">
        <v>37.869999999999997</v>
      </c>
      <c r="J71" s="495">
        <v>14</v>
      </c>
      <c r="K71" s="484">
        <v>4.7</v>
      </c>
      <c r="L71" s="485">
        <v>1568.19</v>
      </c>
      <c r="M71" s="486">
        <v>116.51</v>
      </c>
      <c r="N71" s="487">
        <v>6.43</v>
      </c>
      <c r="O71" s="488">
        <v>481.93</v>
      </c>
      <c r="P71" s="489">
        <v>49.85</v>
      </c>
      <c r="Q71" s="487">
        <v>3.57</v>
      </c>
      <c r="R71" s="485">
        <v>285.04000000000002</v>
      </c>
      <c r="S71" s="486">
        <v>41.45</v>
      </c>
      <c r="T71" s="487">
        <v>2.74</v>
      </c>
      <c r="U71" s="485">
        <v>2.8330076577766046</v>
      </c>
      <c r="V71" s="228">
        <v>6.552310536044363</v>
      </c>
      <c r="W71" s="498">
        <v>503</v>
      </c>
      <c r="X71" s="492">
        <v>0.39200000000000002</v>
      </c>
    </row>
    <row r="72" spans="3:24">
      <c r="C72" s="2">
        <v>61</v>
      </c>
      <c r="D72" s="523" t="s">
        <v>1989</v>
      </c>
      <c r="E72" s="450">
        <v>200</v>
      </c>
      <c r="F72" s="520">
        <v>125</v>
      </c>
      <c r="G72" s="521">
        <v>14</v>
      </c>
      <c r="H72" s="522">
        <v>34.43</v>
      </c>
      <c r="I72" s="522">
        <v>43.85</v>
      </c>
      <c r="J72" s="495">
        <v>14</v>
      </c>
      <c r="K72" s="484">
        <v>4.7</v>
      </c>
      <c r="L72" s="485">
        <v>1800.83</v>
      </c>
      <c r="M72" s="486">
        <v>134.63999999999999</v>
      </c>
      <c r="N72" s="487">
        <v>6.41</v>
      </c>
      <c r="O72" s="488">
        <v>550.77</v>
      </c>
      <c r="P72" s="489">
        <v>57.43</v>
      </c>
      <c r="Q72" s="487">
        <v>3.54</v>
      </c>
      <c r="R72" s="485">
        <v>326.54000000000002</v>
      </c>
      <c r="S72" s="486">
        <v>47.57</v>
      </c>
      <c r="T72" s="487">
        <v>2.73</v>
      </c>
      <c r="U72" s="485">
        <v>2.9099885974914481</v>
      </c>
      <c r="V72" s="228">
        <v>6.6334777651083234</v>
      </c>
      <c r="W72" s="498">
        <v>575</v>
      </c>
      <c r="X72" s="492">
        <v>0.39</v>
      </c>
    </row>
    <row r="73" spans="3:24" ht="13.5" thickBot="1">
      <c r="C73" s="2">
        <v>62</v>
      </c>
      <c r="D73" s="594" t="s">
        <v>1989</v>
      </c>
      <c r="E73" s="595">
        <v>200</v>
      </c>
      <c r="F73" s="596">
        <v>125</v>
      </c>
      <c r="G73" s="597">
        <v>16</v>
      </c>
      <c r="H73" s="598">
        <v>39.07</v>
      </c>
      <c r="I73" s="598">
        <v>49.76</v>
      </c>
      <c r="J73" s="500">
        <v>14</v>
      </c>
      <c r="K73" s="501">
        <v>4.7</v>
      </c>
      <c r="L73" s="502">
        <v>2026.08</v>
      </c>
      <c r="M73" s="503">
        <v>152.41</v>
      </c>
      <c r="N73" s="504">
        <v>6.38</v>
      </c>
      <c r="O73" s="505">
        <v>616.66</v>
      </c>
      <c r="P73" s="506">
        <v>64.8</v>
      </c>
      <c r="Q73" s="504">
        <v>3.52</v>
      </c>
      <c r="R73" s="502">
        <v>366.99</v>
      </c>
      <c r="S73" s="503">
        <v>53.56</v>
      </c>
      <c r="T73" s="504" t="s">
        <v>1990</v>
      </c>
      <c r="U73" s="502">
        <v>2.9853697749196142</v>
      </c>
      <c r="V73" s="233">
        <v>6.7112540192926051</v>
      </c>
      <c r="W73" s="507">
        <v>643</v>
      </c>
      <c r="X73" s="508">
        <v>0.38800000000000001</v>
      </c>
    </row>
    <row r="74" spans="3:24">
      <c r="C74" s="423"/>
      <c r="D74" s="424"/>
      <c r="E74" s="35"/>
      <c r="F74" s="35"/>
      <c r="G74" s="35"/>
      <c r="H74" s="81"/>
      <c r="I74" s="81"/>
      <c r="J74" s="425"/>
      <c r="K74" s="426"/>
      <c r="L74" s="83"/>
      <c r="M74" s="83"/>
      <c r="N74" s="83"/>
      <c r="O74" s="82"/>
      <c r="P74" s="82"/>
      <c r="Q74" s="83"/>
      <c r="R74" s="83"/>
      <c r="S74" s="83"/>
      <c r="T74" s="83"/>
      <c r="U74" s="83"/>
      <c r="V74" s="34"/>
      <c r="W74" s="426"/>
      <c r="X74" s="427"/>
    </row>
    <row r="75" spans="3:24" hidden="1">
      <c r="C75" s="423">
        <v>1</v>
      </c>
      <c r="D75" s="524" t="s">
        <v>1991</v>
      </c>
      <c r="E75" s="424"/>
      <c r="G75" s="35"/>
      <c r="H75" s="81"/>
      <c r="I75" s="81"/>
      <c r="J75" s="425"/>
      <c r="K75" s="426"/>
      <c r="L75" s="83"/>
      <c r="M75" s="83"/>
      <c r="N75" s="83"/>
      <c r="O75" s="82"/>
      <c r="P75" s="82"/>
      <c r="Q75" s="83"/>
      <c r="R75" s="83"/>
      <c r="S75" s="83"/>
      <c r="T75" s="83"/>
      <c r="U75" s="83"/>
      <c r="V75" s="34"/>
      <c r="W75" s="426"/>
      <c r="X75" s="427"/>
    </row>
    <row r="76" spans="3:24" hidden="1">
      <c r="C76" s="423">
        <v>2</v>
      </c>
      <c r="D76" s="524" t="s">
        <v>1992</v>
      </c>
      <c r="E76" s="424"/>
      <c r="G76" s="35"/>
      <c r="H76" s="81"/>
      <c r="I76" s="81"/>
      <c r="J76" s="425"/>
      <c r="K76" s="426"/>
      <c r="L76" s="83"/>
      <c r="M76" s="83"/>
      <c r="N76" s="83"/>
      <c r="O76" s="82"/>
      <c r="P76" s="82"/>
      <c r="Q76" s="83"/>
      <c r="R76" s="83"/>
      <c r="S76" s="83"/>
      <c r="T76" s="83"/>
      <c r="U76" s="83"/>
      <c r="V76" s="34"/>
      <c r="W76" s="426"/>
      <c r="X76" s="427"/>
    </row>
    <row r="77" spans="3:24" hidden="1">
      <c r="C77" s="423">
        <v>3</v>
      </c>
      <c r="D77" s="524" t="s">
        <v>1993</v>
      </c>
      <c r="E77" s="424"/>
      <c r="G77" s="35"/>
      <c r="H77" s="81"/>
      <c r="I77" s="81"/>
      <c r="J77" s="81"/>
      <c r="K77" s="81"/>
      <c r="L77" s="81"/>
      <c r="M77" s="81"/>
      <c r="N77" s="83"/>
      <c r="O77" s="82"/>
      <c r="P77" s="82"/>
      <c r="Q77" s="83"/>
      <c r="R77" s="83"/>
      <c r="S77" s="83"/>
      <c r="T77" s="83"/>
      <c r="U77" s="83"/>
      <c r="V77" s="34"/>
      <c r="W77" s="426"/>
      <c r="X77" s="427"/>
    </row>
    <row r="78" spans="3:24" hidden="1">
      <c r="C78" s="423">
        <v>4</v>
      </c>
      <c r="D78" s="141" t="s">
        <v>1561</v>
      </c>
      <c r="E78" s="424"/>
      <c r="I78" s="81"/>
    </row>
    <row r="79" spans="3:24" hidden="1">
      <c r="C79" s="423">
        <v>5</v>
      </c>
      <c r="D79" s="141" t="s">
        <v>1994</v>
      </c>
      <c r="E79" s="424"/>
      <c r="I79" s="81"/>
    </row>
    <row r="80" spans="3:24" ht="14.25" hidden="1">
      <c r="C80" s="423">
        <v>6</v>
      </c>
      <c r="D80" s="141" t="s">
        <v>1995</v>
      </c>
      <c r="E80" s="424"/>
      <c r="I80" s="81"/>
    </row>
    <row r="81" spans="3:15" hidden="1">
      <c r="C81" s="423">
        <v>7</v>
      </c>
      <c r="D81" s="141" t="s">
        <v>1564</v>
      </c>
      <c r="I81" s="81"/>
    </row>
    <row r="82" spans="3:15" hidden="1">
      <c r="C82" s="423">
        <v>8</v>
      </c>
      <c r="D82" s="141" t="s">
        <v>1996</v>
      </c>
      <c r="I82" s="81"/>
    </row>
    <row r="83" spans="3:15" ht="14.25" hidden="1">
      <c r="C83" s="423">
        <v>9</v>
      </c>
      <c r="D83" s="141" t="s">
        <v>1997</v>
      </c>
      <c r="I83" s="81"/>
    </row>
    <row r="84" spans="3:15" ht="14.25" hidden="1">
      <c r="C84" s="423">
        <v>10</v>
      </c>
      <c r="D84" s="141" t="s">
        <v>1998</v>
      </c>
      <c r="I84" s="81"/>
    </row>
    <row r="85" spans="3:15" hidden="1">
      <c r="C85" s="423">
        <v>11</v>
      </c>
      <c r="D85" s="141" t="s">
        <v>1568</v>
      </c>
    </row>
    <row r="86" spans="3:15" ht="14.25" hidden="1">
      <c r="C86" s="423">
        <v>12</v>
      </c>
      <c r="D86" s="141" t="s">
        <v>1999</v>
      </c>
    </row>
    <row r="87" spans="3:15" ht="14.25" hidden="1">
      <c r="C87" s="423">
        <v>13</v>
      </c>
      <c r="D87" s="141" t="s">
        <v>2000</v>
      </c>
    </row>
    <row r="88" spans="3:15" hidden="1">
      <c r="C88" s="423">
        <v>14</v>
      </c>
      <c r="D88" s="141" t="s">
        <v>2001</v>
      </c>
    </row>
    <row r="89" spans="3:15" ht="15" hidden="1" thickBot="1">
      <c r="C89" s="423">
        <v>15</v>
      </c>
      <c r="D89" s="141" t="s">
        <v>2002</v>
      </c>
    </row>
    <row r="90" spans="3:15" ht="15" hidden="1" thickBot="1">
      <c r="C90" s="423">
        <v>16</v>
      </c>
      <c r="D90" s="141" t="s">
        <v>2003</v>
      </c>
      <c r="L90" s="585" t="s">
        <v>2004</v>
      </c>
      <c r="M90" s="1033">
        <v>1</v>
      </c>
      <c r="N90" s="584" t="s">
        <v>2005</v>
      </c>
    </row>
    <row r="91" spans="3:15" ht="13.5" hidden="1" thickBot="1">
      <c r="C91" s="423">
        <v>17</v>
      </c>
      <c r="D91" s="141" t="s">
        <v>2006</v>
      </c>
      <c r="L91" s="583" t="s">
        <v>2007</v>
      </c>
      <c r="M91" s="1034">
        <v>2</v>
      </c>
      <c r="N91" s="582" t="s">
        <v>2008</v>
      </c>
    </row>
    <row r="92" spans="3:15" ht="13.5" hidden="1" thickBot="1">
      <c r="C92" s="423">
        <v>18</v>
      </c>
      <c r="D92" s="141" t="s">
        <v>2009</v>
      </c>
      <c r="M92" s="1035">
        <f>VLOOKUP(M91,A103:I125,3,FALSE)</f>
        <v>2</v>
      </c>
    </row>
    <row r="93" spans="3:15" ht="13.5" hidden="1" thickBot="1">
      <c r="C93" s="423">
        <v>19</v>
      </c>
      <c r="D93" s="141" t="s">
        <v>2010</v>
      </c>
      <c r="L93" s="586" t="s">
        <v>2011</v>
      </c>
      <c r="M93" s="1036">
        <v>1</v>
      </c>
      <c r="N93" s="587" t="s">
        <v>2012</v>
      </c>
    </row>
    <row r="94" spans="3:15" ht="13.5" hidden="1" thickBot="1">
      <c r="C94" s="423">
        <v>20</v>
      </c>
      <c r="D94" s="141" t="s">
        <v>2013</v>
      </c>
      <c r="M94" s="1037">
        <f>VLOOKUP(M91,A103:C125,3,FALSE)</f>
        <v>2</v>
      </c>
    </row>
    <row r="95" spans="3:15" hidden="1">
      <c r="C95" s="423">
        <v>21</v>
      </c>
      <c r="D95" s="141" t="s">
        <v>2014</v>
      </c>
    </row>
    <row r="96" spans="3:15" hidden="1">
      <c r="C96" s="423"/>
      <c r="D96" s="424"/>
      <c r="O96" s="1">
        <v>0.78522042646277002</v>
      </c>
    </row>
    <row r="97" spans="1:28" ht="15.75" hidden="1">
      <c r="D97" s="141" t="s">
        <v>2015</v>
      </c>
      <c r="O97" s="1">
        <f>H12/I12</f>
        <v>0.78448275862068972</v>
      </c>
      <c r="P97" s="1" t="s">
        <v>2016</v>
      </c>
    </row>
    <row r="98" spans="1:28" hidden="1"/>
    <row r="99" spans="1:28" s="1" customFormat="1" ht="13.5" hidden="1" thickBot="1">
      <c r="B99" s="140"/>
      <c r="D99" s="29">
        <v>1</v>
      </c>
      <c r="E99" s="1">
        <v>2</v>
      </c>
      <c r="F99" s="29">
        <v>3</v>
      </c>
      <c r="G99" s="1">
        <v>4</v>
      </c>
      <c r="H99" s="29">
        <v>5</v>
      </c>
      <c r="I99" s="1">
        <v>6</v>
      </c>
      <c r="J99" s="29">
        <v>7</v>
      </c>
      <c r="K99" s="1">
        <v>8</v>
      </c>
      <c r="L99" s="29">
        <v>9</v>
      </c>
      <c r="M99" s="1">
        <v>10</v>
      </c>
      <c r="N99" s="29">
        <v>11</v>
      </c>
      <c r="O99" s="1">
        <v>12</v>
      </c>
      <c r="P99" s="29">
        <v>13</v>
      </c>
      <c r="Q99" s="1">
        <v>14</v>
      </c>
      <c r="R99" s="29">
        <v>15</v>
      </c>
      <c r="S99" s="1">
        <v>16</v>
      </c>
      <c r="T99" s="29">
        <v>17</v>
      </c>
      <c r="U99" s="1">
        <v>18</v>
      </c>
      <c r="V99" s="29">
        <v>19</v>
      </c>
      <c r="W99" s="1">
        <v>20</v>
      </c>
      <c r="X99" s="29">
        <v>21</v>
      </c>
    </row>
    <row r="100" spans="1:28" ht="45" hidden="1">
      <c r="D100" s="415" t="s">
        <v>1930</v>
      </c>
      <c r="E100" s="416" t="s">
        <v>1490</v>
      </c>
      <c r="F100" s="417" t="s">
        <v>1490</v>
      </c>
      <c r="G100" s="418" t="s">
        <v>1490</v>
      </c>
      <c r="H100" s="419" t="s">
        <v>1491</v>
      </c>
      <c r="I100" s="415" t="s">
        <v>1931</v>
      </c>
      <c r="J100" s="420"/>
      <c r="K100" s="421"/>
      <c r="L100" s="416" t="s">
        <v>1521</v>
      </c>
      <c r="M100" s="417" t="s">
        <v>1932</v>
      </c>
      <c r="N100" s="418" t="s">
        <v>1523</v>
      </c>
      <c r="O100" s="416" t="s">
        <v>1933</v>
      </c>
      <c r="P100" s="417" t="s">
        <v>1934</v>
      </c>
      <c r="Q100" s="418" t="s">
        <v>1933</v>
      </c>
      <c r="R100" s="416" t="s">
        <v>2017</v>
      </c>
      <c r="S100" s="417" t="s">
        <v>1936</v>
      </c>
      <c r="T100" s="418" t="s">
        <v>1937</v>
      </c>
      <c r="U100" s="415"/>
      <c r="V100" s="415"/>
      <c r="W100" s="415"/>
      <c r="X100" s="415" t="s">
        <v>1938</v>
      </c>
      <c r="AB100" s="1532" t="s">
        <v>1958</v>
      </c>
    </row>
    <row r="101" spans="1:28" ht="18.75" hidden="1">
      <c r="D101" s="75" t="s">
        <v>1544</v>
      </c>
      <c r="E101" s="13" t="s">
        <v>1939</v>
      </c>
      <c r="F101" s="15" t="s">
        <v>1528</v>
      </c>
      <c r="G101" s="9" t="s">
        <v>1529</v>
      </c>
      <c r="H101" s="47" t="s">
        <v>1530</v>
      </c>
      <c r="I101" s="11" t="s">
        <v>1531</v>
      </c>
      <c r="J101" s="13" t="s">
        <v>1532</v>
      </c>
      <c r="K101" s="9" t="s">
        <v>1533</v>
      </c>
      <c r="L101" s="13" t="s">
        <v>1940</v>
      </c>
      <c r="M101" s="73" t="s">
        <v>1941</v>
      </c>
      <c r="N101" s="74" t="s">
        <v>1942</v>
      </c>
      <c r="O101" s="13" t="s">
        <v>1943</v>
      </c>
      <c r="P101" s="73" t="s">
        <v>1944</v>
      </c>
      <c r="Q101" s="9" t="s">
        <v>1945</v>
      </c>
      <c r="R101" s="13" t="s">
        <v>1946</v>
      </c>
      <c r="S101" s="73" t="s">
        <v>1947</v>
      </c>
      <c r="T101" s="9" t="s">
        <v>1948</v>
      </c>
      <c r="U101" s="45" t="s">
        <v>1949</v>
      </c>
      <c r="V101" s="45" t="s">
        <v>1950</v>
      </c>
      <c r="W101" s="13" t="s">
        <v>1951</v>
      </c>
      <c r="X101" s="45" t="s">
        <v>1952</v>
      </c>
      <c r="AB101" s="1531" t="s">
        <v>1958</v>
      </c>
    </row>
    <row r="102" spans="1:28" ht="15.75" hidden="1" thickBot="1">
      <c r="C102" t="s">
        <v>1544</v>
      </c>
      <c r="D102" s="76"/>
      <c r="E102" s="14" t="s">
        <v>1545</v>
      </c>
      <c r="F102" s="16" t="s">
        <v>1545</v>
      </c>
      <c r="G102" s="10" t="s">
        <v>1545</v>
      </c>
      <c r="H102" s="48" t="s">
        <v>1483</v>
      </c>
      <c r="I102" s="12" t="s">
        <v>1954</v>
      </c>
      <c r="J102" s="14" t="s">
        <v>1955</v>
      </c>
      <c r="K102" s="10" t="s">
        <v>1545</v>
      </c>
      <c r="L102" s="14" t="s">
        <v>1956</v>
      </c>
      <c r="M102" s="68" t="s">
        <v>1548</v>
      </c>
      <c r="N102" s="40" t="s">
        <v>1549</v>
      </c>
      <c r="O102" s="14" t="s">
        <v>1956</v>
      </c>
      <c r="P102" s="68" t="s">
        <v>1548</v>
      </c>
      <c r="Q102" s="10" t="s">
        <v>1549</v>
      </c>
      <c r="R102" s="14" t="s">
        <v>1956</v>
      </c>
      <c r="S102" s="68" t="s">
        <v>1548</v>
      </c>
      <c r="T102" s="10" t="s">
        <v>1549</v>
      </c>
      <c r="U102" s="25" t="s">
        <v>1549</v>
      </c>
      <c r="V102" s="25" t="s">
        <v>1549</v>
      </c>
      <c r="W102" s="14" t="s">
        <v>1956</v>
      </c>
      <c r="X102" s="25"/>
      <c r="AB102" s="1228"/>
    </row>
    <row r="103" spans="1:28" ht="13.5" hidden="1" thickBot="1">
      <c r="A103">
        <v>1</v>
      </c>
      <c r="C103">
        <v>1</v>
      </c>
      <c r="D103" s="428" t="s">
        <v>1957</v>
      </c>
      <c r="E103" s="429">
        <v>25</v>
      </c>
      <c r="F103" s="430">
        <v>16</v>
      </c>
      <c r="G103" s="431">
        <v>3</v>
      </c>
      <c r="H103" s="432">
        <v>0.91</v>
      </c>
      <c r="I103" s="432">
        <v>1.1599999999999999</v>
      </c>
      <c r="J103" s="451">
        <v>3.5</v>
      </c>
      <c r="K103" s="452">
        <v>1.2</v>
      </c>
      <c r="L103" s="453">
        <v>0.7</v>
      </c>
      <c r="M103" s="454">
        <v>0.43</v>
      </c>
      <c r="N103" s="455">
        <v>0.78</v>
      </c>
      <c r="O103" s="456">
        <v>0.22</v>
      </c>
      <c r="P103" s="457">
        <v>0.19</v>
      </c>
      <c r="Q103" s="455">
        <v>0.44</v>
      </c>
      <c r="R103" s="458">
        <v>0.13</v>
      </c>
      <c r="S103" s="459">
        <v>0.16</v>
      </c>
      <c r="T103" s="460">
        <f>V103*X103</f>
        <v>0.33657931034482763</v>
      </c>
      <c r="U103" s="458">
        <v>0.42</v>
      </c>
      <c r="V103" s="460">
        <f>(E103/10*G103/10*E103/20+(F103-G103)/10*G103/10*G103/20)/I103</f>
        <v>0.85862068965517246</v>
      </c>
      <c r="W103" s="461">
        <v>0.22</v>
      </c>
      <c r="X103" s="461">
        <v>0.39200000000000002</v>
      </c>
      <c r="AB103" s="1039"/>
    </row>
    <row r="104" spans="1:28" hidden="1">
      <c r="A104">
        <v>2</v>
      </c>
      <c r="C104">
        <v>2</v>
      </c>
      <c r="D104" s="509" t="s">
        <v>1958</v>
      </c>
      <c r="E104" s="510">
        <v>30</v>
      </c>
      <c r="F104" s="511">
        <v>20</v>
      </c>
      <c r="G104" s="525" t="s">
        <v>1581</v>
      </c>
      <c r="H104" s="513" t="s">
        <v>2018</v>
      </c>
      <c r="I104" s="513" t="s">
        <v>2019</v>
      </c>
      <c r="J104" s="84">
        <v>3.5</v>
      </c>
      <c r="K104" s="85">
        <v>1.2</v>
      </c>
      <c r="L104" s="93" t="s">
        <v>2020</v>
      </c>
      <c r="M104" s="78" t="s">
        <v>2021</v>
      </c>
      <c r="N104" s="94" t="s">
        <v>2022</v>
      </c>
      <c r="O104" s="101" t="s">
        <v>2023</v>
      </c>
      <c r="P104" s="77" t="s">
        <v>2024</v>
      </c>
      <c r="Q104" s="94" t="s">
        <v>2025</v>
      </c>
      <c r="R104" s="93" t="s">
        <v>2026</v>
      </c>
      <c r="S104" s="78" t="s">
        <v>2027</v>
      </c>
      <c r="T104" s="104">
        <v>0.43</v>
      </c>
      <c r="U104" s="93" t="s">
        <v>2028</v>
      </c>
      <c r="V104" s="94" t="s">
        <v>2029</v>
      </c>
      <c r="W104" s="107" t="s">
        <v>2030</v>
      </c>
      <c r="X104" s="107" t="s">
        <v>2031</v>
      </c>
      <c r="AB104" s="1038"/>
    </row>
    <row r="105" spans="1:28" hidden="1">
      <c r="A105">
        <v>3</v>
      </c>
      <c r="C105">
        <v>4</v>
      </c>
      <c r="D105" s="433" t="s">
        <v>1959</v>
      </c>
      <c r="E105" s="434">
        <v>32</v>
      </c>
      <c r="F105" s="435">
        <v>20</v>
      </c>
      <c r="G105" s="526" t="s">
        <v>1581</v>
      </c>
      <c r="H105" s="437" t="s">
        <v>2032</v>
      </c>
      <c r="I105" s="437" t="s">
        <v>2033</v>
      </c>
      <c r="J105" s="462">
        <v>3.5</v>
      </c>
      <c r="K105" s="463">
        <v>1.2</v>
      </c>
      <c r="L105" s="464" t="s">
        <v>2034</v>
      </c>
      <c r="M105" s="465" t="s">
        <v>2035</v>
      </c>
      <c r="N105" s="466" t="s">
        <v>2036</v>
      </c>
      <c r="O105" s="467" t="s">
        <v>2037</v>
      </c>
      <c r="P105" s="468" t="s">
        <v>2024</v>
      </c>
      <c r="Q105" s="466" t="s">
        <v>2038</v>
      </c>
      <c r="R105" s="464" t="s">
        <v>2039</v>
      </c>
      <c r="S105" s="465" t="s">
        <v>2040</v>
      </c>
      <c r="T105" s="469">
        <v>0.43</v>
      </c>
      <c r="U105" s="464" t="s">
        <v>2041</v>
      </c>
      <c r="V105" s="469" t="s">
        <v>2042</v>
      </c>
      <c r="W105" s="470" t="s">
        <v>2043</v>
      </c>
      <c r="X105" s="470" t="s">
        <v>2044</v>
      </c>
      <c r="AB105" s="1038"/>
    </row>
    <row r="106" spans="1:28" hidden="1">
      <c r="A106">
        <v>4</v>
      </c>
      <c r="C106">
        <v>6</v>
      </c>
      <c r="D106" s="433" t="s">
        <v>1960</v>
      </c>
      <c r="E106" s="434">
        <v>40</v>
      </c>
      <c r="F106" s="435">
        <v>25</v>
      </c>
      <c r="G106" s="526" t="s">
        <v>1594</v>
      </c>
      <c r="H106" s="437" t="s">
        <v>2045</v>
      </c>
      <c r="I106" s="437" t="s">
        <v>2046</v>
      </c>
      <c r="J106" s="84">
        <v>4</v>
      </c>
      <c r="K106" s="88">
        <v>1.3</v>
      </c>
      <c r="L106" s="93" t="s">
        <v>2047</v>
      </c>
      <c r="M106" s="78" t="s">
        <v>2048</v>
      </c>
      <c r="N106" s="94" t="s">
        <v>2049</v>
      </c>
      <c r="O106" s="101" t="s">
        <v>2050</v>
      </c>
      <c r="P106" s="77" t="s">
        <v>2051</v>
      </c>
      <c r="Q106" s="94" t="s">
        <v>2052</v>
      </c>
      <c r="R106" s="93" t="s">
        <v>2053</v>
      </c>
      <c r="S106" s="78" t="s">
        <v>2054</v>
      </c>
      <c r="T106" s="104" t="s">
        <v>2055</v>
      </c>
      <c r="U106" s="93" t="s">
        <v>2056</v>
      </c>
      <c r="V106" s="104" t="s">
        <v>2057</v>
      </c>
      <c r="W106" s="107" t="s">
        <v>2058</v>
      </c>
      <c r="X106" s="107" t="s">
        <v>2059</v>
      </c>
      <c r="AB106" s="1038"/>
    </row>
    <row r="107" spans="1:28" hidden="1">
      <c r="A107">
        <v>5</v>
      </c>
      <c r="C107">
        <v>9</v>
      </c>
      <c r="D107" s="509" t="s">
        <v>1970</v>
      </c>
      <c r="E107" s="510">
        <v>40</v>
      </c>
      <c r="F107" s="511">
        <v>30</v>
      </c>
      <c r="G107" s="525" t="s">
        <v>1679</v>
      </c>
      <c r="H107" s="513" t="s">
        <v>2060</v>
      </c>
      <c r="I107" s="513" t="s">
        <v>2061</v>
      </c>
      <c r="J107" s="462">
        <v>4</v>
      </c>
      <c r="K107" s="480">
        <v>1.3</v>
      </c>
      <c r="L107" s="464" t="s">
        <v>2062</v>
      </c>
      <c r="M107" s="465" t="s">
        <v>2063</v>
      </c>
      <c r="N107" s="466" t="s">
        <v>2064</v>
      </c>
      <c r="O107" s="467" t="s">
        <v>2065</v>
      </c>
      <c r="P107" s="468" t="s">
        <v>2066</v>
      </c>
      <c r="Q107" s="466" t="s">
        <v>2067</v>
      </c>
      <c r="R107" s="464" t="s">
        <v>2068</v>
      </c>
      <c r="S107" s="465" t="s">
        <v>2069</v>
      </c>
      <c r="T107" s="469">
        <v>0.64</v>
      </c>
      <c r="U107" s="464" t="s">
        <v>2070</v>
      </c>
      <c r="V107" s="469" t="s">
        <v>2071</v>
      </c>
      <c r="W107" s="470" t="s">
        <v>2072</v>
      </c>
      <c r="X107" s="470" t="s">
        <v>2073</v>
      </c>
      <c r="AB107" s="1038"/>
    </row>
    <row r="108" spans="1:28" hidden="1">
      <c r="A108">
        <v>6</v>
      </c>
      <c r="C108">
        <v>11</v>
      </c>
      <c r="D108" s="433" t="s">
        <v>1971</v>
      </c>
      <c r="E108" s="434">
        <v>45</v>
      </c>
      <c r="F108" s="435">
        <v>28</v>
      </c>
      <c r="G108" s="526" t="s">
        <v>1581</v>
      </c>
      <c r="H108" s="437" t="s">
        <v>2074</v>
      </c>
      <c r="I108" s="437" t="s">
        <v>2075</v>
      </c>
      <c r="J108" s="84">
        <v>5</v>
      </c>
      <c r="K108" s="88">
        <v>1.7</v>
      </c>
      <c r="L108" s="93" t="s">
        <v>2076</v>
      </c>
      <c r="M108" s="78" t="s">
        <v>2077</v>
      </c>
      <c r="N108" s="94" t="s">
        <v>2078</v>
      </c>
      <c r="O108" s="101" t="s">
        <v>2079</v>
      </c>
      <c r="P108" s="77" t="s">
        <v>2080</v>
      </c>
      <c r="Q108" s="94" t="s">
        <v>2081</v>
      </c>
      <c r="R108" s="93" t="s">
        <v>2082</v>
      </c>
      <c r="S108" s="78" t="s">
        <v>2083</v>
      </c>
      <c r="T108" s="104" t="s">
        <v>2084</v>
      </c>
      <c r="U108" s="93" t="s">
        <v>2085</v>
      </c>
      <c r="V108" s="104" t="s">
        <v>2086</v>
      </c>
      <c r="W108" s="107" t="s">
        <v>2087</v>
      </c>
      <c r="X108" s="107" t="s">
        <v>2088</v>
      </c>
      <c r="AB108" s="1038"/>
    </row>
    <row r="109" spans="1:28" hidden="1">
      <c r="A109">
        <v>7</v>
      </c>
      <c r="C109">
        <v>13</v>
      </c>
      <c r="D109" s="433" t="s">
        <v>1972</v>
      </c>
      <c r="E109" s="434">
        <v>50</v>
      </c>
      <c r="F109" s="435">
        <v>32</v>
      </c>
      <c r="G109" s="526" t="s">
        <v>1581</v>
      </c>
      <c r="H109" s="437" t="s">
        <v>2089</v>
      </c>
      <c r="I109" s="437" t="s">
        <v>2090</v>
      </c>
      <c r="J109" s="462">
        <v>5.5</v>
      </c>
      <c r="K109" s="480">
        <v>1.8</v>
      </c>
      <c r="L109" s="464" t="s">
        <v>2091</v>
      </c>
      <c r="M109" s="465" t="s">
        <v>2092</v>
      </c>
      <c r="N109" s="466" t="s">
        <v>2093</v>
      </c>
      <c r="O109" s="467" t="s">
        <v>2094</v>
      </c>
      <c r="P109" s="468" t="s">
        <v>2095</v>
      </c>
      <c r="Q109" s="466" t="s">
        <v>2096</v>
      </c>
      <c r="R109" s="464" t="s">
        <v>2097</v>
      </c>
      <c r="S109" s="465">
        <v>0.68</v>
      </c>
      <c r="T109" s="466" t="s">
        <v>2098</v>
      </c>
      <c r="U109" s="464" t="s">
        <v>2099</v>
      </c>
      <c r="V109" s="466" t="s">
        <v>2100</v>
      </c>
      <c r="W109" s="470" t="s">
        <v>2101</v>
      </c>
      <c r="X109" s="470" t="s">
        <v>2102</v>
      </c>
      <c r="AB109" s="1038"/>
    </row>
    <row r="110" spans="1:28" hidden="1">
      <c r="A110">
        <v>8</v>
      </c>
      <c r="C110">
        <v>15</v>
      </c>
      <c r="D110" s="433" t="s">
        <v>1973</v>
      </c>
      <c r="E110" s="434">
        <v>56</v>
      </c>
      <c r="F110" s="435">
        <v>36</v>
      </c>
      <c r="G110" s="526" t="s">
        <v>1679</v>
      </c>
      <c r="H110" s="437" t="s">
        <v>2103</v>
      </c>
      <c r="I110" s="437" t="s">
        <v>2104</v>
      </c>
      <c r="J110" s="84">
        <v>6</v>
      </c>
      <c r="K110" s="88">
        <v>2</v>
      </c>
      <c r="L110" s="93" t="s">
        <v>2105</v>
      </c>
      <c r="M110" s="78" t="s">
        <v>2106</v>
      </c>
      <c r="N110" s="94" t="s">
        <v>2107</v>
      </c>
      <c r="O110" s="101" t="s">
        <v>2108</v>
      </c>
      <c r="P110" s="77" t="s">
        <v>2109</v>
      </c>
      <c r="Q110" s="94" t="s">
        <v>2110</v>
      </c>
      <c r="R110" s="93" t="s">
        <v>2111</v>
      </c>
      <c r="S110" s="78" t="s">
        <v>2112</v>
      </c>
      <c r="T110" s="104">
        <v>0.78</v>
      </c>
      <c r="U110" s="93" t="s">
        <v>2113</v>
      </c>
      <c r="V110" s="104" t="s">
        <v>2114</v>
      </c>
      <c r="W110" s="107" t="s">
        <v>2115</v>
      </c>
      <c r="X110" s="107" t="s">
        <v>2116</v>
      </c>
      <c r="AB110" s="1038"/>
    </row>
    <row r="111" spans="1:28" hidden="1">
      <c r="A111">
        <v>9</v>
      </c>
      <c r="C111">
        <v>17</v>
      </c>
      <c r="D111" s="527" t="s">
        <v>1974</v>
      </c>
      <c r="E111" s="496">
        <v>63</v>
      </c>
      <c r="F111" s="528">
        <v>40</v>
      </c>
      <c r="G111" s="529" t="s">
        <v>2117</v>
      </c>
      <c r="H111" s="530" t="s">
        <v>2118</v>
      </c>
      <c r="I111" s="530" t="s">
        <v>2119</v>
      </c>
      <c r="J111" s="531">
        <v>7</v>
      </c>
      <c r="K111" s="532">
        <v>2.2999999999999998</v>
      </c>
      <c r="L111" s="533" t="s">
        <v>2120</v>
      </c>
      <c r="M111" s="534" t="s">
        <v>2121</v>
      </c>
      <c r="N111" s="535" t="s">
        <v>2122</v>
      </c>
      <c r="O111" s="536" t="s">
        <v>2123</v>
      </c>
      <c r="P111" s="537" t="s">
        <v>2124</v>
      </c>
      <c r="Q111" s="535" t="s">
        <v>2125</v>
      </c>
      <c r="R111" s="533" t="s">
        <v>2126</v>
      </c>
      <c r="S111" s="534" t="s">
        <v>2127</v>
      </c>
      <c r="T111" s="538" t="s">
        <v>2128</v>
      </c>
      <c r="U111" s="533" t="s">
        <v>2129</v>
      </c>
      <c r="V111" s="538" t="s">
        <v>2130</v>
      </c>
      <c r="W111" s="539" t="s">
        <v>2131</v>
      </c>
      <c r="X111" s="539" t="s">
        <v>2132</v>
      </c>
      <c r="AB111" s="1038"/>
    </row>
    <row r="112" spans="1:28" hidden="1">
      <c r="A112">
        <v>10</v>
      </c>
      <c r="C112">
        <v>21</v>
      </c>
      <c r="D112" s="540" t="s">
        <v>1975</v>
      </c>
      <c r="E112" s="541">
        <v>65</v>
      </c>
      <c r="F112" s="542">
        <v>50</v>
      </c>
      <c r="G112" s="543" t="s">
        <v>2133</v>
      </c>
      <c r="H112" s="544" t="s">
        <v>2134</v>
      </c>
      <c r="I112" s="544" t="s">
        <v>2135</v>
      </c>
      <c r="J112" s="545">
        <v>6</v>
      </c>
      <c r="K112" s="546">
        <v>2</v>
      </c>
      <c r="L112" s="547" t="s">
        <v>2137</v>
      </c>
      <c r="M112" s="548" t="s">
        <v>2138</v>
      </c>
      <c r="N112" s="549" t="s">
        <v>2139</v>
      </c>
      <c r="O112" s="550" t="s">
        <v>2140</v>
      </c>
      <c r="P112" s="551" t="s">
        <v>2141</v>
      </c>
      <c r="Q112" s="549" t="s">
        <v>2142</v>
      </c>
      <c r="R112" s="547" t="s">
        <v>2143</v>
      </c>
      <c r="S112" s="548" t="s">
        <v>2144</v>
      </c>
      <c r="T112" s="552" t="s">
        <v>2145</v>
      </c>
      <c r="U112" s="547" t="s">
        <v>2146</v>
      </c>
      <c r="V112" s="549" t="s">
        <v>2147</v>
      </c>
      <c r="W112" s="204" t="s">
        <v>2148</v>
      </c>
      <c r="X112" s="204" t="s">
        <v>2149</v>
      </c>
      <c r="AB112" s="1038"/>
    </row>
    <row r="113" spans="1:28" hidden="1">
      <c r="A113">
        <v>11</v>
      </c>
      <c r="C113">
        <v>25</v>
      </c>
      <c r="D113" s="438" t="s">
        <v>1976</v>
      </c>
      <c r="E113" s="439">
        <v>70</v>
      </c>
      <c r="F113" s="440">
        <v>45</v>
      </c>
      <c r="G113" s="553" t="s">
        <v>1551</v>
      </c>
      <c r="H113" s="442">
        <v>4.3899999999999997</v>
      </c>
      <c r="I113" s="442">
        <v>5.59</v>
      </c>
      <c r="J113" s="471">
        <v>7.5</v>
      </c>
      <c r="K113" s="481">
        <v>2.5</v>
      </c>
      <c r="L113" s="473">
        <v>27.76</v>
      </c>
      <c r="M113" s="474">
        <v>5.88</v>
      </c>
      <c r="N113" s="475">
        <v>2.23</v>
      </c>
      <c r="O113" s="476">
        <v>9.0500000000000007</v>
      </c>
      <c r="P113" s="477">
        <v>2.62</v>
      </c>
      <c r="Q113" s="475">
        <v>1.27</v>
      </c>
      <c r="R113" s="473">
        <v>5.34</v>
      </c>
      <c r="S113" s="474">
        <v>2.2000000000000002</v>
      </c>
      <c r="T113" s="478">
        <v>0.98</v>
      </c>
      <c r="U113" s="473">
        <f>((E113-G113)/10*G113/10*G113/20+F113/10*G113/10*F113/20)/I113</f>
        <v>1.0509838998211092</v>
      </c>
      <c r="V113" s="478">
        <f>(E113/10*G113/10*E113/20+(F113-G113)/10*G113/10*G113/20)/I113</f>
        <v>2.2808586762075134</v>
      </c>
      <c r="W113" s="479">
        <v>9.1199999999999992</v>
      </c>
      <c r="X113" s="479">
        <v>0.40600000000000003</v>
      </c>
      <c r="AB113" s="1038"/>
    </row>
    <row r="114" spans="1:28" hidden="1">
      <c r="A114">
        <v>12</v>
      </c>
      <c r="C114">
        <v>26</v>
      </c>
      <c r="D114" s="527" t="s">
        <v>1977</v>
      </c>
      <c r="E114" s="496">
        <v>75</v>
      </c>
      <c r="F114" s="528">
        <v>60</v>
      </c>
      <c r="G114" s="529" t="s">
        <v>2133</v>
      </c>
      <c r="H114" s="530" t="s">
        <v>2150</v>
      </c>
      <c r="I114" s="530" t="s">
        <v>2151</v>
      </c>
      <c r="J114" s="545">
        <v>8</v>
      </c>
      <c r="K114" s="546">
        <v>2.7</v>
      </c>
      <c r="L114" s="547" t="s">
        <v>2152</v>
      </c>
      <c r="M114" s="548" t="s">
        <v>2153</v>
      </c>
      <c r="N114" s="549" t="s">
        <v>2154</v>
      </c>
      <c r="O114" s="550" t="s">
        <v>2155</v>
      </c>
      <c r="P114" s="551" t="s">
        <v>2156</v>
      </c>
      <c r="Q114" s="549" t="s">
        <v>2157</v>
      </c>
      <c r="R114" s="547" t="s">
        <v>2158</v>
      </c>
      <c r="S114" s="548" t="s">
        <v>2159</v>
      </c>
      <c r="T114" s="552" t="s">
        <v>2160</v>
      </c>
      <c r="U114" s="547" t="s">
        <v>2161</v>
      </c>
      <c r="V114" s="552" t="s">
        <v>2162</v>
      </c>
      <c r="W114" s="203" t="s">
        <v>2163</v>
      </c>
      <c r="X114" s="204" t="s">
        <v>2164</v>
      </c>
      <c r="AB114" s="1038"/>
    </row>
    <row r="115" spans="1:28" hidden="1">
      <c r="A115">
        <v>13</v>
      </c>
      <c r="C115">
        <v>30</v>
      </c>
      <c r="D115" s="554" t="s">
        <v>1979</v>
      </c>
      <c r="E115" s="496">
        <v>80</v>
      </c>
      <c r="F115" s="528">
        <v>50</v>
      </c>
      <c r="G115" s="529" t="s">
        <v>2165</v>
      </c>
      <c r="H115" s="530" t="s">
        <v>2166</v>
      </c>
      <c r="I115" s="530" t="s">
        <v>2167</v>
      </c>
      <c r="J115" s="531">
        <v>8</v>
      </c>
      <c r="K115" s="532">
        <v>2.7</v>
      </c>
      <c r="L115" s="533" t="s">
        <v>2168</v>
      </c>
      <c r="M115" s="534" t="s">
        <v>2169</v>
      </c>
      <c r="N115" s="535" t="s">
        <v>2170</v>
      </c>
      <c r="O115" s="536" t="s">
        <v>2171</v>
      </c>
      <c r="P115" s="537" t="s">
        <v>2172</v>
      </c>
      <c r="Q115" s="535" t="s">
        <v>2173</v>
      </c>
      <c r="R115" s="533" t="s">
        <v>2174</v>
      </c>
      <c r="S115" s="534" t="s">
        <v>2175</v>
      </c>
      <c r="T115" s="535" t="s">
        <v>2176</v>
      </c>
      <c r="U115" s="533" t="s">
        <v>2177</v>
      </c>
      <c r="V115" s="538" t="s">
        <v>2178</v>
      </c>
      <c r="W115" s="555" t="s">
        <v>2179</v>
      </c>
      <c r="X115" s="556" t="s">
        <v>2180</v>
      </c>
      <c r="AB115" s="1038"/>
    </row>
    <row r="116" spans="1:28" hidden="1">
      <c r="A116">
        <v>14</v>
      </c>
      <c r="C116">
        <v>32</v>
      </c>
      <c r="D116" s="557" t="s">
        <v>1980</v>
      </c>
      <c r="E116" s="541">
        <v>80</v>
      </c>
      <c r="F116" s="542">
        <v>60</v>
      </c>
      <c r="G116" s="543" t="s">
        <v>2181</v>
      </c>
      <c r="H116" s="544" t="s">
        <v>2182</v>
      </c>
      <c r="I116" s="544" t="s">
        <v>2183</v>
      </c>
      <c r="J116" s="545">
        <v>8</v>
      </c>
      <c r="K116" s="546">
        <v>2.7</v>
      </c>
      <c r="L116" s="547" t="s">
        <v>2184</v>
      </c>
      <c r="M116" s="548" t="s">
        <v>2185</v>
      </c>
      <c r="N116" s="549" t="s">
        <v>2186</v>
      </c>
      <c r="O116" s="550" t="s">
        <v>2187</v>
      </c>
      <c r="P116" s="551" t="s">
        <v>2188</v>
      </c>
      <c r="Q116" s="549" t="s">
        <v>2189</v>
      </c>
      <c r="R116" s="547" t="s">
        <v>2190</v>
      </c>
      <c r="S116" s="548" t="s">
        <v>2191</v>
      </c>
      <c r="T116" s="552" t="s">
        <v>2192</v>
      </c>
      <c r="U116" s="547" t="s">
        <v>2193</v>
      </c>
      <c r="V116" s="552" t="s">
        <v>2194</v>
      </c>
      <c r="W116" s="203" t="s">
        <v>2195</v>
      </c>
      <c r="X116" s="558" t="s">
        <v>2196</v>
      </c>
    </row>
    <row r="117" spans="1:28" hidden="1">
      <c r="A117">
        <v>15</v>
      </c>
      <c r="C117">
        <v>35</v>
      </c>
      <c r="D117" s="527" t="s">
        <v>1981</v>
      </c>
      <c r="E117" s="496">
        <v>90</v>
      </c>
      <c r="F117" s="528">
        <v>56</v>
      </c>
      <c r="G117" s="529" t="s">
        <v>2197</v>
      </c>
      <c r="H117" s="530" t="s">
        <v>2198</v>
      </c>
      <c r="I117" s="530" t="s">
        <v>2199</v>
      </c>
      <c r="J117" s="531">
        <v>9</v>
      </c>
      <c r="K117" s="532">
        <v>3</v>
      </c>
      <c r="L117" s="533" t="s">
        <v>2200</v>
      </c>
      <c r="M117" s="534" t="s">
        <v>2201</v>
      </c>
      <c r="N117" s="535" t="s">
        <v>2202</v>
      </c>
      <c r="O117" s="536" t="s">
        <v>2203</v>
      </c>
      <c r="P117" s="537" t="s">
        <v>2204</v>
      </c>
      <c r="Q117" s="535" t="s">
        <v>2205</v>
      </c>
      <c r="R117" s="533" t="s">
        <v>2206</v>
      </c>
      <c r="S117" s="559" t="s">
        <v>2207</v>
      </c>
      <c r="T117" s="538" t="s">
        <v>2208</v>
      </c>
      <c r="U117" s="533" t="s">
        <v>2209</v>
      </c>
      <c r="V117" s="538" t="s">
        <v>2210</v>
      </c>
      <c r="W117" s="555" t="s">
        <v>2211</v>
      </c>
      <c r="X117" s="539" t="s">
        <v>2212</v>
      </c>
    </row>
    <row r="118" spans="1:28" hidden="1">
      <c r="A118">
        <v>16</v>
      </c>
      <c r="C118">
        <v>38</v>
      </c>
      <c r="D118" s="527" t="s">
        <v>1982</v>
      </c>
      <c r="E118" s="496">
        <v>100</v>
      </c>
      <c r="F118" s="528">
        <v>63</v>
      </c>
      <c r="G118" s="529" t="s">
        <v>2213</v>
      </c>
      <c r="H118" s="530" t="s">
        <v>2214</v>
      </c>
      <c r="I118" s="530" t="s">
        <v>2215</v>
      </c>
      <c r="J118" s="560">
        <v>10</v>
      </c>
      <c r="K118" s="546">
        <v>3.3</v>
      </c>
      <c r="L118" s="547" t="s">
        <v>2216</v>
      </c>
      <c r="M118" s="548" t="s">
        <v>2217</v>
      </c>
      <c r="N118" s="549" t="s">
        <v>2218</v>
      </c>
      <c r="O118" s="550" t="s">
        <v>2219</v>
      </c>
      <c r="P118" s="551" t="s">
        <v>2220</v>
      </c>
      <c r="Q118" s="549" t="s">
        <v>2221</v>
      </c>
      <c r="R118" s="547" t="s">
        <v>2222</v>
      </c>
      <c r="S118" s="561" t="s">
        <v>2223</v>
      </c>
      <c r="T118" s="552" t="s">
        <v>2224</v>
      </c>
      <c r="U118" s="547" t="s">
        <v>2225</v>
      </c>
      <c r="V118" s="552" t="s">
        <v>2226</v>
      </c>
      <c r="W118" s="203" t="s">
        <v>2227</v>
      </c>
      <c r="X118" s="558" t="s">
        <v>2228</v>
      </c>
    </row>
    <row r="119" spans="1:28" hidden="1">
      <c r="A119">
        <v>17</v>
      </c>
      <c r="C119">
        <v>42</v>
      </c>
      <c r="D119" s="540" t="s">
        <v>1983</v>
      </c>
      <c r="E119" s="541">
        <v>100</v>
      </c>
      <c r="F119" s="542">
        <v>65</v>
      </c>
      <c r="G119" s="543" t="s">
        <v>2229</v>
      </c>
      <c r="H119" s="544" t="s">
        <v>0</v>
      </c>
      <c r="I119" s="544" t="s">
        <v>1</v>
      </c>
      <c r="J119" s="562">
        <v>10</v>
      </c>
      <c r="K119" s="532">
        <v>3.3</v>
      </c>
      <c r="L119" s="533" t="s">
        <v>2</v>
      </c>
      <c r="M119" s="534" t="s">
        <v>3</v>
      </c>
      <c r="N119" s="535" t="s">
        <v>4</v>
      </c>
      <c r="O119" s="536" t="s">
        <v>5</v>
      </c>
      <c r="P119" s="537" t="s">
        <v>6</v>
      </c>
      <c r="Q119" s="535" t="s">
        <v>7</v>
      </c>
      <c r="R119" s="533" t="s">
        <v>8</v>
      </c>
      <c r="S119" s="559" t="s">
        <v>9</v>
      </c>
      <c r="T119" s="538" t="s">
        <v>2173</v>
      </c>
      <c r="U119" s="533" t="s">
        <v>10</v>
      </c>
      <c r="V119" s="535" t="s">
        <v>11</v>
      </c>
      <c r="W119" s="555" t="s">
        <v>12</v>
      </c>
      <c r="X119" s="556" t="s">
        <v>13</v>
      </c>
    </row>
    <row r="120" spans="1:28" hidden="1">
      <c r="A120">
        <v>18</v>
      </c>
      <c r="C120">
        <v>45</v>
      </c>
      <c r="D120" s="554" t="s">
        <v>1984</v>
      </c>
      <c r="E120" s="496">
        <v>110</v>
      </c>
      <c r="F120" s="528">
        <v>70</v>
      </c>
      <c r="G120" s="529" t="s">
        <v>14</v>
      </c>
      <c r="H120" s="530" t="s">
        <v>15</v>
      </c>
      <c r="I120" s="530" t="s">
        <v>17</v>
      </c>
      <c r="J120" s="560">
        <v>10</v>
      </c>
      <c r="K120" s="546">
        <v>3.3</v>
      </c>
      <c r="L120" s="547" t="s">
        <v>18</v>
      </c>
      <c r="M120" s="548" t="s">
        <v>19</v>
      </c>
      <c r="N120" s="549" t="s">
        <v>20</v>
      </c>
      <c r="O120" s="550" t="s">
        <v>21</v>
      </c>
      <c r="P120" s="551" t="s">
        <v>22</v>
      </c>
      <c r="Q120" s="549" t="s">
        <v>23</v>
      </c>
      <c r="R120" s="547" t="s">
        <v>24</v>
      </c>
      <c r="S120" s="561" t="s">
        <v>25</v>
      </c>
      <c r="T120" s="549" t="s">
        <v>26</v>
      </c>
      <c r="U120" s="547" t="s">
        <v>27</v>
      </c>
      <c r="V120" s="552" t="s">
        <v>28</v>
      </c>
      <c r="W120" s="203" t="s">
        <v>29</v>
      </c>
      <c r="X120" s="558" t="s">
        <v>30</v>
      </c>
    </row>
    <row r="121" spans="1:28" hidden="1">
      <c r="A121">
        <v>19</v>
      </c>
      <c r="C121">
        <v>47</v>
      </c>
      <c r="D121" s="554" t="s">
        <v>1985</v>
      </c>
      <c r="E121" s="496">
        <v>125</v>
      </c>
      <c r="F121" s="528">
        <v>80</v>
      </c>
      <c r="G121" s="529" t="s">
        <v>31</v>
      </c>
      <c r="H121" s="530" t="s">
        <v>32</v>
      </c>
      <c r="I121" s="530" t="s">
        <v>33</v>
      </c>
      <c r="J121" s="562">
        <v>11</v>
      </c>
      <c r="K121" s="532">
        <v>3.7</v>
      </c>
      <c r="L121" s="533" t="s">
        <v>34</v>
      </c>
      <c r="M121" s="534" t="s">
        <v>35</v>
      </c>
      <c r="N121" s="535" t="s">
        <v>36</v>
      </c>
      <c r="O121" s="536" t="s">
        <v>37</v>
      </c>
      <c r="P121" s="537" t="s">
        <v>38</v>
      </c>
      <c r="Q121" s="535" t="s">
        <v>39</v>
      </c>
      <c r="R121" s="533" t="s">
        <v>40</v>
      </c>
      <c r="S121" s="534" t="s">
        <v>41</v>
      </c>
      <c r="T121" s="535" t="s">
        <v>42</v>
      </c>
      <c r="U121" s="533" t="s">
        <v>43</v>
      </c>
      <c r="V121" s="538" t="s">
        <v>44</v>
      </c>
      <c r="W121" s="555" t="s">
        <v>45</v>
      </c>
      <c r="X121" s="556" t="s">
        <v>46</v>
      </c>
    </row>
    <row r="122" spans="1:28" hidden="1">
      <c r="A122">
        <v>20</v>
      </c>
      <c r="C122">
        <v>51</v>
      </c>
      <c r="D122" s="554" t="s">
        <v>1986</v>
      </c>
      <c r="E122" s="496">
        <v>140</v>
      </c>
      <c r="F122" s="528">
        <v>90</v>
      </c>
      <c r="G122" s="529" t="s">
        <v>47</v>
      </c>
      <c r="H122" s="530" t="s">
        <v>48</v>
      </c>
      <c r="I122" s="530" t="s">
        <v>49</v>
      </c>
      <c r="J122" s="560">
        <v>12</v>
      </c>
      <c r="K122" s="546">
        <v>4</v>
      </c>
      <c r="L122" s="547" t="s">
        <v>50</v>
      </c>
      <c r="M122" s="548" t="s">
        <v>51</v>
      </c>
      <c r="N122" s="549" t="s">
        <v>52</v>
      </c>
      <c r="O122" s="550" t="s">
        <v>53</v>
      </c>
      <c r="P122" s="551" t="s">
        <v>54</v>
      </c>
      <c r="Q122" s="549">
        <v>2.58</v>
      </c>
      <c r="R122" s="547" t="s">
        <v>55</v>
      </c>
      <c r="S122" s="548" t="s">
        <v>56</v>
      </c>
      <c r="T122" s="549" t="s">
        <v>57</v>
      </c>
      <c r="U122" s="547" t="s">
        <v>58</v>
      </c>
      <c r="V122" s="549" t="s">
        <v>59</v>
      </c>
      <c r="W122" s="563" t="s">
        <v>60</v>
      </c>
      <c r="X122" s="558" t="s">
        <v>61</v>
      </c>
    </row>
    <row r="123" spans="1:28" hidden="1">
      <c r="A123">
        <v>21</v>
      </c>
      <c r="C123">
        <v>53</v>
      </c>
      <c r="D123" s="554" t="s">
        <v>1987</v>
      </c>
      <c r="E123" s="496">
        <v>160</v>
      </c>
      <c r="F123" s="528">
        <v>100</v>
      </c>
      <c r="G123" s="529" t="s">
        <v>62</v>
      </c>
      <c r="H123" s="530" t="s">
        <v>63</v>
      </c>
      <c r="I123" s="530" t="s">
        <v>64</v>
      </c>
      <c r="J123" s="562">
        <v>13</v>
      </c>
      <c r="K123" s="532">
        <v>4.3</v>
      </c>
      <c r="L123" s="533" t="s">
        <v>65</v>
      </c>
      <c r="M123" s="534" t="s">
        <v>66</v>
      </c>
      <c r="N123" s="535" t="s">
        <v>67</v>
      </c>
      <c r="O123" s="536" t="s">
        <v>68</v>
      </c>
      <c r="P123" s="537" t="s">
        <v>69</v>
      </c>
      <c r="Q123" s="535" t="s">
        <v>70</v>
      </c>
      <c r="R123" s="533" t="s">
        <v>71</v>
      </c>
      <c r="S123" s="534" t="s">
        <v>72</v>
      </c>
      <c r="T123" s="535" t="s">
        <v>73</v>
      </c>
      <c r="U123" s="533" t="s">
        <v>74</v>
      </c>
      <c r="V123" s="535" t="s">
        <v>75</v>
      </c>
      <c r="W123" s="564" t="s">
        <v>76</v>
      </c>
      <c r="X123" s="556" t="s">
        <v>77</v>
      </c>
    </row>
    <row r="124" spans="1:28" hidden="1">
      <c r="A124">
        <v>22</v>
      </c>
      <c r="C124">
        <v>57</v>
      </c>
      <c r="D124" s="554" t="s">
        <v>1988</v>
      </c>
      <c r="E124" s="496">
        <v>180</v>
      </c>
      <c r="F124" s="528">
        <v>110</v>
      </c>
      <c r="G124" s="529" t="s">
        <v>78</v>
      </c>
      <c r="H124" s="530" t="s">
        <v>79</v>
      </c>
      <c r="I124" s="530" t="s">
        <v>80</v>
      </c>
      <c r="J124" s="560">
        <v>14</v>
      </c>
      <c r="K124" s="546">
        <v>4.7</v>
      </c>
      <c r="L124" s="547" t="s">
        <v>81</v>
      </c>
      <c r="M124" s="548" t="s">
        <v>82</v>
      </c>
      <c r="N124" s="549" t="s">
        <v>83</v>
      </c>
      <c r="O124" s="550" t="s">
        <v>84</v>
      </c>
      <c r="P124" s="551" t="s">
        <v>85</v>
      </c>
      <c r="Q124" s="549" t="s">
        <v>86</v>
      </c>
      <c r="R124" s="547" t="s">
        <v>87</v>
      </c>
      <c r="S124" s="548" t="s">
        <v>88</v>
      </c>
      <c r="T124" s="549" t="s">
        <v>89</v>
      </c>
      <c r="U124" s="547" t="s">
        <v>90</v>
      </c>
      <c r="V124" s="552" t="s">
        <v>91</v>
      </c>
      <c r="W124" s="563" t="s">
        <v>92</v>
      </c>
      <c r="X124" s="558" t="s">
        <v>93</v>
      </c>
    </row>
    <row r="125" spans="1:28" ht="13.5" hidden="1" thickBot="1">
      <c r="A125">
        <v>23</v>
      </c>
      <c r="C125">
        <v>59</v>
      </c>
      <c r="D125" s="565" t="s">
        <v>1989</v>
      </c>
      <c r="E125" s="566">
        <v>200</v>
      </c>
      <c r="F125" s="567">
        <v>125</v>
      </c>
      <c r="G125" s="568" t="s">
        <v>94</v>
      </c>
      <c r="H125" s="569" t="s">
        <v>95</v>
      </c>
      <c r="I125" s="569" t="s">
        <v>96</v>
      </c>
      <c r="J125" s="570">
        <v>14</v>
      </c>
      <c r="K125" s="571">
        <v>4.7</v>
      </c>
      <c r="L125" s="572" t="s">
        <v>97</v>
      </c>
      <c r="M125" s="573" t="s">
        <v>98</v>
      </c>
      <c r="N125" s="574" t="s">
        <v>99</v>
      </c>
      <c r="O125" s="575" t="s">
        <v>100</v>
      </c>
      <c r="P125" s="576" t="s">
        <v>101</v>
      </c>
      <c r="Q125" s="574" t="s">
        <v>102</v>
      </c>
      <c r="R125" s="572" t="s">
        <v>103</v>
      </c>
      <c r="S125" s="573" t="s">
        <v>104</v>
      </c>
      <c r="T125" s="574" t="s">
        <v>105</v>
      </c>
      <c r="U125" s="572" t="s">
        <v>106</v>
      </c>
      <c r="V125" s="577" t="s">
        <v>107</v>
      </c>
      <c r="W125" s="578" t="s">
        <v>108</v>
      </c>
      <c r="X125" s="579" t="s">
        <v>109</v>
      </c>
    </row>
    <row r="126" spans="1:28" hidden="1"/>
    <row r="127" spans="1:28" hidden="1"/>
    <row r="128" spans="1:28" hidden="1"/>
    <row r="129" hidden="1"/>
    <row r="130" hidden="1"/>
    <row r="131" hidden="1"/>
    <row r="132" hidden="1"/>
    <row r="133" hidden="1"/>
    <row r="134" hidden="1"/>
  </sheetData>
  <pageMargins left="0.75" right="0.75" top="1" bottom="1" header="0.5" footer="0.5"/>
  <pageSetup paperSize="9" orientation="portrait" horizontalDpi="300" verticalDpi="240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Drop Down 6">
              <controlPr defaultSize="0" print="0" autoFill="0" autoLine="0" autoPict="0" macro="[0]!Мак3_для_листа2">
                <anchor moveWithCells="1" sizeWithCells="1">
                  <from>
                    <xdr:col>12</xdr:col>
                    <xdr:colOff>276225</xdr:colOff>
                    <xdr:row>2</xdr:row>
                    <xdr:rowOff>114300</xdr:rowOff>
                  </from>
                  <to>
                    <xdr:col>14</xdr:col>
                    <xdr:colOff>228600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List Box 7">
              <controlPr defaultSize="0" print="0" autoFill="0" autoLine="0" autoPict="0" macro="[0]!Мак2_для_листа2">
                <anchor moveWithCells="1" sizeWithCells="1">
                  <from>
                    <xdr:col>9</xdr:col>
                    <xdr:colOff>85725</xdr:colOff>
                    <xdr:row>2</xdr:row>
                    <xdr:rowOff>114300</xdr:rowOff>
                  </from>
                  <to>
                    <xdr:col>12</xdr:col>
                    <xdr:colOff>171450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1">
              <controlPr locked="0" defaultSize="0" print="0" autoFill="0" autoLine="0" autoPict="0" macro="[0]!Вначало">
                <anchor moveWithCells="1">
                  <from>
                    <xdr:col>7</xdr:col>
                    <xdr:colOff>114300</xdr:colOff>
                    <xdr:row>0</xdr:row>
                    <xdr:rowOff>19050</xdr:rowOff>
                  </from>
                  <to>
                    <xdr:col>14</xdr:col>
                    <xdr:colOff>295275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Drop Down 2">
              <controlPr defaultSize="0" print="0" autoFill="0" autoLine="0" autoPict="0" macro="[0]!Мак1_для_листа2">
                <anchor moveWithCells="1" sizeWithCells="1">
                  <from>
                    <xdr:col>9</xdr:col>
                    <xdr:colOff>85725</xdr:colOff>
                    <xdr:row>1</xdr:row>
                    <xdr:rowOff>19050</xdr:rowOff>
                  </from>
                  <to>
                    <xdr:col>17</xdr:col>
                    <xdr:colOff>200025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D1:V63"/>
  <sheetViews>
    <sheetView workbookViewId="0">
      <pane ySplit="11" topLeftCell="A12" activePane="bottomLeft" state="frozenSplit"/>
      <selection pane="bottomLeft"/>
    </sheetView>
  </sheetViews>
  <sheetFormatPr defaultRowHeight="12.75"/>
  <cols>
    <col min="1" max="1" width="6.28515625" customWidth="1"/>
    <col min="2" max="2" width="4.7109375" customWidth="1"/>
    <col min="3" max="3" width="6.5703125" customWidth="1"/>
    <col min="4" max="4" width="3.85546875" customWidth="1"/>
    <col min="5" max="5" width="4.7109375" customWidth="1"/>
    <col min="6" max="6" width="4.85546875" customWidth="1"/>
    <col min="7" max="8" width="4.7109375" customWidth="1"/>
    <col min="9" max="9" width="4.5703125" customWidth="1"/>
    <col min="10" max="10" width="4.140625" customWidth="1"/>
    <col min="11" max="11" width="6.140625" customWidth="1"/>
    <col min="12" max="12" width="7.5703125" style="1" customWidth="1"/>
    <col min="13" max="13" width="6.28515625" customWidth="1"/>
    <col min="14" max="14" width="7.42578125" customWidth="1"/>
    <col min="15" max="15" width="5.85546875" customWidth="1"/>
    <col min="16" max="16" width="5.42578125" customWidth="1"/>
    <col min="17" max="17" width="6.42578125" customWidth="1"/>
    <col min="18" max="18" width="5.5703125" customWidth="1"/>
    <col min="19" max="19" width="6.28515625" customWidth="1"/>
    <col min="20" max="21" width="5.42578125" customWidth="1"/>
    <col min="22" max="22" width="5.140625" customWidth="1"/>
  </cols>
  <sheetData>
    <row r="1" spans="4:22" ht="19.5" customHeight="1" thickBot="1">
      <c r="M1" s="35"/>
      <c r="N1" s="524"/>
      <c r="O1" s="35"/>
    </row>
    <row r="2" spans="4:22" ht="13.5" thickBot="1">
      <c r="G2" s="1042"/>
      <c r="H2" s="1043"/>
      <c r="I2" s="1043"/>
      <c r="J2" s="1043"/>
      <c r="K2" s="1043"/>
      <c r="L2" s="1044" t="s">
        <v>1924</v>
      </c>
      <c r="M2" s="1043"/>
      <c r="N2" s="1045"/>
      <c r="O2" s="631"/>
      <c r="P2" s="632"/>
      <c r="Q2" s="632"/>
      <c r="R2" s="632"/>
      <c r="S2" s="632"/>
      <c r="T2" s="632"/>
      <c r="U2" s="632"/>
      <c r="V2" s="633"/>
    </row>
    <row r="3" spans="4:22" ht="13.5" thickBot="1">
      <c r="G3" s="1046"/>
      <c r="H3" s="1047"/>
      <c r="I3" s="1047"/>
      <c r="J3" s="1047"/>
      <c r="K3" s="1063">
        <v>120</v>
      </c>
      <c r="L3" s="1064">
        <v>4.84</v>
      </c>
      <c r="M3" s="1040">
        <f>K3*L3</f>
        <v>580.79999999999995</v>
      </c>
      <c r="N3" s="1048" t="s">
        <v>1483</v>
      </c>
      <c r="O3" s="634"/>
      <c r="P3" s="635"/>
      <c r="Q3" s="635"/>
      <c r="R3" s="635"/>
      <c r="S3" s="635"/>
      <c r="T3" s="635"/>
      <c r="U3" s="635"/>
      <c r="V3" s="636"/>
    </row>
    <row r="4" spans="4:22" ht="13.5" thickBot="1">
      <c r="G4" s="1046"/>
      <c r="H4" s="1047"/>
      <c r="I4" s="1047"/>
      <c r="J4" s="1047"/>
      <c r="K4" s="1063">
        <v>3</v>
      </c>
      <c r="L4" s="1049">
        <f>L3</f>
        <v>4.84</v>
      </c>
      <c r="M4" s="1041">
        <f>IF(K4=0,0,K4/L4)</f>
        <v>0.6198347107438017</v>
      </c>
      <c r="N4" s="1050" t="s">
        <v>1926</v>
      </c>
      <c r="O4" s="634"/>
      <c r="P4" s="635"/>
      <c r="Q4" s="635"/>
      <c r="R4" s="635"/>
      <c r="S4" s="635"/>
      <c r="T4" s="635"/>
      <c r="U4" s="635"/>
      <c r="V4" s="636"/>
    </row>
    <row r="5" spans="4:22" ht="13.5" thickBot="1">
      <c r="D5" s="2"/>
      <c r="G5" s="1051"/>
      <c r="H5" s="1049"/>
      <c r="I5" s="1049"/>
      <c r="J5" s="1052" t="s">
        <v>1486</v>
      </c>
      <c r="K5" s="1049"/>
      <c r="L5" s="1069">
        <v>6.16</v>
      </c>
      <c r="M5" s="1049"/>
      <c r="N5" s="1053" t="s">
        <v>110</v>
      </c>
      <c r="O5" s="727"/>
      <c r="P5" s="726"/>
      <c r="Q5" s="726"/>
      <c r="R5" s="726"/>
      <c r="S5" s="726"/>
      <c r="T5" s="726"/>
      <c r="U5" s="726"/>
      <c r="V5" s="1059"/>
    </row>
    <row r="6" spans="4:22" ht="14.25" customHeight="1" thickBot="1">
      <c r="D6" s="2"/>
      <c r="G6" s="1054"/>
      <c r="H6" s="1055"/>
      <c r="I6" s="1055"/>
      <c r="J6" s="1056" t="s">
        <v>1488</v>
      </c>
      <c r="K6" s="1055"/>
      <c r="L6" s="1066">
        <v>50</v>
      </c>
      <c r="M6" s="1057"/>
      <c r="N6" s="1065" t="str">
        <f>CHOOSE(M40,E9,F11,G11,H11,I11,J11,K11,L11,M11,N11,O11,P11,Q11,R11,S11,T11,U11)</f>
        <v>мм</v>
      </c>
      <c r="O6" s="1060"/>
      <c r="P6" s="1061"/>
      <c r="Q6" s="1061"/>
      <c r="R6" s="1061"/>
      <c r="S6" s="1061"/>
      <c r="T6" s="644"/>
      <c r="U6" s="644"/>
      <c r="V6" s="1062"/>
    </row>
    <row r="7" spans="4:22">
      <c r="D7" s="2"/>
      <c r="G7" s="1"/>
      <c r="H7" s="1"/>
      <c r="I7" s="1"/>
      <c r="J7" s="1"/>
      <c r="K7" s="1"/>
      <c r="M7" s="53"/>
      <c r="N7" s="806" t="s">
        <v>111</v>
      </c>
      <c r="O7" s="1"/>
      <c r="P7" s="1"/>
      <c r="Q7" s="1"/>
      <c r="R7" s="1"/>
      <c r="S7" s="1"/>
    </row>
    <row r="8" spans="4:22" ht="5.25" customHeight="1" thickBot="1">
      <c r="D8" s="2"/>
      <c r="G8" s="1"/>
      <c r="H8" s="1"/>
      <c r="I8" s="1"/>
      <c r="J8" s="1"/>
      <c r="K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4:22" ht="24.75">
      <c r="E9" s="49" t="s">
        <v>1544</v>
      </c>
      <c r="F9" s="18"/>
      <c r="G9" s="19"/>
      <c r="H9" s="19"/>
      <c r="I9" s="19"/>
      <c r="J9" s="19"/>
      <c r="K9" s="20"/>
      <c r="L9" s="6" t="s">
        <v>112</v>
      </c>
      <c r="M9" s="6" t="s">
        <v>1491</v>
      </c>
      <c r="N9" s="4" t="s">
        <v>113</v>
      </c>
      <c r="O9" s="21" t="s">
        <v>114</v>
      </c>
      <c r="P9" s="21" t="s">
        <v>115</v>
      </c>
      <c r="Q9" s="21" t="s">
        <v>116</v>
      </c>
      <c r="R9" s="4" t="s">
        <v>117</v>
      </c>
      <c r="S9" s="21" t="s">
        <v>118</v>
      </c>
      <c r="T9" s="21" t="s">
        <v>118</v>
      </c>
      <c r="U9" s="22"/>
      <c r="V9" s="54"/>
    </row>
    <row r="10" spans="4:22" s="17" customFormat="1" ht="19.5" customHeight="1">
      <c r="E10" s="605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1532</v>
      </c>
      <c r="K10" s="26" t="s">
        <v>1533</v>
      </c>
      <c r="L10" s="23" t="s">
        <v>1531</v>
      </c>
      <c r="M10" s="23" t="s">
        <v>1530</v>
      </c>
      <c r="N10" s="23" t="s">
        <v>1940</v>
      </c>
      <c r="O10" s="26" t="s">
        <v>122</v>
      </c>
      <c r="P10" s="26" t="s">
        <v>123</v>
      </c>
      <c r="Q10" s="26" t="s">
        <v>124</v>
      </c>
      <c r="R10" s="23" t="s">
        <v>1943</v>
      </c>
      <c r="S10" s="26" t="s">
        <v>125</v>
      </c>
      <c r="T10" s="26" t="s">
        <v>1945</v>
      </c>
      <c r="U10" s="24" t="s">
        <v>126</v>
      </c>
      <c r="V10" s="55"/>
    </row>
    <row r="11" spans="4:22" s="8" customFormat="1" ht="15" thickBot="1">
      <c r="D11" s="3" t="s">
        <v>1544</v>
      </c>
      <c r="E11" s="742"/>
      <c r="F11" s="743" t="s">
        <v>1545</v>
      </c>
      <c r="G11" s="744" t="s">
        <v>1545</v>
      </c>
      <c r="H11" s="744" t="s">
        <v>1545</v>
      </c>
      <c r="I11" s="744" t="s">
        <v>1545</v>
      </c>
      <c r="J11" s="744" t="s">
        <v>1545</v>
      </c>
      <c r="K11" s="744" t="s">
        <v>1545</v>
      </c>
      <c r="L11" s="743" t="s">
        <v>1954</v>
      </c>
      <c r="M11" s="747" t="s">
        <v>1483</v>
      </c>
      <c r="N11" s="12" t="s">
        <v>1956</v>
      </c>
      <c r="O11" s="27" t="s">
        <v>127</v>
      </c>
      <c r="P11" s="27" t="s">
        <v>1549</v>
      </c>
      <c r="Q11" s="27" t="s">
        <v>127</v>
      </c>
      <c r="R11" s="12" t="s">
        <v>1956</v>
      </c>
      <c r="S11" s="27" t="s">
        <v>127</v>
      </c>
      <c r="T11" s="27" t="s">
        <v>1549</v>
      </c>
      <c r="U11" s="25" t="s">
        <v>1549</v>
      </c>
      <c r="V11" s="44"/>
    </row>
    <row r="12" spans="4:22">
      <c r="D12" s="3">
        <v>1</v>
      </c>
      <c r="E12" s="769">
        <v>5</v>
      </c>
      <c r="F12" s="345">
        <v>50</v>
      </c>
      <c r="G12" s="782">
        <v>32</v>
      </c>
      <c r="H12" s="783">
        <v>4.4000000000000004</v>
      </c>
      <c r="I12" s="783">
        <v>7</v>
      </c>
      <c r="J12" s="784">
        <v>6</v>
      </c>
      <c r="K12" s="739">
        <v>2.5</v>
      </c>
      <c r="L12" s="773">
        <v>6.16</v>
      </c>
      <c r="M12" s="777">
        <v>4.84</v>
      </c>
      <c r="N12" s="754">
        <v>22.8</v>
      </c>
      <c r="O12" s="794">
        <v>9.1</v>
      </c>
      <c r="P12" s="795">
        <v>1.92</v>
      </c>
      <c r="Q12" s="802">
        <v>5.59</v>
      </c>
      <c r="R12" s="755">
        <v>5.61</v>
      </c>
      <c r="S12" s="795">
        <v>2.75</v>
      </c>
      <c r="T12" s="755">
        <v>0.95</v>
      </c>
      <c r="U12" s="778">
        <v>1.1599999999999999</v>
      </c>
    </row>
    <row r="13" spans="4:22">
      <c r="D13" s="3">
        <v>2</v>
      </c>
      <c r="E13" s="770">
        <v>6.5</v>
      </c>
      <c r="F13" s="351">
        <v>65</v>
      </c>
      <c r="G13" s="785">
        <v>36</v>
      </c>
      <c r="H13" s="786">
        <v>4.4000000000000004</v>
      </c>
      <c r="I13" s="786">
        <v>7.2</v>
      </c>
      <c r="J13" s="787">
        <v>6</v>
      </c>
      <c r="K13" s="740">
        <v>2.5</v>
      </c>
      <c r="L13" s="774">
        <v>7.51</v>
      </c>
      <c r="M13" s="774">
        <v>5.9</v>
      </c>
      <c r="N13" s="758">
        <v>48.6</v>
      </c>
      <c r="O13" s="796">
        <v>15</v>
      </c>
      <c r="P13" s="797">
        <v>2.54</v>
      </c>
      <c r="Q13" s="803">
        <v>9</v>
      </c>
      <c r="R13" s="759">
        <v>8.6999999999999993</v>
      </c>
      <c r="S13" s="797">
        <v>3.68</v>
      </c>
      <c r="T13" s="759">
        <v>1.08</v>
      </c>
      <c r="U13" s="779">
        <v>1.24</v>
      </c>
    </row>
    <row r="14" spans="4:22">
      <c r="D14" s="3">
        <v>3</v>
      </c>
      <c r="E14" s="771">
        <v>8</v>
      </c>
      <c r="F14" s="347">
        <v>80</v>
      </c>
      <c r="G14" s="788">
        <v>40</v>
      </c>
      <c r="H14" s="789">
        <v>4.5</v>
      </c>
      <c r="I14" s="789">
        <v>7.4</v>
      </c>
      <c r="J14" s="790">
        <v>6.5</v>
      </c>
      <c r="K14" s="741">
        <v>2.5</v>
      </c>
      <c r="L14" s="775">
        <v>8.98</v>
      </c>
      <c r="M14" s="775">
        <v>7.05</v>
      </c>
      <c r="N14" s="762">
        <v>89.4</v>
      </c>
      <c r="O14" s="798">
        <v>22.4</v>
      </c>
      <c r="P14" s="799">
        <v>3.16</v>
      </c>
      <c r="Q14" s="804">
        <v>13</v>
      </c>
      <c r="R14" s="763">
        <v>12.8</v>
      </c>
      <c r="S14" s="799">
        <v>4.75</v>
      </c>
      <c r="T14" s="763">
        <v>1.19</v>
      </c>
      <c r="U14" s="780">
        <v>1.31</v>
      </c>
    </row>
    <row r="15" spans="4:22">
      <c r="D15" s="3">
        <v>4</v>
      </c>
      <c r="E15" s="770">
        <v>10</v>
      </c>
      <c r="F15" s="351">
        <v>100</v>
      </c>
      <c r="G15" s="785">
        <v>46</v>
      </c>
      <c r="H15" s="786">
        <v>4.5</v>
      </c>
      <c r="I15" s="786">
        <v>7.6</v>
      </c>
      <c r="J15" s="787">
        <v>7</v>
      </c>
      <c r="K15" s="740">
        <v>3</v>
      </c>
      <c r="L15" s="774">
        <v>10.9</v>
      </c>
      <c r="M15" s="774">
        <v>8.59</v>
      </c>
      <c r="N15" s="758">
        <v>174</v>
      </c>
      <c r="O15" s="796">
        <v>34.799999999999997</v>
      </c>
      <c r="P15" s="797">
        <v>3.99</v>
      </c>
      <c r="Q15" s="803">
        <v>20.399999999999999</v>
      </c>
      <c r="R15" s="759">
        <v>20.399999999999999</v>
      </c>
      <c r="S15" s="797">
        <v>6.46</v>
      </c>
      <c r="T15" s="759">
        <v>1.37</v>
      </c>
      <c r="U15" s="779">
        <v>1.44</v>
      </c>
    </row>
    <row r="16" spans="4:22">
      <c r="D16" s="3">
        <v>5</v>
      </c>
      <c r="E16" s="771">
        <v>12</v>
      </c>
      <c r="F16" s="347">
        <v>120</v>
      </c>
      <c r="G16" s="788">
        <v>52</v>
      </c>
      <c r="H16" s="789">
        <v>4.8</v>
      </c>
      <c r="I16" s="789">
        <v>7.8</v>
      </c>
      <c r="J16" s="790">
        <v>7.5</v>
      </c>
      <c r="K16" s="741">
        <v>3</v>
      </c>
      <c r="L16" s="775">
        <v>13.3</v>
      </c>
      <c r="M16" s="775">
        <v>10.4</v>
      </c>
      <c r="N16" s="762">
        <v>304</v>
      </c>
      <c r="O16" s="798">
        <v>50.6</v>
      </c>
      <c r="P16" s="799">
        <v>4.78</v>
      </c>
      <c r="Q16" s="804">
        <v>29.6</v>
      </c>
      <c r="R16" s="763">
        <v>31.2</v>
      </c>
      <c r="S16" s="799">
        <v>8.52</v>
      </c>
      <c r="T16" s="763">
        <v>1.53</v>
      </c>
      <c r="U16" s="780">
        <v>1.54</v>
      </c>
    </row>
    <row r="17" spans="4:21">
      <c r="D17" s="3">
        <v>6</v>
      </c>
      <c r="E17" s="770">
        <v>14</v>
      </c>
      <c r="F17" s="351">
        <v>140</v>
      </c>
      <c r="G17" s="785">
        <v>58</v>
      </c>
      <c r="H17" s="786">
        <v>4.9000000000000004</v>
      </c>
      <c r="I17" s="786">
        <v>8.1</v>
      </c>
      <c r="J17" s="787">
        <v>8</v>
      </c>
      <c r="K17" s="740">
        <v>3</v>
      </c>
      <c r="L17" s="774">
        <v>15.6</v>
      </c>
      <c r="M17" s="774">
        <v>12.3</v>
      </c>
      <c r="N17" s="758">
        <v>491</v>
      </c>
      <c r="O17" s="796">
        <v>70.2</v>
      </c>
      <c r="P17" s="797">
        <v>5.6</v>
      </c>
      <c r="Q17" s="803">
        <v>40.799999999999997</v>
      </c>
      <c r="R17" s="759">
        <v>45.4</v>
      </c>
      <c r="S17" s="797">
        <v>11</v>
      </c>
      <c r="T17" s="759">
        <v>1.7</v>
      </c>
      <c r="U17" s="779">
        <v>1.67</v>
      </c>
    </row>
    <row r="18" spans="4:21">
      <c r="D18" s="3">
        <v>7</v>
      </c>
      <c r="E18" s="771">
        <v>16</v>
      </c>
      <c r="F18" s="347">
        <v>160</v>
      </c>
      <c r="G18" s="788">
        <v>64</v>
      </c>
      <c r="H18" s="789">
        <v>5</v>
      </c>
      <c r="I18" s="789">
        <v>8.4</v>
      </c>
      <c r="J18" s="790">
        <v>8.5</v>
      </c>
      <c r="K18" s="741">
        <v>3.5</v>
      </c>
      <c r="L18" s="775">
        <v>18.100000000000001</v>
      </c>
      <c r="M18" s="775">
        <v>14.2</v>
      </c>
      <c r="N18" s="762">
        <v>747</v>
      </c>
      <c r="O18" s="798">
        <v>93.4</v>
      </c>
      <c r="P18" s="799">
        <v>6.42</v>
      </c>
      <c r="Q18" s="804">
        <v>54.1</v>
      </c>
      <c r="R18" s="763">
        <v>63.3</v>
      </c>
      <c r="S18" s="799">
        <v>13.8</v>
      </c>
      <c r="T18" s="763">
        <v>1.87</v>
      </c>
      <c r="U18" s="780">
        <v>1.8</v>
      </c>
    </row>
    <row r="19" spans="4:21">
      <c r="D19" s="3">
        <v>8</v>
      </c>
      <c r="E19" s="770" t="s">
        <v>128</v>
      </c>
      <c r="F19" s="351">
        <v>160</v>
      </c>
      <c r="G19" s="785">
        <v>68</v>
      </c>
      <c r="H19" s="786">
        <v>5</v>
      </c>
      <c r="I19" s="786">
        <v>9</v>
      </c>
      <c r="J19" s="787">
        <v>8.5</v>
      </c>
      <c r="K19" s="740">
        <v>3.5</v>
      </c>
      <c r="L19" s="774">
        <v>19.5</v>
      </c>
      <c r="M19" s="774">
        <v>15.3</v>
      </c>
      <c r="N19" s="758">
        <v>823</v>
      </c>
      <c r="O19" s="796">
        <v>103</v>
      </c>
      <c r="P19" s="797">
        <v>6.49</v>
      </c>
      <c r="Q19" s="803">
        <v>59.4</v>
      </c>
      <c r="R19" s="759">
        <v>78.8</v>
      </c>
      <c r="S19" s="797">
        <v>16.399999999999999</v>
      </c>
      <c r="T19" s="759">
        <v>2.0099999999999998</v>
      </c>
      <c r="U19" s="779">
        <v>2</v>
      </c>
    </row>
    <row r="20" spans="4:21">
      <c r="D20" s="3">
        <v>9</v>
      </c>
      <c r="E20" s="771">
        <v>18</v>
      </c>
      <c r="F20" s="347">
        <v>180</v>
      </c>
      <c r="G20" s="788">
        <v>70</v>
      </c>
      <c r="H20" s="789">
        <v>5.0999999999999996</v>
      </c>
      <c r="I20" s="789">
        <v>8.6999999999999993</v>
      </c>
      <c r="J20" s="790">
        <v>9</v>
      </c>
      <c r="K20" s="741">
        <v>3.5</v>
      </c>
      <c r="L20" s="775">
        <v>20.7</v>
      </c>
      <c r="M20" s="775">
        <v>16.3</v>
      </c>
      <c r="N20" s="762">
        <v>1090</v>
      </c>
      <c r="O20" s="798">
        <v>121</v>
      </c>
      <c r="P20" s="799">
        <v>7.24</v>
      </c>
      <c r="Q20" s="804">
        <v>69.8</v>
      </c>
      <c r="R20" s="763">
        <v>86</v>
      </c>
      <c r="S20" s="799">
        <v>17</v>
      </c>
      <c r="T20" s="763">
        <v>2.04</v>
      </c>
      <c r="U20" s="780">
        <v>1.94</v>
      </c>
    </row>
    <row r="21" spans="4:21">
      <c r="D21" s="3">
        <v>10</v>
      </c>
      <c r="E21" s="770" t="s">
        <v>129</v>
      </c>
      <c r="F21" s="351">
        <v>180</v>
      </c>
      <c r="G21" s="785">
        <v>74</v>
      </c>
      <c r="H21" s="786">
        <v>5.0999999999999996</v>
      </c>
      <c r="I21" s="786">
        <v>9.3000000000000007</v>
      </c>
      <c r="J21" s="787">
        <v>9</v>
      </c>
      <c r="K21" s="740">
        <v>3.5</v>
      </c>
      <c r="L21" s="774">
        <v>22.2</v>
      </c>
      <c r="M21" s="774">
        <v>17.399999999999999</v>
      </c>
      <c r="N21" s="758">
        <v>1190</v>
      </c>
      <c r="O21" s="796">
        <v>132</v>
      </c>
      <c r="P21" s="797">
        <v>7.32</v>
      </c>
      <c r="Q21" s="803">
        <v>76.099999999999994</v>
      </c>
      <c r="R21" s="758">
        <v>105</v>
      </c>
      <c r="S21" s="797">
        <v>20</v>
      </c>
      <c r="T21" s="759">
        <v>2.1800000000000002</v>
      </c>
      <c r="U21" s="779">
        <v>2.13</v>
      </c>
    </row>
    <row r="22" spans="4:21">
      <c r="D22" s="3">
        <v>11</v>
      </c>
      <c r="E22" s="771">
        <v>20</v>
      </c>
      <c r="F22" s="347">
        <v>200</v>
      </c>
      <c r="G22" s="788">
        <v>76</v>
      </c>
      <c r="H22" s="789">
        <v>5.2</v>
      </c>
      <c r="I22" s="789">
        <v>9</v>
      </c>
      <c r="J22" s="790">
        <v>9.5</v>
      </c>
      <c r="K22" s="741">
        <v>4</v>
      </c>
      <c r="L22" s="775">
        <v>23.4</v>
      </c>
      <c r="M22" s="775">
        <v>18.399999999999999</v>
      </c>
      <c r="N22" s="762">
        <v>1520</v>
      </c>
      <c r="O22" s="798">
        <v>152</v>
      </c>
      <c r="P22" s="799">
        <v>8.07</v>
      </c>
      <c r="Q22" s="804">
        <v>87.8</v>
      </c>
      <c r="R22" s="762">
        <v>113</v>
      </c>
      <c r="S22" s="799">
        <v>20.5</v>
      </c>
      <c r="T22" s="763">
        <v>2.2000000000000002</v>
      </c>
      <c r="U22" s="780">
        <v>2.0699999999999998</v>
      </c>
    </row>
    <row r="23" spans="4:21">
      <c r="D23" s="3">
        <v>12</v>
      </c>
      <c r="E23" s="770">
        <v>22</v>
      </c>
      <c r="F23" s="351">
        <v>220</v>
      </c>
      <c r="G23" s="785">
        <v>82</v>
      </c>
      <c r="H23" s="786">
        <v>5.4</v>
      </c>
      <c r="I23" s="786">
        <v>9.5</v>
      </c>
      <c r="J23" s="787">
        <v>10</v>
      </c>
      <c r="K23" s="740">
        <v>4</v>
      </c>
      <c r="L23" s="774">
        <v>26.7</v>
      </c>
      <c r="M23" s="774">
        <v>21</v>
      </c>
      <c r="N23" s="758">
        <v>2110</v>
      </c>
      <c r="O23" s="796">
        <v>192</v>
      </c>
      <c r="P23" s="797">
        <v>8.89</v>
      </c>
      <c r="Q23" s="803">
        <v>110</v>
      </c>
      <c r="R23" s="758">
        <v>151</v>
      </c>
      <c r="S23" s="797">
        <v>25.1</v>
      </c>
      <c r="T23" s="759">
        <v>2.37</v>
      </c>
      <c r="U23" s="779">
        <v>2.21</v>
      </c>
    </row>
    <row r="24" spans="4:21">
      <c r="D24" s="3">
        <v>13</v>
      </c>
      <c r="E24" s="771">
        <v>24</v>
      </c>
      <c r="F24" s="347">
        <v>240</v>
      </c>
      <c r="G24" s="788">
        <v>90</v>
      </c>
      <c r="H24" s="789">
        <v>5.6</v>
      </c>
      <c r="I24" s="789">
        <v>10</v>
      </c>
      <c r="J24" s="790">
        <v>10.5</v>
      </c>
      <c r="K24" s="741">
        <v>4</v>
      </c>
      <c r="L24" s="775">
        <v>30.6</v>
      </c>
      <c r="M24" s="775">
        <v>24</v>
      </c>
      <c r="N24" s="762">
        <v>2900</v>
      </c>
      <c r="O24" s="798">
        <v>242</v>
      </c>
      <c r="P24" s="799">
        <v>9.73</v>
      </c>
      <c r="Q24" s="804">
        <v>139</v>
      </c>
      <c r="R24" s="762">
        <v>208</v>
      </c>
      <c r="S24" s="799">
        <v>31.6</v>
      </c>
      <c r="T24" s="763">
        <v>2.6</v>
      </c>
      <c r="U24" s="780">
        <v>2.42</v>
      </c>
    </row>
    <row r="25" spans="4:21">
      <c r="D25" s="3">
        <v>14</v>
      </c>
      <c r="E25" s="770">
        <v>27</v>
      </c>
      <c r="F25" s="351">
        <v>270</v>
      </c>
      <c r="G25" s="785">
        <v>95</v>
      </c>
      <c r="H25" s="786">
        <v>6</v>
      </c>
      <c r="I25" s="786">
        <v>10.5</v>
      </c>
      <c r="J25" s="787">
        <v>11</v>
      </c>
      <c r="K25" s="740">
        <v>4.5</v>
      </c>
      <c r="L25" s="774">
        <v>35.200000000000003</v>
      </c>
      <c r="M25" s="774">
        <v>27.7</v>
      </c>
      <c r="N25" s="758">
        <v>4160</v>
      </c>
      <c r="O25" s="796">
        <v>308</v>
      </c>
      <c r="P25" s="797">
        <v>10.9</v>
      </c>
      <c r="Q25" s="803">
        <v>178</v>
      </c>
      <c r="R25" s="758">
        <v>262</v>
      </c>
      <c r="S25" s="797">
        <v>37.299999999999997</v>
      </c>
      <c r="T25" s="759">
        <v>2.73</v>
      </c>
      <c r="U25" s="779">
        <v>2.4700000000000002</v>
      </c>
    </row>
    <row r="26" spans="4:21">
      <c r="D26" s="3">
        <v>15</v>
      </c>
      <c r="E26" s="771">
        <v>30</v>
      </c>
      <c r="F26" s="347">
        <v>300</v>
      </c>
      <c r="G26" s="788">
        <v>100</v>
      </c>
      <c r="H26" s="789">
        <v>6.5</v>
      </c>
      <c r="I26" s="789">
        <v>11</v>
      </c>
      <c r="J26" s="790">
        <v>12</v>
      </c>
      <c r="K26" s="741">
        <v>5</v>
      </c>
      <c r="L26" s="775">
        <v>40.5</v>
      </c>
      <c r="M26" s="775">
        <v>31.8</v>
      </c>
      <c r="N26" s="762">
        <v>5810</v>
      </c>
      <c r="O26" s="798">
        <v>387</v>
      </c>
      <c r="P26" s="799">
        <v>12</v>
      </c>
      <c r="Q26" s="804">
        <v>224</v>
      </c>
      <c r="R26" s="762">
        <v>327</v>
      </c>
      <c r="S26" s="799">
        <v>43.6</v>
      </c>
      <c r="T26" s="763">
        <v>2.84</v>
      </c>
      <c r="U26" s="780">
        <v>2.52</v>
      </c>
    </row>
    <row r="27" spans="4:21">
      <c r="D27" s="3">
        <v>16</v>
      </c>
      <c r="E27" s="770">
        <v>33</v>
      </c>
      <c r="F27" s="351">
        <v>330</v>
      </c>
      <c r="G27" s="785">
        <v>105</v>
      </c>
      <c r="H27" s="786">
        <v>7</v>
      </c>
      <c r="I27" s="786">
        <v>11.7</v>
      </c>
      <c r="J27" s="787">
        <v>13</v>
      </c>
      <c r="K27" s="740">
        <v>5</v>
      </c>
      <c r="L27" s="774">
        <v>46.5</v>
      </c>
      <c r="M27" s="774">
        <v>36.5</v>
      </c>
      <c r="N27" s="758">
        <v>7980</v>
      </c>
      <c r="O27" s="796">
        <v>484</v>
      </c>
      <c r="P27" s="797">
        <v>13.1</v>
      </c>
      <c r="Q27" s="803">
        <v>281</v>
      </c>
      <c r="R27" s="758">
        <v>410</v>
      </c>
      <c r="S27" s="797">
        <v>51.8</v>
      </c>
      <c r="T27" s="759">
        <v>2.97</v>
      </c>
      <c r="U27" s="779">
        <v>2.59</v>
      </c>
    </row>
    <row r="28" spans="4:21">
      <c r="D28" s="3">
        <v>17</v>
      </c>
      <c r="E28" s="771">
        <v>36</v>
      </c>
      <c r="F28" s="347">
        <v>360</v>
      </c>
      <c r="G28" s="788">
        <v>110</v>
      </c>
      <c r="H28" s="789">
        <v>7.5</v>
      </c>
      <c r="I28" s="789">
        <v>12.6</v>
      </c>
      <c r="J28" s="790">
        <v>14</v>
      </c>
      <c r="K28" s="741">
        <v>6</v>
      </c>
      <c r="L28" s="775">
        <v>53.4</v>
      </c>
      <c r="M28" s="775">
        <v>41.9</v>
      </c>
      <c r="N28" s="762">
        <v>10820</v>
      </c>
      <c r="O28" s="798">
        <v>601</v>
      </c>
      <c r="P28" s="799">
        <v>14.2</v>
      </c>
      <c r="Q28" s="804">
        <v>350</v>
      </c>
      <c r="R28" s="762">
        <v>513</v>
      </c>
      <c r="S28" s="799">
        <v>61.7</v>
      </c>
      <c r="T28" s="763">
        <v>3.1</v>
      </c>
      <c r="U28" s="780">
        <v>2.68</v>
      </c>
    </row>
    <row r="29" spans="4:21" ht="13.5" thickBot="1">
      <c r="D29" s="3">
        <v>18</v>
      </c>
      <c r="E29" s="772">
        <v>40</v>
      </c>
      <c r="F29" s="355">
        <v>400</v>
      </c>
      <c r="G29" s="791">
        <v>115</v>
      </c>
      <c r="H29" s="792">
        <v>8</v>
      </c>
      <c r="I29" s="792">
        <v>13.5</v>
      </c>
      <c r="J29" s="793">
        <v>15</v>
      </c>
      <c r="K29" s="751">
        <v>6</v>
      </c>
      <c r="L29" s="776">
        <v>61.5</v>
      </c>
      <c r="M29" s="776">
        <v>48.3</v>
      </c>
      <c r="N29" s="766">
        <v>15220</v>
      </c>
      <c r="O29" s="800">
        <v>761</v>
      </c>
      <c r="P29" s="801">
        <v>15.7</v>
      </c>
      <c r="Q29" s="805">
        <v>444</v>
      </c>
      <c r="R29" s="766">
        <v>642</v>
      </c>
      <c r="S29" s="801">
        <v>73.400000000000006</v>
      </c>
      <c r="T29" s="767">
        <v>3.23</v>
      </c>
      <c r="U29" s="781">
        <v>2.75</v>
      </c>
    </row>
    <row r="34" spans="4:14" hidden="1"/>
    <row r="35" spans="4:14" hidden="1">
      <c r="D35" s="423">
        <v>1</v>
      </c>
      <c r="E35" s="524" t="s">
        <v>130</v>
      </c>
    </row>
    <row r="36" spans="4:14" hidden="1">
      <c r="D36" s="423">
        <v>2</v>
      </c>
      <c r="E36" s="524" t="s">
        <v>131</v>
      </c>
    </row>
    <row r="37" spans="4:14" hidden="1">
      <c r="D37" s="423">
        <v>3</v>
      </c>
      <c r="E37" s="524" t="s">
        <v>132</v>
      </c>
    </row>
    <row r="38" spans="4:14" hidden="1">
      <c r="D38" s="423">
        <v>4</v>
      </c>
      <c r="E38" s="524" t="s">
        <v>133</v>
      </c>
    </row>
    <row r="39" spans="4:14" ht="13.5" hidden="1" thickBot="1">
      <c r="D39" s="423">
        <v>5</v>
      </c>
      <c r="E39" s="141" t="s">
        <v>1561</v>
      </c>
    </row>
    <row r="40" spans="4:14" ht="13.5" hidden="1" thickBot="1">
      <c r="D40" s="423">
        <v>6</v>
      </c>
      <c r="E40" s="141" t="s">
        <v>1564</v>
      </c>
      <c r="M40" s="1067">
        <v>2</v>
      </c>
      <c r="N40" s="603" t="s">
        <v>2005</v>
      </c>
    </row>
    <row r="41" spans="4:14" ht="13.5" hidden="1" thickBot="1">
      <c r="D41" s="423">
        <v>7</v>
      </c>
      <c r="E41" s="141" t="s">
        <v>134</v>
      </c>
      <c r="M41" s="1068">
        <v>1</v>
      </c>
      <c r="N41" s="604" t="s">
        <v>135</v>
      </c>
    </row>
    <row r="42" spans="4:14" ht="14.25" hidden="1">
      <c r="D42" s="423">
        <v>8</v>
      </c>
      <c r="E42" s="141" t="s">
        <v>1995</v>
      </c>
    </row>
    <row r="43" spans="4:14" hidden="1">
      <c r="D43" s="423">
        <v>9</v>
      </c>
      <c r="E43" s="141" t="s">
        <v>1994</v>
      </c>
    </row>
    <row r="44" spans="4:14" ht="14.25" hidden="1">
      <c r="D44" s="423">
        <v>10</v>
      </c>
      <c r="E44" s="141" t="s">
        <v>1997</v>
      </c>
    </row>
    <row r="45" spans="4:14" ht="14.25" hidden="1">
      <c r="D45" s="423">
        <v>11</v>
      </c>
      <c r="E45" s="141" t="s">
        <v>1998</v>
      </c>
    </row>
    <row r="46" spans="4:14" hidden="1">
      <c r="D46" s="423">
        <v>12</v>
      </c>
      <c r="E46" s="141" t="s">
        <v>1568</v>
      </c>
    </row>
    <row r="47" spans="4:14" hidden="1">
      <c r="D47" s="423">
        <v>13</v>
      </c>
      <c r="E47" s="141" t="s">
        <v>136</v>
      </c>
    </row>
    <row r="48" spans="4:14" ht="14.25" hidden="1">
      <c r="D48" s="423">
        <v>14</v>
      </c>
      <c r="E48" s="141" t="s">
        <v>1999</v>
      </c>
    </row>
    <row r="49" spans="4:6" ht="14.25" hidden="1">
      <c r="D49" s="423">
        <v>15</v>
      </c>
      <c r="E49" s="141" t="s">
        <v>2000</v>
      </c>
    </row>
    <row r="50" spans="4:6" hidden="1">
      <c r="D50" s="423">
        <v>16</v>
      </c>
      <c r="E50" s="141" t="s">
        <v>2001</v>
      </c>
    </row>
    <row r="51" spans="4:6" hidden="1">
      <c r="D51" s="423">
        <v>17</v>
      </c>
      <c r="E51" s="141" t="s">
        <v>137</v>
      </c>
    </row>
    <row r="52" spans="4:6" hidden="1">
      <c r="D52" s="423"/>
      <c r="E52" s="141"/>
    </row>
    <row r="53" spans="4:6" hidden="1">
      <c r="D53" s="423"/>
      <c r="E53" s="141"/>
    </row>
    <row r="54" spans="4:6" ht="18.75" hidden="1">
      <c r="D54" s="423"/>
      <c r="E54" s="141"/>
      <c r="F54" s="141" t="s">
        <v>138</v>
      </c>
    </row>
    <row r="55" spans="4:6" hidden="1">
      <c r="D55" s="423"/>
      <c r="E55" s="30" t="s">
        <v>139</v>
      </c>
      <c r="F55" s="141">
        <v>0.78522042646277002</v>
      </c>
    </row>
    <row r="56" spans="4:6" hidden="1">
      <c r="D56" s="423"/>
      <c r="E56" s="141"/>
    </row>
    <row r="57" spans="4:6" hidden="1">
      <c r="D57" s="423"/>
      <c r="E57" s="141"/>
    </row>
    <row r="58" spans="4:6" hidden="1"/>
    <row r="59" spans="4:6" hidden="1"/>
    <row r="60" spans="4:6" hidden="1"/>
    <row r="61" spans="4:6" hidden="1"/>
    <row r="62" spans="4:6" hidden="1"/>
    <row r="63" spans="4:6" hidden="1"/>
  </sheetData>
  <pageMargins left="0.75" right="0.75" top="1" bottom="1" header="0.5" footer="0.5"/>
  <pageSetup paperSize="9" orientation="landscape" horizontalDpi="300" verticalDpi="30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Drop Down 2">
              <controlPr defaultSize="0" print="0" autoFill="0" autoLine="0" autoPict="0" macro="[0]!Мак1_для_листа3">
                <anchor moveWithCells="1">
                  <from>
                    <xdr:col>14</xdr:col>
                    <xdr:colOff>9525</xdr:colOff>
                    <xdr:row>1</xdr:row>
                    <xdr:rowOff>66675</xdr:rowOff>
                  </from>
                  <to>
                    <xdr:col>22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Drop Down 3">
              <controlPr defaultSize="0" print="0" autoFill="0" autoLine="0" autoPict="0" macro="[0]!Мак2_для_листа3">
                <anchor moveWithCells="1">
                  <from>
                    <xdr:col>14</xdr:col>
                    <xdr:colOff>19050</xdr:colOff>
                    <xdr:row>3</xdr:row>
                    <xdr:rowOff>38100</xdr:rowOff>
                  </from>
                  <to>
                    <xdr:col>15</xdr:col>
                    <xdr:colOff>238125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locked="0" defaultSize="0" print="0" autoFill="0" autoLine="0" autoPict="0" macro="[0]!Вначало">
                <anchor moveWithCells="1">
                  <from>
                    <xdr:col>11</xdr:col>
                    <xdr:colOff>123825</xdr:colOff>
                    <xdr:row>0</xdr:row>
                    <xdr:rowOff>28575</xdr:rowOff>
                  </from>
                  <to>
                    <xdr:col>18</xdr:col>
                    <xdr:colOff>247650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D1:V52"/>
  <sheetViews>
    <sheetView workbookViewId="0">
      <pane ySplit="11" topLeftCell="A12" activePane="bottomLeft" state="frozenSplit"/>
      <selection pane="bottomLeft"/>
    </sheetView>
  </sheetViews>
  <sheetFormatPr defaultRowHeight="12.75"/>
  <cols>
    <col min="1" max="1" width="7.28515625" customWidth="1"/>
    <col min="2" max="2" width="7.42578125" customWidth="1"/>
    <col min="3" max="3" width="5.28515625" customWidth="1"/>
    <col min="4" max="4" width="3.85546875" customWidth="1"/>
    <col min="5" max="5" width="6" customWidth="1"/>
    <col min="6" max="6" width="4.85546875" customWidth="1"/>
    <col min="7" max="8" width="4.7109375" customWidth="1"/>
    <col min="9" max="9" width="4.5703125" customWidth="1"/>
    <col min="10" max="10" width="4.28515625" customWidth="1"/>
    <col min="11" max="11" width="6.42578125" customWidth="1"/>
    <col min="12" max="12" width="7.5703125" customWidth="1"/>
    <col min="13" max="13" width="6.28515625" customWidth="1"/>
    <col min="14" max="14" width="7.42578125" customWidth="1"/>
    <col min="15" max="15" width="5.85546875" customWidth="1"/>
    <col min="16" max="16" width="5.42578125" customWidth="1"/>
    <col min="17" max="17" width="6.42578125" customWidth="1"/>
    <col min="18" max="18" width="5.5703125" customWidth="1"/>
    <col min="19" max="19" width="6.28515625" customWidth="1"/>
    <col min="20" max="21" width="5.42578125" customWidth="1"/>
    <col min="22" max="22" width="5.140625" customWidth="1"/>
  </cols>
  <sheetData>
    <row r="1" spans="4:22" ht="21" customHeight="1" thickBot="1">
      <c r="L1" s="35"/>
      <c r="M1" s="524"/>
      <c r="N1" s="35"/>
    </row>
    <row r="2" spans="4:22" ht="13.5" thickBot="1">
      <c r="F2" s="1086"/>
      <c r="G2" s="1087"/>
      <c r="H2" s="1087"/>
      <c r="I2" s="1087"/>
      <c r="J2" s="1087"/>
      <c r="K2" s="1087"/>
      <c r="L2" s="1088" t="s">
        <v>1924</v>
      </c>
      <c r="M2" s="1087"/>
      <c r="N2" s="1089"/>
      <c r="O2" s="43"/>
      <c r="P2" s="43"/>
      <c r="Q2" s="43"/>
      <c r="R2" s="43"/>
      <c r="S2" s="43"/>
      <c r="T2" s="43"/>
      <c r="U2" s="43"/>
      <c r="V2" s="43"/>
    </row>
    <row r="3" spans="4:22" ht="13.5" thickBot="1">
      <c r="F3" s="393"/>
      <c r="G3" s="394"/>
      <c r="H3" s="394"/>
      <c r="I3" s="394"/>
      <c r="J3" s="394"/>
      <c r="K3" s="1101"/>
      <c r="L3" s="1102">
        <v>8.59</v>
      </c>
      <c r="M3" s="1090">
        <f>K3*L3</f>
        <v>0</v>
      </c>
      <c r="N3" s="1091" t="s">
        <v>1483</v>
      </c>
      <c r="O3" s="43"/>
      <c r="P3" s="43"/>
      <c r="Q3" s="43"/>
      <c r="R3" s="43"/>
      <c r="S3" s="43"/>
      <c r="T3" s="43"/>
      <c r="U3" s="43"/>
      <c r="V3" s="43"/>
    </row>
    <row r="4" spans="4:22" ht="13.5" thickBot="1">
      <c r="F4" s="393"/>
      <c r="G4" s="394"/>
      <c r="H4" s="394"/>
      <c r="I4" s="394"/>
      <c r="J4" s="394"/>
      <c r="K4" s="1101">
        <v>100</v>
      </c>
      <c r="L4" s="728">
        <f>L3</f>
        <v>8.59</v>
      </c>
      <c r="M4" s="1092">
        <f>IF(K4=0,0,K4/L4)</f>
        <v>11.641443538998836</v>
      </c>
      <c r="N4" s="1093" t="s">
        <v>1926</v>
      </c>
      <c r="O4" s="43"/>
      <c r="P4" s="43"/>
      <c r="Q4" s="43"/>
      <c r="R4" s="43"/>
      <c r="S4" s="43"/>
      <c r="T4" s="43"/>
      <c r="U4" s="43"/>
      <c r="V4" s="43"/>
    </row>
    <row r="5" spans="4:22" ht="13.5" thickBot="1">
      <c r="D5" s="2"/>
      <c r="F5" s="393"/>
      <c r="G5" s="728"/>
      <c r="H5" s="728"/>
      <c r="I5" s="728"/>
      <c r="J5" s="399" t="s">
        <v>1486</v>
      </c>
      <c r="K5" s="728"/>
      <c r="L5" s="1069">
        <v>10.9</v>
      </c>
      <c r="M5" s="728"/>
      <c r="N5" s="1094" t="s">
        <v>110</v>
      </c>
      <c r="O5" s="1100"/>
      <c r="P5" s="1100"/>
      <c r="Q5" s="1100"/>
      <c r="R5" s="1100"/>
      <c r="S5" s="1100"/>
      <c r="T5" s="1100"/>
      <c r="U5" s="1100"/>
      <c r="V5" s="1100"/>
    </row>
    <row r="6" spans="4:22" ht="13.5" thickBot="1">
      <c r="D6" s="2"/>
      <c r="F6" s="393"/>
      <c r="G6" s="1095"/>
      <c r="H6" s="1096"/>
      <c r="I6" s="1097"/>
      <c r="J6" s="1098" t="s">
        <v>1488</v>
      </c>
      <c r="K6" s="1097"/>
      <c r="L6" s="1103" t="s">
        <v>144</v>
      </c>
      <c r="M6" s="1099"/>
      <c r="N6" s="1104" t="str">
        <f>CHOOSE(M40,E9,F11,G11,H11,I11,J11,K11,L11,M11,N11,O11,P11,Q11,R11,S11,T11,U11)</f>
        <v>№</v>
      </c>
      <c r="O6" s="1100"/>
      <c r="P6" s="1100"/>
      <c r="Q6" s="1100"/>
      <c r="R6" s="1100"/>
      <c r="S6" s="1100"/>
      <c r="T6" s="1100"/>
      <c r="U6" s="1100"/>
      <c r="V6" s="1100"/>
    </row>
    <row r="7" spans="4:22" ht="7.5" customHeight="1" thickBot="1">
      <c r="D7" s="2"/>
      <c r="F7" s="401"/>
      <c r="G7" s="733"/>
      <c r="H7" s="733"/>
      <c r="I7" s="733"/>
      <c r="J7" s="733"/>
      <c r="K7" s="733"/>
      <c r="L7" s="733"/>
      <c r="M7" s="733"/>
      <c r="N7" s="734"/>
      <c r="O7" s="1100"/>
      <c r="P7" s="1100"/>
      <c r="Q7" s="1100"/>
      <c r="R7" s="1100"/>
      <c r="S7" s="1100"/>
      <c r="T7" s="1100"/>
      <c r="U7" s="43"/>
      <c r="V7" s="200"/>
    </row>
    <row r="8" spans="4:22" ht="13.5" thickBot="1">
      <c r="D8" s="2"/>
      <c r="G8" s="1"/>
      <c r="H8" s="1"/>
      <c r="I8" s="1"/>
      <c r="J8" s="1"/>
      <c r="K8" s="1"/>
      <c r="L8" s="1"/>
      <c r="M8" s="1"/>
      <c r="N8" s="807" t="s">
        <v>140</v>
      </c>
      <c r="O8" s="1"/>
      <c r="P8" s="1"/>
      <c r="Q8" s="1"/>
      <c r="R8" s="1"/>
      <c r="S8" s="1"/>
      <c r="T8" s="1"/>
      <c r="U8" s="1"/>
      <c r="V8" s="1"/>
    </row>
    <row r="9" spans="4:22" ht="24.75">
      <c r="E9" s="49" t="s">
        <v>1544</v>
      </c>
      <c r="F9" s="18"/>
      <c r="G9" s="19"/>
      <c r="H9" s="19"/>
      <c r="I9" s="19"/>
      <c r="J9" s="19"/>
      <c r="K9" s="20"/>
      <c r="L9" s="6" t="s">
        <v>112</v>
      </c>
      <c r="M9" s="6" t="s">
        <v>1491</v>
      </c>
      <c r="N9" s="4" t="s">
        <v>113</v>
      </c>
      <c r="O9" s="21" t="s">
        <v>114</v>
      </c>
      <c r="P9" s="21" t="s">
        <v>115</v>
      </c>
      <c r="Q9" s="21" t="s">
        <v>116</v>
      </c>
      <c r="R9" s="4" t="s">
        <v>117</v>
      </c>
      <c r="S9" s="21" t="s">
        <v>118</v>
      </c>
      <c r="T9" s="21" t="s">
        <v>118</v>
      </c>
      <c r="U9" s="22"/>
      <c r="V9" s="54"/>
    </row>
    <row r="10" spans="4:22" s="17" customFormat="1" ht="18.75">
      <c r="E10" s="50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1532</v>
      </c>
      <c r="K10" s="26" t="s">
        <v>1533</v>
      </c>
      <c r="L10" s="23" t="s">
        <v>1531</v>
      </c>
      <c r="M10" s="23" t="s">
        <v>1530</v>
      </c>
      <c r="N10" s="23" t="s">
        <v>1940</v>
      </c>
      <c r="O10" s="26" t="s">
        <v>122</v>
      </c>
      <c r="P10" s="26" t="s">
        <v>123</v>
      </c>
      <c r="Q10" s="26" t="s">
        <v>124</v>
      </c>
      <c r="R10" s="23" t="s">
        <v>1943</v>
      </c>
      <c r="S10" s="26" t="s">
        <v>125</v>
      </c>
      <c r="T10" s="26" t="s">
        <v>1945</v>
      </c>
      <c r="U10" s="24" t="s">
        <v>126</v>
      </c>
      <c r="V10" s="55"/>
    </row>
    <row r="11" spans="4:22" s="8" customFormat="1" ht="15" thickBot="1">
      <c r="D11" s="3" t="s">
        <v>1544</v>
      </c>
      <c r="E11" s="25"/>
      <c r="F11" s="12" t="s">
        <v>1545</v>
      </c>
      <c r="G11" s="27" t="s">
        <v>1545</v>
      </c>
      <c r="H11" s="27" t="s">
        <v>1545</v>
      </c>
      <c r="I11" s="27" t="s">
        <v>1545</v>
      </c>
      <c r="J11" s="27" t="s">
        <v>1545</v>
      </c>
      <c r="K11" s="27" t="s">
        <v>1545</v>
      </c>
      <c r="L11" s="12" t="s">
        <v>1954</v>
      </c>
      <c r="M11" s="28" t="s">
        <v>1483</v>
      </c>
      <c r="N11" s="12" t="s">
        <v>1956</v>
      </c>
      <c r="O11" s="27" t="s">
        <v>127</v>
      </c>
      <c r="P11" s="27" t="s">
        <v>1549</v>
      </c>
      <c r="Q11" s="27" t="s">
        <v>127</v>
      </c>
      <c r="R11" s="12" t="s">
        <v>1956</v>
      </c>
      <c r="S11" s="27" t="s">
        <v>127</v>
      </c>
      <c r="T11" s="27" t="s">
        <v>1549</v>
      </c>
      <c r="U11" s="25" t="s">
        <v>1549</v>
      </c>
      <c r="V11" s="44"/>
    </row>
    <row r="12" spans="4:22">
      <c r="D12" s="3">
        <v>1</v>
      </c>
      <c r="E12" s="810" t="s">
        <v>141</v>
      </c>
      <c r="F12" s="345">
        <v>50</v>
      </c>
      <c r="G12" s="782">
        <v>32</v>
      </c>
      <c r="H12" s="783">
        <v>4.4000000000000004</v>
      </c>
      <c r="I12" s="783">
        <v>7</v>
      </c>
      <c r="J12" s="784">
        <v>6</v>
      </c>
      <c r="K12" s="739">
        <v>3.5</v>
      </c>
      <c r="L12" s="773">
        <v>6.16</v>
      </c>
      <c r="M12" s="748">
        <v>4.84</v>
      </c>
      <c r="N12" s="753">
        <v>22.8</v>
      </c>
      <c r="O12" s="794">
        <v>9.1</v>
      </c>
      <c r="P12" s="795">
        <v>1.92</v>
      </c>
      <c r="Q12" s="755">
        <v>5.61</v>
      </c>
      <c r="R12" s="808">
        <v>5.95</v>
      </c>
      <c r="S12" s="795">
        <v>2.99</v>
      </c>
      <c r="T12" s="756">
        <v>0.98</v>
      </c>
      <c r="U12" s="756">
        <v>1.21</v>
      </c>
    </row>
    <row r="13" spans="4:22">
      <c r="D13" s="3">
        <v>2</v>
      </c>
      <c r="E13" s="811" t="s">
        <v>142</v>
      </c>
      <c r="F13" s="351">
        <v>65</v>
      </c>
      <c r="G13" s="785">
        <v>36</v>
      </c>
      <c r="H13" s="786">
        <v>4.4000000000000004</v>
      </c>
      <c r="I13" s="786">
        <v>7.2</v>
      </c>
      <c r="J13" s="787">
        <v>6</v>
      </c>
      <c r="K13" s="740">
        <v>3.5</v>
      </c>
      <c r="L13" s="774">
        <v>7.51</v>
      </c>
      <c r="M13" s="749">
        <v>5.9</v>
      </c>
      <c r="N13" s="757">
        <v>48.8</v>
      </c>
      <c r="O13" s="796">
        <v>15</v>
      </c>
      <c r="P13" s="797">
        <v>2.5499999999999998</v>
      </c>
      <c r="Q13" s="759">
        <v>9.02</v>
      </c>
      <c r="R13" s="809">
        <v>9.35</v>
      </c>
      <c r="S13" s="797">
        <v>4.0599999999999996</v>
      </c>
      <c r="T13" s="760">
        <v>1.1200000000000001</v>
      </c>
      <c r="U13" s="760">
        <v>1.29</v>
      </c>
    </row>
    <row r="14" spans="4:22">
      <c r="D14" s="3">
        <v>3</v>
      </c>
      <c r="E14" s="812" t="s">
        <v>143</v>
      </c>
      <c r="F14" s="347">
        <v>80</v>
      </c>
      <c r="G14" s="788">
        <v>40</v>
      </c>
      <c r="H14" s="789">
        <v>4.5</v>
      </c>
      <c r="I14" s="789">
        <v>7.4</v>
      </c>
      <c r="J14" s="790">
        <v>6.5</v>
      </c>
      <c r="K14" s="741">
        <v>3.5</v>
      </c>
      <c r="L14" s="775">
        <v>8.98</v>
      </c>
      <c r="M14" s="750">
        <v>7.05</v>
      </c>
      <c r="N14" s="761">
        <v>89.8</v>
      </c>
      <c r="O14" s="798">
        <v>22.5</v>
      </c>
      <c r="P14" s="799">
        <v>3.16</v>
      </c>
      <c r="Q14" s="763">
        <v>13.3</v>
      </c>
      <c r="R14" s="761">
        <v>13.9</v>
      </c>
      <c r="S14" s="799">
        <v>3.31</v>
      </c>
      <c r="T14" s="764">
        <v>1.24</v>
      </c>
      <c r="U14" s="764">
        <v>1.38</v>
      </c>
    </row>
    <row r="15" spans="4:22">
      <c r="D15" s="3">
        <v>4</v>
      </c>
      <c r="E15" s="811" t="s">
        <v>144</v>
      </c>
      <c r="F15" s="351">
        <v>100</v>
      </c>
      <c r="G15" s="785">
        <v>46</v>
      </c>
      <c r="H15" s="786">
        <v>4.5</v>
      </c>
      <c r="I15" s="786">
        <v>7.6</v>
      </c>
      <c r="J15" s="787">
        <v>7</v>
      </c>
      <c r="K15" s="740">
        <v>4</v>
      </c>
      <c r="L15" s="774">
        <v>10.9</v>
      </c>
      <c r="M15" s="749">
        <v>8.59</v>
      </c>
      <c r="N15" s="757">
        <v>175</v>
      </c>
      <c r="O15" s="796">
        <v>34.9</v>
      </c>
      <c r="P15" s="797">
        <v>3.99</v>
      </c>
      <c r="Q15" s="759">
        <v>20.5</v>
      </c>
      <c r="R15" s="757">
        <v>22.6</v>
      </c>
      <c r="S15" s="797">
        <v>7.37</v>
      </c>
      <c r="T15" s="760">
        <v>1.44</v>
      </c>
      <c r="U15" s="760">
        <v>1.53</v>
      </c>
    </row>
    <row r="16" spans="4:22">
      <c r="D16" s="3">
        <v>5</v>
      </c>
      <c r="E16" s="812" t="s">
        <v>145</v>
      </c>
      <c r="F16" s="347">
        <v>120</v>
      </c>
      <c r="G16" s="788">
        <v>52</v>
      </c>
      <c r="H16" s="789">
        <v>4.8</v>
      </c>
      <c r="I16" s="789">
        <v>7.8</v>
      </c>
      <c r="J16" s="790">
        <v>7.5</v>
      </c>
      <c r="K16" s="741">
        <v>4.5</v>
      </c>
      <c r="L16" s="775">
        <v>13.3</v>
      </c>
      <c r="M16" s="750">
        <v>10.4</v>
      </c>
      <c r="N16" s="761">
        <v>305</v>
      </c>
      <c r="O16" s="798">
        <v>50.8</v>
      </c>
      <c r="P16" s="799">
        <v>4.79</v>
      </c>
      <c r="Q16" s="763">
        <v>29.7</v>
      </c>
      <c r="R16" s="761">
        <v>34.9</v>
      </c>
      <c r="S16" s="799">
        <v>9.84</v>
      </c>
      <c r="T16" s="764">
        <v>1.62</v>
      </c>
      <c r="U16" s="764">
        <v>1.66</v>
      </c>
    </row>
    <row r="17" spans="4:21">
      <c r="D17" s="3">
        <v>6</v>
      </c>
      <c r="E17" s="811" t="s">
        <v>146</v>
      </c>
      <c r="F17" s="351">
        <v>140</v>
      </c>
      <c r="G17" s="785">
        <v>58</v>
      </c>
      <c r="H17" s="786">
        <v>4.9000000000000004</v>
      </c>
      <c r="I17" s="786">
        <v>8.1</v>
      </c>
      <c r="J17" s="787">
        <v>8</v>
      </c>
      <c r="K17" s="740">
        <v>4.5</v>
      </c>
      <c r="L17" s="774">
        <v>15.6</v>
      </c>
      <c r="M17" s="749">
        <v>12.3</v>
      </c>
      <c r="N17" s="757">
        <v>493</v>
      </c>
      <c r="O17" s="796">
        <v>70.400000000000006</v>
      </c>
      <c r="P17" s="797">
        <v>5.61</v>
      </c>
      <c r="Q17" s="759">
        <v>40.9</v>
      </c>
      <c r="R17" s="757">
        <v>51.5</v>
      </c>
      <c r="S17" s="797">
        <v>12.9</v>
      </c>
      <c r="T17" s="760">
        <v>1.81</v>
      </c>
      <c r="U17" s="760">
        <v>1.82</v>
      </c>
    </row>
    <row r="18" spans="4:21">
      <c r="D18" s="3">
        <v>7</v>
      </c>
      <c r="E18" s="812" t="s">
        <v>147</v>
      </c>
      <c r="F18" s="347">
        <v>160</v>
      </c>
      <c r="G18" s="788">
        <v>64</v>
      </c>
      <c r="H18" s="789">
        <v>5</v>
      </c>
      <c r="I18" s="789">
        <v>8.4</v>
      </c>
      <c r="J18" s="790">
        <v>8.5</v>
      </c>
      <c r="K18" s="741">
        <v>5</v>
      </c>
      <c r="L18" s="775">
        <v>18.100000000000001</v>
      </c>
      <c r="M18" s="750">
        <v>14.2</v>
      </c>
      <c r="N18" s="761">
        <v>750</v>
      </c>
      <c r="O18" s="798">
        <v>93.8</v>
      </c>
      <c r="P18" s="799">
        <v>6.44</v>
      </c>
      <c r="Q18" s="763">
        <v>54.3</v>
      </c>
      <c r="R18" s="761">
        <v>72.8</v>
      </c>
      <c r="S18" s="799">
        <v>16.399999999999999</v>
      </c>
      <c r="T18" s="764">
        <v>2</v>
      </c>
      <c r="U18" s="764">
        <v>1.97</v>
      </c>
    </row>
    <row r="19" spans="4:21">
      <c r="D19" s="3">
        <v>8</v>
      </c>
      <c r="E19" s="811" t="s">
        <v>148</v>
      </c>
      <c r="F19" s="351">
        <v>160</v>
      </c>
      <c r="G19" s="785">
        <v>68</v>
      </c>
      <c r="H19" s="786">
        <v>5</v>
      </c>
      <c r="I19" s="786">
        <v>9</v>
      </c>
      <c r="J19" s="787">
        <v>8.5</v>
      </c>
      <c r="K19" s="740">
        <v>5</v>
      </c>
      <c r="L19" s="774">
        <v>19.5</v>
      </c>
      <c r="M19" s="749">
        <v>15.3</v>
      </c>
      <c r="N19" s="757">
        <v>827</v>
      </c>
      <c r="O19" s="796">
        <v>103</v>
      </c>
      <c r="P19" s="797">
        <v>6.51</v>
      </c>
      <c r="Q19" s="759">
        <v>59.5</v>
      </c>
      <c r="R19" s="757">
        <v>90.5</v>
      </c>
      <c r="S19" s="797">
        <v>19.600000000000001</v>
      </c>
      <c r="T19" s="760">
        <v>2.15</v>
      </c>
      <c r="U19" s="760">
        <v>2.19</v>
      </c>
    </row>
    <row r="20" spans="4:21">
      <c r="D20" s="3">
        <v>9</v>
      </c>
      <c r="E20" s="812" t="s">
        <v>149</v>
      </c>
      <c r="F20" s="347">
        <v>180</v>
      </c>
      <c r="G20" s="788">
        <v>70</v>
      </c>
      <c r="H20" s="789">
        <v>5.0999999999999996</v>
      </c>
      <c r="I20" s="789">
        <v>8.6999999999999993</v>
      </c>
      <c r="J20" s="790">
        <v>9</v>
      </c>
      <c r="K20" s="741">
        <v>5</v>
      </c>
      <c r="L20" s="775">
        <v>20.7</v>
      </c>
      <c r="M20" s="750">
        <v>16.3</v>
      </c>
      <c r="N20" s="761">
        <v>1090</v>
      </c>
      <c r="O20" s="798">
        <v>121</v>
      </c>
      <c r="P20" s="799">
        <v>7.26</v>
      </c>
      <c r="Q20" s="763">
        <v>70</v>
      </c>
      <c r="R20" s="761">
        <v>100</v>
      </c>
      <c r="S20" s="799">
        <v>20.6</v>
      </c>
      <c r="T20" s="764">
        <v>2.2000000000000002</v>
      </c>
      <c r="U20" s="764">
        <v>2.14</v>
      </c>
    </row>
    <row r="21" spans="4:21">
      <c r="D21" s="3">
        <v>10</v>
      </c>
      <c r="E21" s="811" t="s">
        <v>150</v>
      </c>
      <c r="F21" s="351">
        <v>180</v>
      </c>
      <c r="G21" s="785">
        <v>74</v>
      </c>
      <c r="H21" s="786">
        <v>5.0999999999999996</v>
      </c>
      <c r="I21" s="786">
        <v>9.3000000000000007</v>
      </c>
      <c r="J21" s="787">
        <v>9</v>
      </c>
      <c r="K21" s="740">
        <v>5</v>
      </c>
      <c r="L21" s="774">
        <v>22.2</v>
      </c>
      <c r="M21" s="749">
        <v>17.399999999999999</v>
      </c>
      <c r="N21" s="757">
        <v>1200</v>
      </c>
      <c r="O21" s="796">
        <v>133</v>
      </c>
      <c r="P21" s="797">
        <v>7.34</v>
      </c>
      <c r="Q21" s="759">
        <v>76.3</v>
      </c>
      <c r="R21" s="757">
        <v>123</v>
      </c>
      <c r="S21" s="797">
        <v>24.3</v>
      </c>
      <c r="T21" s="760">
        <v>2.35</v>
      </c>
      <c r="U21" s="760">
        <v>2.36</v>
      </c>
    </row>
    <row r="22" spans="4:21">
      <c r="D22" s="3">
        <v>11</v>
      </c>
      <c r="E22" s="812" t="s">
        <v>151</v>
      </c>
      <c r="F22" s="347">
        <v>200</v>
      </c>
      <c r="G22" s="788">
        <v>76</v>
      </c>
      <c r="H22" s="789">
        <v>5.2</v>
      </c>
      <c r="I22" s="789">
        <v>9</v>
      </c>
      <c r="J22" s="790">
        <v>9.5</v>
      </c>
      <c r="K22" s="741">
        <v>5.5</v>
      </c>
      <c r="L22" s="775">
        <v>23.4</v>
      </c>
      <c r="M22" s="750">
        <v>18.399999999999999</v>
      </c>
      <c r="N22" s="761">
        <v>1530</v>
      </c>
      <c r="O22" s="798">
        <v>153</v>
      </c>
      <c r="P22" s="799">
        <v>8.08</v>
      </c>
      <c r="Q22" s="763">
        <v>88</v>
      </c>
      <c r="R22" s="761">
        <v>134</v>
      </c>
      <c r="S22" s="799">
        <v>25.2</v>
      </c>
      <c r="T22" s="764">
        <v>2.39</v>
      </c>
      <c r="U22" s="764">
        <v>2.2999999999999998</v>
      </c>
    </row>
    <row r="23" spans="4:21">
      <c r="D23" s="3">
        <v>12</v>
      </c>
      <c r="E23" s="811" t="s">
        <v>152</v>
      </c>
      <c r="F23" s="351">
        <v>220</v>
      </c>
      <c r="G23" s="785">
        <v>82</v>
      </c>
      <c r="H23" s="786">
        <v>5.4</v>
      </c>
      <c r="I23" s="786">
        <v>9.5</v>
      </c>
      <c r="J23" s="787">
        <v>10</v>
      </c>
      <c r="K23" s="740">
        <v>6</v>
      </c>
      <c r="L23" s="774">
        <v>26.7</v>
      </c>
      <c r="M23" s="749">
        <v>21</v>
      </c>
      <c r="N23" s="757">
        <v>2120</v>
      </c>
      <c r="O23" s="796">
        <v>193</v>
      </c>
      <c r="P23" s="797">
        <v>8.9</v>
      </c>
      <c r="Q23" s="759">
        <v>111</v>
      </c>
      <c r="R23" s="757">
        <v>178</v>
      </c>
      <c r="S23" s="797">
        <v>31</v>
      </c>
      <c r="T23" s="760">
        <v>2.58</v>
      </c>
      <c r="U23" s="760">
        <v>2.4700000000000002</v>
      </c>
    </row>
    <row r="24" spans="4:21">
      <c r="D24" s="3">
        <v>13</v>
      </c>
      <c r="E24" s="812" t="s">
        <v>153</v>
      </c>
      <c r="F24" s="347">
        <v>240</v>
      </c>
      <c r="G24" s="788">
        <v>90</v>
      </c>
      <c r="H24" s="789">
        <v>5.6</v>
      </c>
      <c r="I24" s="789">
        <v>10</v>
      </c>
      <c r="J24" s="790">
        <v>10.5</v>
      </c>
      <c r="K24" s="741">
        <v>6</v>
      </c>
      <c r="L24" s="775">
        <v>30.6</v>
      </c>
      <c r="M24" s="750">
        <v>24</v>
      </c>
      <c r="N24" s="761">
        <v>2910</v>
      </c>
      <c r="O24" s="798">
        <v>243</v>
      </c>
      <c r="P24" s="799">
        <v>9.75</v>
      </c>
      <c r="Q24" s="763">
        <v>139</v>
      </c>
      <c r="R24" s="761">
        <v>248</v>
      </c>
      <c r="S24" s="799">
        <v>39.5</v>
      </c>
      <c r="T24" s="764">
        <v>2.85</v>
      </c>
      <c r="U24" s="764">
        <v>2.72</v>
      </c>
    </row>
    <row r="25" spans="4:21">
      <c r="D25" s="3">
        <v>14</v>
      </c>
      <c r="E25" s="811" t="s">
        <v>154</v>
      </c>
      <c r="F25" s="351">
        <v>270</v>
      </c>
      <c r="G25" s="785">
        <v>95</v>
      </c>
      <c r="H25" s="786">
        <v>6</v>
      </c>
      <c r="I25" s="786">
        <v>10.5</v>
      </c>
      <c r="J25" s="787">
        <v>11</v>
      </c>
      <c r="K25" s="740">
        <v>6.5</v>
      </c>
      <c r="L25" s="774">
        <v>35.200000000000003</v>
      </c>
      <c r="M25" s="749">
        <v>27.7</v>
      </c>
      <c r="N25" s="757">
        <v>4180</v>
      </c>
      <c r="O25" s="796">
        <v>310</v>
      </c>
      <c r="P25" s="797">
        <v>10.9</v>
      </c>
      <c r="Q25" s="759">
        <v>178</v>
      </c>
      <c r="R25" s="757">
        <v>314</v>
      </c>
      <c r="S25" s="797">
        <v>46.7</v>
      </c>
      <c r="T25" s="760">
        <v>2.99</v>
      </c>
      <c r="U25" s="760">
        <v>2.78</v>
      </c>
    </row>
    <row r="26" spans="4:21">
      <c r="D26" s="3">
        <v>15</v>
      </c>
      <c r="E26" s="812" t="s">
        <v>155</v>
      </c>
      <c r="F26" s="347">
        <v>300</v>
      </c>
      <c r="G26" s="788">
        <v>100</v>
      </c>
      <c r="H26" s="789">
        <v>6.5</v>
      </c>
      <c r="I26" s="789">
        <v>11</v>
      </c>
      <c r="J26" s="790">
        <v>12</v>
      </c>
      <c r="K26" s="741">
        <v>7</v>
      </c>
      <c r="L26" s="775">
        <v>40.5</v>
      </c>
      <c r="M26" s="750">
        <v>31.8</v>
      </c>
      <c r="N26" s="761">
        <v>5830</v>
      </c>
      <c r="O26" s="798">
        <v>389</v>
      </c>
      <c r="P26" s="799">
        <v>12</v>
      </c>
      <c r="Q26" s="763">
        <v>224</v>
      </c>
      <c r="R26" s="761">
        <v>393</v>
      </c>
      <c r="S26" s="799">
        <v>54.8</v>
      </c>
      <c r="T26" s="764">
        <v>3.12</v>
      </c>
      <c r="U26" s="764">
        <v>2.83</v>
      </c>
    </row>
    <row r="27" spans="4:21">
      <c r="D27" s="3">
        <v>16</v>
      </c>
      <c r="E27" s="811" t="s">
        <v>156</v>
      </c>
      <c r="F27" s="351">
        <v>330</v>
      </c>
      <c r="G27" s="785">
        <v>105</v>
      </c>
      <c r="H27" s="786">
        <v>7</v>
      </c>
      <c r="I27" s="786">
        <v>11.7</v>
      </c>
      <c r="J27" s="787">
        <v>13</v>
      </c>
      <c r="K27" s="740">
        <v>7.5</v>
      </c>
      <c r="L27" s="774">
        <v>46.5</v>
      </c>
      <c r="M27" s="749">
        <v>36.5</v>
      </c>
      <c r="N27" s="757">
        <v>8010.8</v>
      </c>
      <c r="O27" s="796">
        <v>486</v>
      </c>
      <c r="P27" s="797">
        <v>13.1</v>
      </c>
      <c r="Q27" s="759">
        <v>281</v>
      </c>
      <c r="R27" s="757">
        <v>491</v>
      </c>
      <c r="S27" s="797">
        <v>64.599999999999994</v>
      </c>
      <c r="T27" s="760">
        <v>3.25</v>
      </c>
      <c r="U27" s="760">
        <v>2.9</v>
      </c>
    </row>
    <row r="28" spans="4:21">
      <c r="D28" s="3">
        <v>17</v>
      </c>
      <c r="E28" s="812" t="s">
        <v>157</v>
      </c>
      <c r="F28" s="347">
        <v>360</v>
      </c>
      <c r="G28" s="788">
        <v>110</v>
      </c>
      <c r="H28" s="789">
        <v>7.5</v>
      </c>
      <c r="I28" s="789">
        <v>12.6</v>
      </c>
      <c r="J28" s="790">
        <v>14</v>
      </c>
      <c r="K28" s="741">
        <v>8.5</v>
      </c>
      <c r="L28" s="775">
        <v>53.4</v>
      </c>
      <c r="M28" s="750">
        <v>41.9</v>
      </c>
      <c r="N28" s="761">
        <v>10850</v>
      </c>
      <c r="O28" s="798">
        <v>603</v>
      </c>
      <c r="P28" s="799">
        <v>14.3</v>
      </c>
      <c r="Q28" s="763">
        <v>350</v>
      </c>
      <c r="R28" s="761">
        <v>611</v>
      </c>
      <c r="S28" s="799">
        <v>76.3</v>
      </c>
      <c r="T28" s="764">
        <v>3.38</v>
      </c>
      <c r="U28" s="764">
        <v>2.99</v>
      </c>
    </row>
    <row r="29" spans="4:21" ht="13.5" thickBot="1">
      <c r="D29" s="3">
        <v>18</v>
      </c>
      <c r="E29" s="813" t="s">
        <v>158</v>
      </c>
      <c r="F29" s="355">
        <v>400</v>
      </c>
      <c r="G29" s="791">
        <v>115</v>
      </c>
      <c r="H29" s="792">
        <v>8</v>
      </c>
      <c r="I29" s="792">
        <v>13.5</v>
      </c>
      <c r="J29" s="793">
        <v>15</v>
      </c>
      <c r="K29" s="751">
        <v>9</v>
      </c>
      <c r="L29" s="776">
        <v>61.5</v>
      </c>
      <c r="M29" s="752">
        <v>48.3</v>
      </c>
      <c r="N29" s="765">
        <v>15260</v>
      </c>
      <c r="O29" s="800">
        <v>763</v>
      </c>
      <c r="P29" s="801">
        <v>15.8</v>
      </c>
      <c r="Q29" s="767">
        <v>445</v>
      </c>
      <c r="R29" s="765">
        <v>760</v>
      </c>
      <c r="S29" s="801">
        <v>89.9</v>
      </c>
      <c r="T29" s="768">
        <v>3.51</v>
      </c>
      <c r="U29" s="768">
        <v>3.05</v>
      </c>
    </row>
    <row r="32" spans="4:21" hidden="1"/>
    <row r="33" spans="4:14" hidden="1"/>
    <row r="34" spans="4:14" hidden="1"/>
    <row r="35" spans="4:14" hidden="1">
      <c r="D35" s="423">
        <v>1</v>
      </c>
      <c r="E35" s="524" t="s">
        <v>130</v>
      </c>
    </row>
    <row r="36" spans="4:14" hidden="1">
      <c r="D36" s="423">
        <v>2</v>
      </c>
      <c r="E36" s="524" t="s">
        <v>131</v>
      </c>
    </row>
    <row r="37" spans="4:14" hidden="1">
      <c r="D37" s="423">
        <v>3</v>
      </c>
      <c r="E37" s="524" t="s">
        <v>132</v>
      </c>
    </row>
    <row r="38" spans="4:14" hidden="1">
      <c r="D38" s="423">
        <v>4</v>
      </c>
      <c r="E38" s="524" t="s">
        <v>133</v>
      </c>
    </row>
    <row r="39" spans="4:14" ht="13.5" hidden="1" thickBot="1">
      <c r="D39" s="423">
        <v>5</v>
      </c>
      <c r="E39" s="141" t="s">
        <v>1561</v>
      </c>
    </row>
    <row r="40" spans="4:14" ht="13.5" hidden="1" thickBot="1">
      <c r="D40" s="423">
        <v>6</v>
      </c>
      <c r="E40" s="141" t="s">
        <v>1564</v>
      </c>
      <c r="M40" s="1067">
        <v>1</v>
      </c>
      <c r="N40" s="603" t="s">
        <v>159</v>
      </c>
    </row>
    <row r="41" spans="4:14" ht="13.5" hidden="1" thickBot="1">
      <c r="D41" s="423">
        <v>7</v>
      </c>
      <c r="E41" s="141" t="s">
        <v>134</v>
      </c>
      <c r="M41" s="1068">
        <v>4</v>
      </c>
      <c r="N41" s="604" t="s">
        <v>135</v>
      </c>
    </row>
    <row r="42" spans="4:14" ht="14.25" hidden="1">
      <c r="D42" s="423">
        <v>8</v>
      </c>
      <c r="E42" s="141" t="s">
        <v>1995</v>
      </c>
    </row>
    <row r="43" spans="4:14" hidden="1">
      <c r="D43" s="423">
        <v>9</v>
      </c>
      <c r="E43" s="141" t="s">
        <v>1994</v>
      </c>
    </row>
    <row r="44" spans="4:14" ht="14.25" hidden="1">
      <c r="D44" s="423">
        <v>10</v>
      </c>
      <c r="E44" s="141" t="s">
        <v>1997</v>
      </c>
    </row>
    <row r="45" spans="4:14" ht="14.25" hidden="1">
      <c r="D45" s="423">
        <v>11</v>
      </c>
      <c r="E45" s="141" t="s">
        <v>1998</v>
      </c>
    </row>
    <row r="46" spans="4:14" hidden="1">
      <c r="D46" s="423">
        <v>12</v>
      </c>
      <c r="E46" s="141" t="s">
        <v>1568</v>
      </c>
    </row>
    <row r="47" spans="4:14" hidden="1">
      <c r="D47" s="423">
        <v>13</v>
      </c>
      <c r="E47" s="141" t="s">
        <v>136</v>
      </c>
    </row>
    <row r="48" spans="4:14" ht="14.25" hidden="1">
      <c r="D48" s="423">
        <v>14</v>
      </c>
      <c r="E48" s="141" t="s">
        <v>1999</v>
      </c>
    </row>
    <row r="49" spans="4:5" ht="14.25" hidden="1">
      <c r="D49" s="423">
        <v>15</v>
      </c>
      <c r="E49" s="141" t="s">
        <v>2000</v>
      </c>
    </row>
    <row r="50" spans="4:5" hidden="1">
      <c r="D50" s="423">
        <v>16</v>
      </c>
      <c r="E50" s="141" t="s">
        <v>2001</v>
      </c>
    </row>
    <row r="51" spans="4:5" hidden="1">
      <c r="D51" s="423">
        <v>17</v>
      </c>
      <c r="E51" s="141" t="s">
        <v>137</v>
      </c>
    </row>
    <row r="52" spans="4:5" hidden="1"/>
  </sheetData>
  <pageMargins left="0.75" right="0.75" top="1" bottom="1" header="0.5" footer="0.5"/>
  <pageSetup paperSize="9" orientation="landscape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Drop Down 1">
              <controlPr defaultSize="0" print="0" autoFill="0" autoLine="0" autoPict="0" macro="[0]!Мак1_для_листа4">
                <anchor moveWithCells="1">
                  <from>
                    <xdr:col>14</xdr:col>
                    <xdr:colOff>47625</xdr:colOff>
                    <xdr:row>1</xdr:row>
                    <xdr:rowOff>47625</xdr:rowOff>
                  </from>
                  <to>
                    <xdr:col>22</xdr:col>
                    <xdr:colOff>95250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print="0" autoFill="0" autoLine="0" autoPict="0" macro="[0]!Мак2_для_листа4">
                <anchor moveWithCells="1">
                  <from>
                    <xdr:col>14</xdr:col>
                    <xdr:colOff>66675</xdr:colOff>
                    <xdr:row>3</xdr:row>
                    <xdr:rowOff>0</xdr:rowOff>
                  </from>
                  <to>
                    <xdr:col>16</xdr:col>
                    <xdr:colOff>266700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locked="0" defaultSize="0" print="0" autoFill="0" autoLine="0" autoPict="0" macro="[0]!Вначало">
                <anchor moveWithCells="1">
                  <from>
                    <xdr:col>10</xdr:col>
                    <xdr:colOff>19050</xdr:colOff>
                    <xdr:row>0</xdr:row>
                    <xdr:rowOff>38100</xdr:rowOff>
                  </from>
                  <to>
                    <xdr:col>17</xdr:col>
                    <xdr:colOff>257175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7"/>
  <dimension ref="D1:W53"/>
  <sheetViews>
    <sheetView workbookViewId="0">
      <selection activeCell="F13" sqref="F13"/>
    </sheetView>
  </sheetViews>
  <sheetFormatPr defaultRowHeight="12.75"/>
  <cols>
    <col min="1" max="1" width="4.28515625" customWidth="1"/>
    <col min="2" max="2" width="7.5703125" customWidth="1"/>
    <col min="3" max="3" width="6.28515625" customWidth="1"/>
    <col min="4" max="4" width="3.85546875" customWidth="1"/>
    <col min="5" max="5" width="6" style="1" customWidth="1"/>
    <col min="6" max="6" width="4" style="1" customWidth="1"/>
    <col min="7" max="7" width="3" style="1" customWidth="1"/>
    <col min="8" max="8" width="3.5703125" style="1" customWidth="1"/>
    <col min="9" max="9" width="4.5703125" customWidth="1"/>
    <col min="10" max="10" width="3.85546875" customWidth="1"/>
    <col min="11" max="11" width="5.85546875" customWidth="1"/>
    <col min="12" max="12" width="7.5703125" customWidth="1"/>
    <col min="13" max="13" width="5.5703125" customWidth="1"/>
    <col min="14" max="14" width="6.42578125" customWidth="1"/>
    <col min="15" max="15" width="5.85546875" customWidth="1"/>
    <col min="16" max="16" width="5.42578125" customWidth="1"/>
    <col min="17" max="17" width="6.42578125" customWidth="1"/>
    <col min="18" max="18" width="5.5703125" customWidth="1"/>
    <col min="19" max="19" width="6.28515625" customWidth="1"/>
    <col min="20" max="21" width="5.42578125" customWidth="1"/>
    <col min="22" max="22" width="5.140625" customWidth="1"/>
  </cols>
  <sheetData>
    <row r="1" spans="4:23" ht="21.75" customHeight="1" thickBot="1">
      <c r="L1" s="35"/>
      <c r="M1" s="524"/>
      <c r="N1" s="35"/>
      <c r="O1" s="35"/>
      <c r="P1" s="34"/>
      <c r="Q1" s="34"/>
      <c r="R1" s="34"/>
      <c r="S1" s="34"/>
    </row>
    <row r="2" spans="4:23" ht="13.5" thickBot="1">
      <c r="F2" s="1105"/>
      <c r="G2" s="1106"/>
      <c r="H2" s="1106"/>
      <c r="I2" s="1071"/>
      <c r="J2" s="1071"/>
      <c r="K2" s="1071"/>
      <c r="L2" s="1072" t="s">
        <v>1924</v>
      </c>
      <c r="M2" s="1071"/>
      <c r="N2" s="1073"/>
      <c r="O2" s="1086"/>
      <c r="P2" s="1087"/>
      <c r="Q2" s="1087"/>
      <c r="R2" s="1087"/>
      <c r="S2" s="1087"/>
      <c r="T2" s="1087"/>
      <c r="U2" s="1087"/>
      <c r="V2" s="1087"/>
      <c r="W2" s="1089"/>
    </row>
    <row r="3" spans="4:23" ht="13.5" thickBot="1">
      <c r="F3" s="444"/>
      <c r="G3" s="445"/>
      <c r="H3" s="445"/>
      <c r="I3" s="363"/>
      <c r="J3" s="363"/>
      <c r="K3" s="1101"/>
      <c r="L3" s="1102">
        <v>23</v>
      </c>
      <c r="M3" s="1074">
        <f>K3*L3</f>
        <v>0</v>
      </c>
      <c r="N3" s="1075" t="s">
        <v>1483</v>
      </c>
      <c r="O3" s="393"/>
      <c r="P3" s="394"/>
      <c r="Q3" s="394"/>
      <c r="R3" s="394"/>
      <c r="S3" s="394"/>
      <c r="T3" s="394"/>
      <c r="U3" s="394"/>
      <c r="V3" s="394"/>
      <c r="W3" s="336"/>
    </row>
    <row r="4" spans="4:23" ht="13.5" thickBot="1">
      <c r="F4" s="444"/>
      <c r="G4" s="445"/>
      <c r="H4" s="445"/>
      <c r="I4" s="363"/>
      <c r="J4" s="363"/>
      <c r="K4" s="1101">
        <v>5</v>
      </c>
      <c r="L4" s="445">
        <f>L3</f>
        <v>23</v>
      </c>
      <c r="M4" s="1076">
        <f>IF(K4=0,0,K4/L4)</f>
        <v>0.21739130434782608</v>
      </c>
      <c r="N4" s="1077" t="s">
        <v>1926</v>
      </c>
      <c r="O4" s="393"/>
      <c r="P4" s="394"/>
      <c r="Q4" s="394"/>
      <c r="R4" s="394"/>
      <c r="S4" s="394"/>
      <c r="T4" s="394"/>
      <c r="U4" s="394"/>
      <c r="V4" s="394"/>
      <c r="W4" s="336"/>
    </row>
    <row r="5" spans="4:23" ht="13.5" thickBot="1">
      <c r="D5" s="2"/>
      <c r="F5" s="444"/>
      <c r="G5" s="445"/>
      <c r="H5" s="445"/>
      <c r="I5" s="445"/>
      <c r="J5" s="364" t="s">
        <v>1486</v>
      </c>
      <c r="K5" s="445"/>
      <c r="L5" s="1069">
        <v>29.3</v>
      </c>
      <c r="M5" s="445"/>
      <c r="N5" s="1078" t="s">
        <v>110</v>
      </c>
      <c r="O5" s="730"/>
      <c r="P5" s="728"/>
      <c r="Q5" s="728"/>
      <c r="R5" s="728"/>
      <c r="S5" s="728"/>
      <c r="T5" s="728"/>
      <c r="U5" s="728"/>
      <c r="V5" s="728"/>
      <c r="W5" s="336"/>
    </row>
    <row r="6" spans="4:23" ht="13.5" customHeight="1" thickBot="1">
      <c r="D6" s="2"/>
      <c r="F6" s="444"/>
      <c r="G6" s="1079"/>
      <c r="H6" s="1080"/>
      <c r="I6" s="1081"/>
      <c r="J6" s="1082" t="s">
        <v>1488</v>
      </c>
      <c r="K6" s="1081"/>
      <c r="L6" s="1112">
        <v>180</v>
      </c>
      <c r="M6" s="1083"/>
      <c r="N6" s="1113" t="str">
        <f>CHOOSE(M40,E9,F11,G11,H11,I11,J11,K11,L11,M11,N11,O11,P11,Q11,R11,S11,T11,U11)</f>
        <v>мм</v>
      </c>
      <c r="O6" s="730"/>
      <c r="P6" s="728"/>
      <c r="Q6" s="728"/>
      <c r="R6" s="728"/>
      <c r="S6" s="728"/>
      <c r="T6" s="728"/>
      <c r="U6" s="394"/>
      <c r="V6" s="394"/>
      <c r="W6" s="336"/>
    </row>
    <row r="7" spans="4:23" ht="10.5" customHeight="1" thickBot="1">
      <c r="D7" s="2"/>
      <c r="F7" s="1107"/>
      <c r="G7" s="1084"/>
      <c r="H7" s="1084"/>
      <c r="I7" s="1084"/>
      <c r="J7" s="1108"/>
      <c r="K7" s="1084"/>
      <c r="L7" s="1109"/>
      <c r="M7" s="1110"/>
      <c r="N7" s="1111"/>
      <c r="O7" s="732"/>
      <c r="P7" s="733"/>
      <c r="Q7" s="733"/>
      <c r="R7" s="733"/>
      <c r="S7" s="733"/>
      <c r="T7" s="733"/>
      <c r="U7" s="402"/>
      <c r="V7" s="402"/>
      <c r="W7" s="337"/>
    </row>
    <row r="8" spans="4:23" ht="13.5" customHeight="1" thickBot="1">
      <c r="D8" s="2"/>
      <c r="I8" s="1"/>
      <c r="J8" s="1"/>
      <c r="K8" s="1"/>
      <c r="L8" s="1"/>
      <c r="M8" s="807" t="s">
        <v>160</v>
      </c>
      <c r="N8" s="1"/>
      <c r="O8" s="1"/>
      <c r="P8" s="1"/>
      <c r="Q8" s="1"/>
      <c r="R8" s="1"/>
      <c r="S8" s="1"/>
      <c r="T8" s="1"/>
      <c r="U8" s="1"/>
      <c r="V8" s="1"/>
    </row>
    <row r="9" spans="4:23" ht="24.75">
      <c r="E9" s="49" t="s">
        <v>1544</v>
      </c>
      <c r="F9" s="18"/>
      <c r="G9" s="19"/>
      <c r="H9" s="19"/>
      <c r="I9" s="19"/>
      <c r="J9" s="19"/>
      <c r="K9" s="20"/>
      <c r="L9" s="6" t="s">
        <v>112</v>
      </c>
      <c r="M9" s="6" t="s">
        <v>1491</v>
      </c>
      <c r="N9" s="4" t="s">
        <v>113</v>
      </c>
      <c r="O9" s="21" t="s">
        <v>114</v>
      </c>
      <c r="P9" s="21" t="s">
        <v>115</v>
      </c>
      <c r="Q9" s="21" t="s">
        <v>116</v>
      </c>
      <c r="R9" s="4" t="s">
        <v>117</v>
      </c>
      <c r="S9" s="21" t="s">
        <v>118</v>
      </c>
      <c r="T9" s="21" t="s">
        <v>118</v>
      </c>
      <c r="U9" s="22"/>
      <c r="V9" s="54"/>
    </row>
    <row r="10" spans="4:23" s="17" customFormat="1" ht="18.75">
      <c r="E10" s="50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1532</v>
      </c>
      <c r="K10" s="26" t="s">
        <v>1533</v>
      </c>
      <c r="L10" s="23" t="s">
        <v>1531</v>
      </c>
      <c r="M10" s="23" t="s">
        <v>1530</v>
      </c>
      <c r="N10" s="23" t="s">
        <v>1940</v>
      </c>
      <c r="O10" s="26" t="s">
        <v>122</v>
      </c>
      <c r="P10" s="26" t="s">
        <v>123</v>
      </c>
      <c r="Q10" s="26" t="s">
        <v>124</v>
      </c>
      <c r="R10" s="23" t="s">
        <v>1943</v>
      </c>
      <c r="S10" s="26" t="s">
        <v>125</v>
      </c>
      <c r="T10" s="26" t="s">
        <v>1945</v>
      </c>
      <c r="U10" s="24" t="s">
        <v>126</v>
      </c>
      <c r="V10" s="55"/>
    </row>
    <row r="11" spans="4:23" s="8" customFormat="1" ht="15" thickBot="1">
      <c r="D11" s="3" t="s">
        <v>1544</v>
      </c>
      <c r="E11" s="25"/>
      <c r="F11" s="12" t="s">
        <v>1545</v>
      </c>
      <c r="G11" s="27" t="s">
        <v>1545</v>
      </c>
      <c r="H11" s="27" t="s">
        <v>1545</v>
      </c>
      <c r="I11" s="27" t="s">
        <v>1545</v>
      </c>
      <c r="J11" s="27" t="s">
        <v>1545</v>
      </c>
      <c r="K11" s="27" t="s">
        <v>1545</v>
      </c>
      <c r="L11" s="12" t="s">
        <v>1954</v>
      </c>
      <c r="M11" s="28" t="s">
        <v>1483</v>
      </c>
      <c r="N11" s="12" t="s">
        <v>1956</v>
      </c>
      <c r="O11" s="27" t="s">
        <v>127</v>
      </c>
      <c r="P11" s="27" t="s">
        <v>1549</v>
      </c>
      <c r="Q11" s="27" t="s">
        <v>127</v>
      </c>
      <c r="R11" s="12" t="s">
        <v>1956</v>
      </c>
      <c r="S11" s="27" t="s">
        <v>127</v>
      </c>
      <c r="T11" s="27" t="s">
        <v>1549</v>
      </c>
      <c r="U11" s="25" t="s">
        <v>1549</v>
      </c>
      <c r="V11" s="44"/>
    </row>
    <row r="12" spans="4:23">
      <c r="D12" s="3">
        <v>1</v>
      </c>
      <c r="E12" s="769" t="s">
        <v>161</v>
      </c>
      <c r="F12" s="814">
        <v>180</v>
      </c>
      <c r="G12" s="816">
        <v>68</v>
      </c>
      <c r="H12" s="820">
        <v>7</v>
      </c>
      <c r="I12" s="783">
        <v>10.5</v>
      </c>
      <c r="J12" s="784">
        <v>10.5</v>
      </c>
      <c r="K12" s="739">
        <v>5.3</v>
      </c>
      <c r="L12" s="773">
        <v>25.7</v>
      </c>
      <c r="M12" s="777">
        <v>20.2</v>
      </c>
      <c r="N12" s="754">
        <v>1272</v>
      </c>
      <c r="O12" s="794">
        <v>141</v>
      </c>
      <c r="P12" s="795">
        <v>7.04</v>
      </c>
      <c r="Q12" s="755">
        <v>83.5</v>
      </c>
      <c r="R12" s="753">
        <v>98.5</v>
      </c>
      <c r="S12" s="795">
        <v>20.100000000000001</v>
      </c>
      <c r="T12" s="755">
        <v>1.96</v>
      </c>
      <c r="U12" s="778">
        <v>1.88</v>
      </c>
    </row>
    <row r="13" spans="4:23">
      <c r="D13" s="3">
        <v>2</v>
      </c>
      <c r="E13" s="770" t="s">
        <v>162</v>
      </c>
      <c r="F13" s="746">
        <v>180</v>
      </c>
      <c r="G13" s="817">
        <v>70</v>
      </c>
      <c r="H13" s="821">
        <v>9</v>
      </c>
      <c r="I13" s="786">
        <v>10.5</v>
      </c>
      <c r="J13" s="787">
        <v>10.5</v>
      </c>
      <c r="K13" s="740">
        <v>5.3</v>
      </c>
      <c r="L13" s="774">
        <v>29.3</v>
      </c>
      <c r="M13" s="774">
        <v>23</v>
      </c>
      <c r="N13" s="758">
        <v>1370</v>
      </c>
      <c r="O13" s="796">
        <v>152</v>
      </c>
      <c r="P13" s="797">
        <v>6.84</v>
      </c>
      <c r="Q13" s="759">
        <v>91.6</v>
      </c>
      <c r="R13" s="757">
        <v>111</v>
      </c>
      <c r="S13" s="797">
        <v>21.3</v>
      </c>
      <c r="T13" s="759">
        <v>1.95</v>
      </c>
      <c r="U13" s="779">
        <v>1.84</v>
      </c>
    </row>
    <row r="14" spans="4:23">
      <c r="D14" s="3">
        <v>3</v>
      </c>
      <c r="E14" s="771" t="s">
        <v>163</v>
      </c>
      <c r="F14" s="745">
        <v>200</v>
      </c>
      <c r="G14" s="818">
        <v>73</v>
      </c>
      <c r="H14" s="822">
        <v>7</v>
      </c>
      <c r="I14" s="789">
        <v>11</v>
      </c>
      <c r="J14" s="790">
        <v>11</v>
      </c>
      <c r="K14" s="741">
        <v>5.5</v>
      </c>
      <c r="L14" s="775">
        <v>28.8</v>
      </c>
      <c r="M14" s="775">
        <v>22.6</v>
      </c>
      <c r="N14" s="762">
        <v>1780</v>
      </c>
      <c r="O14" s="798">
        <v>178</v>
      </c>
      <c r="P14" s="799">
        <v>7.86</v>
      </c>
      <c r="Q14" s="763">
        <v>104.7</v>
      </c>
      <c r="R14" s="761">
        <v>128</v>
      </c>
      <c r="S14" s="799">
        <v>24.2</v>
      </c>
      <c r="T14" s="763">
        <v>2.11</v>
      </c>
      <c r="U14" s="780">
        <v>2.0099999999999998</v>
      </c>
    </row>
    <row r="15" spans="4:23" ht="13.5" thickBot="1">
      <c r="D15" s="3">
        <v>4</v>
      </c>
      <c r="E15" s="772" t="s">
        <v>164</v>
      </c>
      <c r="F15" s="815">
        <v>300</v>
      </c>
      <c r="G15" s="819">
        <v>87</v>
      </c>
      <c r="H15" s="823">
        <v>9.5</v>
      </c>
      <c r="I15" s="792">
        <v>13.5</v>
      </c>
      <c r="J15" s="793">
        <v>13.5</v>
      </c>
      <c r="K15" s="751">
        <v>6.8</v>
      </c>
      <c r="L15" s="776">
        <v>49.6</v>
      </c>
      <c r="M15" s="776">
        <v>39.1</v>
      </c>
      <c r="N15" s="766">
        <v>6500</v>
      </c>
      <c r="O15" s="800">
        <v>433</v>
      </c>
      <c r="P15" s="801">
        <v>11.4</v>
      </c>
      <c r="Q15" s="767">
        <v>259.7</v>
      </c>
      <c r="R15" s="765">
        <v>289</v>
      </c>
      <c r="S15" s="801">
        <v>44</v>
      </c>
      <c r="T15" s="767">
        <v>2.41</v>
      </c>
      <c r="U15" s="781">
        <v>2.13</v>
      </c>
    </row>
    <row r="16" spans="4:23">
      <c r="D16" s="3"/>
      <c r="H16" s="37"/>
      <c r="I16" s="136"/>
      <c r="J16" s="138"/>
      <c r="K16" s="138"/>
      <c r="L16" s="46"/>
      <c r="M16" s="46"/>
      <c r="N16" s="137"/>
      <c r="O16" s="137"/>
      <c r="P16" s="139"/>
      <c r="Q16" s="139"/>
      <c r="R16" s="137"/>
      <c r="S16" s="139"/>
      <c r="T16" s="139"/>
      <c r="U16" s="139"/>
    </row>
    <row r="17" spans="4:21">
      <c r="D17" s="3"/>
      <c r="H17" s="37"/>
      <c r="I17" s="136"/>
      <c r="J17" s="138"/>
      <c r="K17" s="138"/>
      <c r="L17" s="46"/>
      <c r="M17" s="46"/>
      <c r="N17" s="137"/>
      <c r="O17" s="137"/>
      <c r="P17" s="139"/>
      <c r="Q17" s="139"/>
      <c r="R17" s="137"/>
      <c r="S17" s="139"/>
      <c r="T17" s="139"/>
      <c r="U17" s="139"/>
    </row>
    <row r="18" spans="4:21">
      <c r="D18" s="3"/>
      <c r="H18" s="37"/>
      <c r="I18" s="136"/>
      <c r="J18" s="138"/>
      <c r="K18" s="138"/>
      <c r="L18" s="46"/>
      <c r="M18" s="46"/>
      <c r="N18" s="137"/>
      <c r="O18" s="137"/>
      <c r="P18" s="139"/>
      <c r="Q18" s="139"/>
      <c r="R18" s="137"/>
      <c r="S18" s="139"/>
      <c r="T18" s="139"/>
      <c r="U18" s="139"/>
    </row>
    <row r="19" spans="4:21">
      <c r="D19" s="3"/>
      <c r="H19" s="37"/>
      <c r="I19" s="136"/>
      <c r="J19" s="138"/>
      <c r="K19" s="138"/>
      <c r="L19" s="46"/>
      <c r="M19" s="46"/>
      <c r="N19" s="137"/>
      <c r="O19" s="137"/>
      <c r="P19" s="139"/>
      <c r="Q19" s="139"/>
      <c r="R19" s="137"/>
      <c r="S19" s="139"/>
      <c r="T19" s="139"/>
      <c r="U19" s="139"/>
    </row>
    <row r="20" spans="4:21">
      <c r="D20" s="3"/>
      <c r="H20" s="37"/>
      <c r="I20" s="136"/>
      <c r="J20" s="138"/>
      <c r="K20" s="138"/>
      <c r="L20" s="46"/>
      <c r="M20" s="46"/>
      <c r="N20" s="137"/>
      <c r="O20" s="137"/>
      <c r="P20" s="139"/>
      <c r="Q20" s="139"/>
      <c r="R20" s="137"/>
      <c r="S20" s="139"/>
      <c r="T20" s="139"/>
      <c r="U20" s="139"/>
    </row>
    <row r="21" spans="4:21" hidden="1">
      <c r="D21" s="3"/>
      <c r="H21" s="37"/>
      <c r="I21" s="136"/>
      <c r="J21" s="138"/>
      <c r="K21" s="138"/>
      <c r="L21" s="46"/>
      <c r="M21" s="46"/>
      <c r="N21" s="137"/>
      <c r="O21" s="137"/>
      <c r="P21" s="139"/>
      <c r="Q21" s="139"/>
      <c r="R21" s="137"/>
      <c r="S21" s="139"/>
      <c r="T21" s="139"/>
      <c r="U21" s="139"/>
    </row>
    <row r="22" spans="4:21" hidden="1">
      <c r="D22" s="3"/>
      <c r="H22" s="37"/>
      <c r="I22" s="136"/>
      <c r="J22" s="138"/>
      <c r="K22" s="138"/>
      <c r="L22" s="46"/>
      <c r="M22" s="46"/>
      <c r="N22" s="137"/>
      <c r="O22" s="137"/>
      <c r="P22" s="139"/>
      <c r="Q22" s="139"/>
      <c r="R22" s="137"/>
      <c r="S22" s="139"/>
      <c r="T22" s="139"/>
      <c r="U22" s="139"/>
    </row>
    <row r="23" spans="4:21" hidden="1">
      <c r="D23" s="3"/>
      <c r="H23" s="37"/>
      <c r="I23" s="136"/>
      <c r="J23" s="138"/>
      <c r="K23" s="138"/>
      <c r="L23" s="46"/>
      <c r="M23" s="46"/>
      <c r="N23" s="137"/>
      <c r="O23" s="137"/>
      <c r="P23" s="139"/>
      <c r="Q23" s="139"/>
      <c r="R23" s="137"/>
      <c r="S23" s="139"/>
      <c r="T23" s="139"/>
      <c r="U23" s="139"/>
    </row>
    <row r="24" spans="4:21" ht="18.75" hidden="1">
      <c r="D24" s="3"/>
      <c r="H24" s="37"/>
      <c r="I24" s="136"/>
      <c r="J24" s="138"/>
      <c r="K24" s="138"/>
      <c r="L24" s="1" t="s">
        <v>138</v>
      </c>
      <c r="M24" s="1"/>
      <c r="O24" s="137"/>
      <c r="P24" s="139"/>
      <c r="Q24" s="139"/>
      <c r="R24" s="137"/>
      <c r="S24" s="139"/>
      <c r="T24" s="139"/>
      <c r="U24" s="139"/>
    </row>
    <row r="25" spans="4:21" ht="15.75" hidden="1">
      <c r="D25" s="3"/>
      <c r="H25" s="37"/>
      <c r="I25" s="136"/>
      <c r="J25" s="138"/>
      <c r="K25" s="138"/>
      <c r="M25" s="69" t="s">
        <v>165</v>
      </c>
      <c r="N25">
        <v>0.78522042646277002</v>
      </c>
      <c r="O25" s="137"/>
      <c r="P25" s="139"/>
      <c r="Q25" s="139"/>
      <c r="R25" s="137"/>
      <c r="S25" s="139"/>
      <c r="T25" s="139"/>
      <c r="U25" s="139"/>
    </row>
    <row r="26" spans="4:21" hidden="1">
      <c r="D26" s="3"/>
      <c r="H26" s="37"/>
      <c r="I26" s="136"/>
      <c r="J26" s="138"/>
      <c r="K26" s="138"/>
      <c r="L26" s="46"/>
      <c r="M26" s="46"/>
      <c r="N26" s="137"/>
      <c r="O26" s="137"/>
      <c r="P26" s="139"/>
      <c r="Q26" s="139"/>
      <c r="R26" s="137"/>
      <c r="S26" s="139"/>
      <c r="T26" s="139"/>
      <c r="U26" s="139"/>
    </row>
    <row r="27" spans="4:21" hidden="1">
      <c r="D27" s="3"/>
      <c r="H27" s="37"/>
      <c r="I27" s="136"/>
      <c r="J27" s="138"/>
      <c r="K27" s="138"/>
      <c r="L27" s="46"/>
      <c r="M27" s="46"/>
      <c r="N27" s="137"/>
      <c r="O27" s="137"/>
      <c r="P27" s="139"/>
      <c r="Q27" s="139"/>
      <c r="R27" s="137"/>
      <c r="S27" s="139"/>
      <c r="T27" s="139"/>
      <c r="U27" s="139"/>
    </row>
    <row r="28" spans="4:21" hidden="1">
      <c r="D28" s="3"/>
      <c r="H28" s="37"/>
      <c r="I28" s="136"/>
      <c r="J28" s="138"/>
      <c r="K28" s="138"/>
      <c r="L28" s="46"/>
      <c r="M28" s="46"/>
      <c r="N28" s="137"/>
      <c r="O28" s="137"/>
      <c r="P28" s="139"/>
      <c r="Q28" s="139"/>
      <c r="R28" s="137"/>
      <c r="S28" s="139"/>
      <c r="T28" s="139"/>
      <c r="U28" s="139"/>
    </row>
    <row r="29" spans="4:21" hidden="1">
      <c r="D29" s="3"/>
      <c r="H29" s="37"/>
      <c r="I29" s="136"/>
      <c r="J29" s="138"/>
      <c r="K29" s="138"/>
      <c r="L29" s="46"/>
      <c r="M29" s="46"/>
      <c r="N29" s="137"/>
      <c r="O29" s="137"/>
      <c r="P29" s="139"/>
      <c r="Q29" s="139"/>
      <c r="R29" s="137"/>
      <c r="S29" s="139"/>
      <c r="T29" s="139"/>
      <c r="U29" s="139"/>
    </row>
    <row r="30" spans="4:21" hidden="1"/>
    <row r="31" spans="4:21" hidden="1"/>
    <row r="32" spans="4:21" hidden="1"/>
    <row r="33" spans="4:14" hidden="1"/>
    <row r="34" spans="4:14" hidden="1"/>
    <row r="35" spans="4:14" hidden="1">
      <c r="D35" s="423">
        <v>1</v>
      </c>
      <c r="E35" s="35" t="s">
        <v>130</v>
      </c>
    </row>
    <row r="36" spans="4:14" hidden="1">
      <c r="D36" s="423">
        <v>2</v>
      </c>
      <c r="E36" s="35" t="s">
        <v>131</v>
      </c>
    </row>
    <row r="37" spans="4:14" hidden="1">
      <c r="D37" s="423">
        <v>3</v>
      </c>
      <c r="E37" s="35" t="s">
        <v>132</v>
      </c>
    </row>
    <row r="38" spans="4:14" hidden="1">
      <c r="D38" s="423">
        <v>4</v>
      </c>
      <c r="E38" s="35" t="s">
        <v>133</v>
      </c>
    </row>
    <row r="39" spans="4:14" ht="13.5" hidden="1" thickBot="1">
      <c r="D39" s="423">
        <v>5</v>
      </c>
      <c r="E39" s="1" t="s">
        <v>1561</v>
      </c>
    </row>
    <row r="40" spans="4:14" ht="13.5" hidden="1" thickBot="1">
      <c r="D40" s="423">
        <v>6</v>
      </c>
      <c r="E40" s="1" t="s">
        <v>1564</v>
      </c>
      <c r="M40" s="1067">
        <v>2</v>
      </c>
      <c r="N40" s="603" t="s">
        <v>159</v>
      </c>
    </row>
    <row r="41" spans="4:14" ht="13.5" hidden="1" thickBot="1">
      <c r="D41" s="423">
        <v>7</v>
      </c>
      <c r="E41" s="1" t="s">
        <v>134</v>
      </c>
      <c r="M41" s="1068">
        <v>2</v>
      </c>
      <c r="N41" s="604" t="s">
        <v>135</v>
      </c>
    </row>
    <row r="42" spans="4:14" ht="14.25" hidden="1">
      <c r="D42" s="423">
        <v>8</v>
      </c>
      <c r="E42" s="1" t="s">
        <v>1995</v>
      </c>
    </row>
    <row r="43" spans="4:14" hidden="1">
      <c r="D43" s="423">
        <v>9</v>
      </c>
      <c r="E43" s="1" t="s">
        <v>1994</v>
      </c>
    </row>
    <row r="44" spans="4:14" ht="14.25" hidden="1">
      <c r="D44" s="423">
        <v>10</v>
      </c>
      <c r="E44" s="1" t="s">
        <v>1997</v>
      </c>
    </row>
    <row r="45" spans="4:14" ht="14.25" hidden="1">
      <c r="D45" s="423">
        <v>11</v>
      </c>
      <c r="E45" s="1" t="s">
        <v>1998</v>
      </c>
    </row>
    <row r="46" spans="4:14" hidden="1">
      <c r="D46" s="423">
        <v>12</v>
      </c>
      <c r="E46" s="1" t="s">
        <v>1568</v>
      </c>
    </row>
    <row r="47" spans="4:14" hidden="1">
      <c r="D47" s="423">
        <v>13</v>
      </c>
      <c r="E47" s="1" t="s">
        <v>136</v>
      </c>
    </row>
    <row r="48" spans="4:14" ht="14.25" hidden="1">
      <c r="D48" s="423">
        <v>14</v>
      </c>
      <c r="E48" s="1" t="s">
        <v>1999</v>
      </c>
    </row>
    <row r="49" spans="4:5" ht="14.25" hidden="1">
      <c r="D49" s="423">
        <v>15</v>
      </c>
      <c r="E49" s="1" t="s">
        <v>2000</v>
      </c>
    </row>
    <row r="50" spans="4:5" hidden="1">
      <c r="D50" s="423">
        <v>16</v>
      </c>
      <c r="E50" s="1" t="s">
        <v>2001</v>
      </c>
    </row>
    <row r="51" spans="4:5" hidden="1">
      <c r="D51" s="423">
        <v>17</v>
      </c>
      <c r="E51" s="1" t="s">
        <v>137</v>
      </c>
    </row>
    <row r="52" spans="4:5" hidden="1"/>
    <row r="53" spans="4:5" hidden="1"/>
  </sheetData>
  <pageMargins left="0.75" right="0.75" top="1" bottom="1" header="0.5" footer="0.5"/>
  <headerFooter alignWithMargins="0">
    <oddHeader>&amp;A</oddHeader>
    <oddFooter>Страница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print="0" autoFill="0" autoLine="0" autoPict="0" macro="[0]!Мак1_для_листа5">
                <anchor moveWithCells="1">
                  <from>
                    <xdr:col>14</xdr:col>
                    <xdr:colOff>57150</xdr:colOff>
                    <xdr:row>2</xdr:row>
                    <xdr:rowOff>9525</xdr:rowOff>
                  </from>
                  <to>
                    <xdr:col>22</xdr:col>
                    <xdr:colOff>171450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Drop Down 2">
              <controlPr defaultSize="0" print="0" autoFill="0" autoLine="0" autoPict="0" macro="[0]!Мак2_для_листа5">
                <anchor moveWithCells="1">
                  <from>
                    <xdr:col>14</xdr:col>
                    <xdr:colOff>95250</xdr:colOff>
                    <xdr:row>3</xdr:row>
                    <xdr:rowOff>95250</xdr:rowOff>
                  </from>
                  <to>
                    <xdr:col>16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Line="0" autoPict="0" macro="[0]!Вначало">
                <anchor moveWithCells="1">
                  <from>
                    <xdr:col>11</xdr:col>
                    <xdr:colOff>171450</xdr:colOff>
                    <xdr:row>0</xdr:row>
                    <xdr:rowOff>47625</xdr:rowOff>
                  </from>
                  <to>
                    <xdr:col>18</xdr:col>
                    <xdr:colOff>200025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8"/>
  <dimension ref="D1:U52"/>
  <sheetViews>
    <sheetView workbookViewId="0">
      <pane ySplit="11" topLeftCell="A12" activePane="bottomLeft" state="frozenSplit"/>
      <selection pane="bottomLeft"/>
    </sheetView>
  </sheetViews>
  <sheetFormatPr defaultRowHeight="12.75"/>
  <cols>
    <col min="1" max="1" width="6" customWidth="1"/>
    <col min="2" max="2" width="5.28515625" customWidth="1"/>
    <col min="3" max="3" width="6.42578125" customWidth="1"/>
    <col min="4" max="4" width="3.85546875" customWidth="1"/>
    <col min="5" max="5" width="6.42578125" customWidth="1"/>
    <col min="6" max="6" width="4.85546875" customWidth="1"/>
    <col min="7" max="8" width="4.7109375" customWidth="1"/>
    <col min="9" max="9" width="4.5703125" customWidth="1"/>
    <col min="10" max="10" width="4.28515625" customWidth="1"/>
    <col min="11" max="11" width="5.42578125" style="1" customWidth="1"/>
    <col min="12" max="12" width="7.5703125" customWidth="1"/>
    <col min="13" max="13" width="6.28515625" customWidth="1"/>
    <col min="14" max="14" width="6" customWidth="1"/>
    <col min="15" max="16" width="5.85546875" customWidth="1"/>
    <col min="17" max="18" width="6.42578125" customWidth="1"/>
    <col min="19" max="19" width="6.28515625" customWidth="1"/>
    <col min="20" max="20" width="5.42578125" customWidth="1"/>
    <col min="21" max="21" width="5.140625" customWidth="1"/>
  </cols>
  <sheetData>
    <row r="1" spans="4:21" ht="22.5" customHeight="1" thickBot="1"/>
    <row r="2" spans="4:21" ht="14.25" customHeight="1" thickBot="1">
      <c r="F2" s="1086"/>
      <c r="G2" s="1087"/>
      <c r="H2" s="1087"/>
      <c r="I2" s="1087"/>
      <c r="J2" s="1087"/>
      <c r="K2" s="729"/>
      <c r="L2" s="1088" t="s">
        <v>1924</v>
      </c>
      <c r="M2" s="1087"/>
      <c r="N2" s="1089"/>
      <c r="O2" s="1114"/>
      <c r="P2" s="1115"/>
      <c r="Q2" s="1115"/>
      <c r="R2" s="1115"/>
      <c r="S2" s="1115"/>
      <c r="T2" s="1115"/>
      <c r="U2" s="1116"/>
    </row>
    <row r="3" spans="4:21" ht="13.5" thickBot="1">
      <c r="F3" s="393"/>
      <c r="G3" s="394"/>
      <c r="H3" s="394"/>
      <c r="I3" s="394"/>
      <c r="J3" s="394"/>
      <c r="K3" s="1123">
        <v>10</v>
      </c>
      <c r="L3" s="1102">
        <v>9.4600000000000009</v>
      </c>
      <c r="M3" s="1090">
        <f>K3*L3</f>
        <v>94.600000000000009</v>
      </c>
      <c r="N3" s="1091" t="s">
        <v>1483</v>
      </c>
      <c r="O3" s="371"/>
      <c r="P3" s="372"/>
      <c r="Q3" s="372"/>
      <c r="R3" s="372"/>
      <c r="S3" s="372"/>
      <c r="T3" s="372"/>
      <c r="U3" s="373"/>
    </row>
    <row r="4" spans="4:21" ht="13.5" thickBot="1">
      <c r="F4" s="393"/>
      <c r="G4" s="394"/>
      <c r="H4" s="394"/>
      <c r="I4" s="394"/>
      <c r="J4" s="394"/>
      <c r="K4" s="1123">
        <v>2</v>
      </c>
      <c r="L4" s="728">
        <f>L3</f>
        <v>9.4600000000000009</v>
      </c>
      <c r="M4" s="1092">
        <f>IF(K4=0,0,K4/L4)</f>
        <v>0.21141649048625791</v>
      </c>
      <c r="N4" s="1093" t="s">
        <v>1926</v>
      </c>
      <c r="O4" s="371"/>
      <c r="P4" s="372"/>
      <c r="Q4" s="372"/>
      <c r="R4" s="372"/>
      <c r="S4" s="372"/>
      <c r="T4" s="372"/>
      <c r="U4" s="373"/>
    </row>
    <row r="5" spans="4:21" ht="13.5" thickBot="1">
      <c r="D5" s="2"/>
      <c r="F5" s="393"/>
      <c r="G5" s="728"/>
      <c r="H5" s="728"/>
      <c r="I5" s="728"/>
      <c r="J5" s="399" t="s">
        <v>1486</v>
      </c>
      <c r="K5" s="728"/>
      <c r="L5" s="1069">
        <v>12</v>
      </c>
      <c r="M5" s="728"/>
      <c r="N5" s="1094" t="s">
        <v>110</v>
      </c>
      <c r="O5" s="1117"/>
      <c r="P5" s="1118"/>
      <c r="Q5" s="1118"/>
      <c r="R5" s="1118"/>
      <c r="S5" s="1118"/>
      <c r="T5" s="1118"/>
      <c r="U5" s="1119"/>
    </row>
    <row r="6" spans="4:21" ht="13.5" thickBot="1">
      <c r="D6" s="2"/>
      <c r="F6" s="393"/>
      <c r="G6" s="1095"/>
      <c r="H6" s="1097"/>
      <c r="I6" s="1097"/>
      <c r="J6" s="1098" t="s">
        <v>1488</v>
      </c>
      <c r="K6" s="1097"/>
      <c r="L6" s="1103">
        <v>10</v>
      </c>
      <c r="M6" s="1099"/>
      <c r="N6" s="1104" t="str">
        <f>CHOOSE(M40,E9,F11,G11,H11,I11,J11,K11,L11,M11,N11,O11,P11,Q11,R11,S11,T11)</f>
        <v>№</v>
      </c>
      <c r="O6" s="1117"/>
      <c r="P6" s="1118"/>
      <c r="Q6" s="1118"/>
      <c r="R6" s="1118"/>
      <c r="S6" s="1118"/>
      <c r="T6" s="1118"/>
      <c r="U6" s="1119"/>
    </row>
    <row r="7" spans="4:21" ht="7.5" customHeight="1" thickBot="1">
      <c r="D7" s="2"/>
      <c r="F7" s="401"/>
      <c r="G7" s="733"/>
      <c r="H7" s="733"/>
      <c r="I7" s="733"/>
      <c r="J7" s="733"/>
      <c r="K7" s="733"/>
      <c r="L7" s="733"/>
      <c r="M7" s="733"/>
      <c r="N7" s="734"/>
      <c r="O7" s="1120"/>
      <c r="P7" s="1121"/>
      <c r="Q7" s="1121"/>
      <c r="R7" s="1121"/>
      <c r="S7" s="1121"/>
      <c r="T7" s="1121"/>
      <c r="U7" s="1122"/>
    </row>
    <row r="8" spans="4:21" ht="13.5" thickBot="1">
      <c r="D8" s="2"/>
      <c r="G8" s="1"/>
      <c r="H8" s="1"/>
      <c r="I8" s="1"/>
      <c r="J8" s="1"/>
      <c r="L8" s="1"/>
      <c r="M8" s="807" t="s">
        <v>166</v>
      </c>
      <c r="N8" s="1"/>
      <c r="O8" s="1"/>
      <c r="P8" s="1"/>
      <c r="Q8" s="1"/>
      <c r="R8" s="1"/>
      <c r="S8" s="1"/>
      <c r="T8" s="1"/>
      <c r="U8" s="1"/>
    </row>
    <row r="9" spans="4:21" ht="24.75">
      <c r="E9" s="49" t="s">
        <v>1544</v>
      </c>
      <c r="F9" s="18"/>
      <c r="G9" s="19"/>
      <c r="H9" s="19"/>
      <c r="I9" s="19"/>
      <c r="J9" s="19"/>
      <c r="K9" s="20"/>
      <c r="L9" s="6" t="s">
        <v>112</v>
      </c>
      <c r="M9" s="6" t="s">
        <v>1491</v>
      </c>
      <c r="N9" s="4" t="s">
        <v>113</v>
      </c>
      <c r="O9" s="21" t="s">
        <v>114</v>
      </c>
      <c r="P9" s="21" t="s">
        <v>115</v>
      </c>
      <c r="Q9" s="21" t="s">
        <v>116</v>
      </c>
      <c r="R9" s="4" t="s">
        <v>117</v>
      </c>
      <c r="S9" s="21" t="s">
        <v>118</v>
      </c>
      <c r="T9" s="5" t="s">
        <v>118</v>
      </c>
      <c r="U9" s="54"/>
    </row>
    <row r="10" spans="4:21" s="17" customFormat="1" ht="18.75">
      <c r="E10" s="50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1532</v>
      </c>
      <c r="K10" s="26" t="s">
        <v>1533</v>
      </c>
      <c r="L10" s="23" t="s">
        <v>1531</v>
      </c>
      <c r="M10" s="23" t="s">
        <v>1530</v>
      </c>
      <c r="N10" s="23" t="s">
        <v>1940</v>
      </c>
      <c r="O10" s="26" t="s">
        <v>122</v>
      </c>
      <c r="P10" s="26" t="s">
        <v>123</v>
      </c>
      <c r="Q10" s="26" t="s">
        <v>124</v>
      </c>
      <c r="R10" s="23" t="s">
        <v>1943</v>
      </c>
      <c r="S10" s="26" t="s">
        <v>125</v>
      </c>
      <c r="T10" s="56" t="s">
        <v>1945</v>
      </c>
      <c r="U10" s="55"/>
    </row>
    <row r="11" spans="4:21" s="8" customFormat="1" ht="15" thickBot="1">
      <c r="D11" s="3" t="s">
        <v>1544</v>
      </c>
      <c r="E11" s="25"/>
      <c r="F11" s="12" t="s">
        <v>1545</v>
      </c>
      <c r="G11" s="27" t="s">
        <v>1545</v>
      </c>
      <c r="H11" s="27" t="s">
        <v>1545</v>
      </c>
      <c r="I11" s="27" t="s">
        <v>1545</v>
      </c>
      <c r="J11" s="27" t="s">
        <v>1545</v>
      </c>
      <c r="K11" s="27" t="s">
        <v>1545</v>
      </c>
      <c r="L11" s="12" t="s">
        <v>1954</v>
      </c>
      <c r="M11" s="28" t="s">
        <v>1483</v>
      </c>
      <c r="N11" s="12" t="s">
        <v>1956</v>
      </c>
      <c r="O11" s="27" t="s">
        <v>127</v>
      </c>
      <c r="P11" s="27" t="s">
        <v>1549</v>
      </c>
      <c r="Q11" s="27" t="s">
        <v>127</v>
      </c>
      <c r="R11" s="12" t="s">
        <v>1956</v>
      </c>
      <c r="S11" s="27" t="s">
        <v>127</v>
      </c>
      <c r="T11" s="57" t="s">
        <v>1549</v>
      </c>
      <c r="U11" s="44"/>
    </row>
    <row r="12" spans="4:21">
      <c r="D12" s="3">
        <v>1</v>
      </c>
      <c r="E12" s="834">
        <v>10</v>
      </c>
      <c r="F12" s="345">
        <f>E12*10</f>
        <v>100</v>
      </c>
      <c r="G12" s="782">
        <v>55</v>
      </c>
      <c r="H12" s="783">
        <v>4.5</v>
      </c>
      <c r="I12" s="783">
        <v>7.2</v>
      </c>
      <c r="J12" s="843">
        <v>7</v>
      </c>
      <c r="K12" s="739">
        <v>2.5</v>
      </c>
      <c r="L12" s="838">
        <v>12</v>
      </c>
      <c r="M12" s="748">
        <v>9.4600000000000009</v>
      </c>
      <c r="N12" s="828">
        <v>198</v>
      </c>
      <c r="O12" s="849">
        <v>39.700000000000003</v>
      </c>
      <c r="P12" s="795">
        <v>4.0599999999999996</v>
      </c>
      <c r="Q12" s="754">
        <v>23</v>
      </c>
      <c r="R12" s="753">
        <v>17.899999999999999</v>
      </c>
      <c r="S12" s="849">
        <v>6.49</v>
      </c>
      <c r="T12" s="756">
        <v>1.22</v>
      </c>
    </row>
    <row r="13" spans="4:21">
      <c r="D13" s="3">
        <v>2</v>
      </c>
      <c r="E13" s="835">
        <v>12</v>
      </c>
      <c r="F13" s="351">
        <f t="shared" ref="F13:F28" si="0">E13*10</f>
        <v>120</v>
      </c>
      <c r="G13" s="785">
        <v>64</v>
      </c>
      <c r="H13" s="786">
        <v>4.8</v>
      </c>
      <c r="I13" s="786">
        <v>7.3</v>
      </c>
      <c r="J13" s="844">
        <v>7.5</v>
      </c>
      <c r="K13" s="740">
        <v>3</v>
      </c>
      <c r="L13" s="839">
        <v>14.7</v>
      </c>
      <c r="M13" s="824">
        <v>11.5</v>
      </c>
      <c r="N13" s="829">
        <v>350</v>
      </c>
      <c r="O13" s="850">
        <v>58.4</v>
      </c>
      <c r="P13" s="797">
        <v>4.88</v>
      </c>
      <c r="Q13" s="758">
        <v>33.700000000000003</v>
      </c>
      <c r="R13" s="757">
        <v>27.9</v>
      </c>
      <c r="S13" s="850">
        <v>8.7200000000000006</v>
      </c>
      <c r="T13" s="760">
        <v>1.38</v>
      </c>
    </row>
    <row r="14" spans="4:21">
      <c r="D14" s="3">
        <v>3</v>
      </c>
      <c r="E14" s="836">
        <v>14</v>
      </c>
      <c r="F14" s="347">
        <f t="shared" si="0"/>
        <v>140</v>
      </c>
      <c r="G14" s="788">
        <v>73</v>
      </c>
      <c r="H14" s="789">
        <v>4.9000000000000004</v>
      </c>
      <c r="I14" s="789">
        <v>7.5</v>
      </c>
      <c r="J14" s="845">
        <v>8</v>
      </c>
      <c r="K14" s="741">
        <v>3</v>
      </c>
      <c r="L14" s="840">
        <v>17.399999999999999</v>
      </c>
      <c r="M14" s="825">
        <v>13.7</v>
      </c>
      <c r="N14" s="830">
        <v>572</v>
      </c>
      <c r="O14" s="851">
        <v>81.7</v>
      </c>
      <c r="P14" s="799">
        <v>5.73</v>
      </c>
      <c r="Q14" s="762">
        <v>46.8</v>
      </c>
      <c r="R14" s="761">
        <v>41.9</v>
      </c>
      <c r="S14" s="851">
        <v>11.5</v>
      </c>
      <c r="T14" s="764">
        <v>1.55</v>
      </c>
    </row>
    <row r="15" spans="4:21">
      <c r="D15" s="3">
        <v>4</v>
      </c>
      <c r="E15" s="835">
        <v>16</v>
      </c>
      <c r="F15" s="351">
        <f t="shared" si="0"/>
        <v>160</v>
      </c>
      <c r="G15" s="785">
        <v>81</v>
      </c>
      <c r="H15" s="786">
        <v>5</v>
      </c>
      <c r="I15" s="786">
        <v>7.8</v>
      </c>
      <c r="J15" s="844">
        <v>8.5</v>
      </c>
      <c r="K15" s="740">
        <v>3.5</v>
      </c>
      <c r="L15" s="839">
        <v>20.2</v>
      </c>
      <c r="M15" s="824">
        <v>15.9</v>
      </c>
      <c r="N15" s="829">
        <v>873</v>
      </c>
      <c r="O15" s="850">
        <v>109</v>
      </c>
      <c r="P15" s="797">
        <v>6.57</v>
      </c>
      <c r="Q15" s="758">
        <v>62.3</v>
      </c>
      <c r="R15" s="757">
        <v>58.6</v>
      </c>
      <c r="S15" s="850">
        <v>14.5</v>
      </c>
      <c r="T15" s="760">
        <v>1.7</v>
      </c>
    </row>
    <row r="16" spans="4:21">
      <c r="D16" s="3">
        <v>5</v>
      </c>
      <c r="E16" s="836">
        <v>18</v>
      </c>
      <c r="F16" s="347">
        <f t="shared" si="0"/>
        <v>180</v>
      </c>
      <c r="G16" s="788">
        <v>90</v>
      </c>
      <c r="H16" s="789">
        <v>5.0999999999999996</v>
      </c>
      <c r="I16" s="789">
        <v>8.1</v>
      </c>
      <c r="J16" s="845">
        <v>9</v>
      </c>
      <c r="K16" s="741">
        <v>3.5</v>
      </c>
      <c r="L16" s="840">
        <v>23.4</v>
      </c>
      <c r="M16" s="825">
        <v>18.399999999999999</v>
      </c>
      <c r="N16" s="830">
        <v>1290</v>
      </c>
      <c r="O16" s="851">
        <v>143</v>
      </c>
      <c r="P16" s="799">
        <v>7.42</v>
      </c>
      <c r="Q16" s="762">
        <v>81.400000000000006</v>
      </c>
      <c r="R16" s="761">
        <v>82.6</v>
      </c>
      <c r="S16" s="851">
        <v>18.399999999999999</v>
      </c>
      <c r="T16" s="764">
        <v>1.88</v>
      </c>
    </row>
    <row r="17" spans="4:20">
      <c r="D17" s="3">
        <v>6</v>
      </c>
      <c r="E17" s="835">
        <v>20</v>
      </c>
      <c r="F17" s="351">
        <f t="shared" si="0"/>
        <v>200</v>
      </c>
      <c r="G17" s="785">
        <v>100</v>
      </c>
      <c r="H17" s="786">
        <v>5.2</v>
      </c>
      <c r="I17" s="786">
        <v>8.4</v>
      </c>
      <c r="J17" s="844">
        <v>9.5</v>
      </c>
      <c r="K17" s="740">
        <v>4</v>
      </c>
      <c r="L17" s="839">
        <v>26.8</v>
      </c>
      <c r="M17" s="824">
        <v>21</v>
      </c>
      <c r="N17" s="829">
        <v>1840</v>
      </c>
      <c r="O17" s="850">
        <v>184</v>
      </c>
      <c r="P17" s="797">
        <v>8.2799999999999994</v>
      </c>
      <c r="Q17" s="758">
        <v>104</v>
      </c>
      <c r="R17" s="757">
        <v>115</v>
      </c>
      <c r="S17" s="850">
        <v>23.1</v>
      </c>
      <c r="T17" s="760">
        <v>2.0699999999999998</v>
      </c>
    </row>
    <row r="18" spans="4:20">
      <c r="D18" s="3">
        <v>7</v>
      </c>
      <c r="E18" s="836">
        <v>22</v>
      </c>
      <c r="F18" s="347">
        <f t="shared" si="0"/>
        <v>220</v>
      </c>
      <c r="G18" s="788">
        <v>110</v>
      </c>
      <c r="H18" s="789">
        <v>5.4</v>
      </c>
      <c r="I18" s="789">
        <v>8.6999999999999993</v>
      </c>
      <c r="J18" s="845">
        <v>10</v>
      </c>
      <c r="K18" s="741">
        <v>4</v>
      </c>
      <c r="L18" s="840">
        <v>30.6</v>
      </c>
      <c r="M18" s="825">
        <v>24</v>
      </c>
      <c r="N18" s="830">
        <v>2550</v>
      </c>
      <c r="O18" s="851">
        <v>232</v>
      </c>
      <c r="P18" s="799">
        <v>9.1300000000000008</v>
      </c>
      <c r="Q18" s="762">
        <v>131</v>
      </c>
      <c r="R18" s="761">
        <v>157</v>
      </c>
      <c r="S18" s="851">
        <v>28.6</v>
      </c>
      <c r="T18" s="764">
        <v>2.27</v>
      </c>
    </row>
    <row r="19" spans="4:20">
      <c r="D19" s="3">
        <v>8</v>
      </c>
      <c r="E19" s="835">
        <v>24</v>
      </c>
      <c r="F19" s="351">
        <f t="shared" si="0"/>
        <v>240</v>
      </c>
      <c r="G19" s="785">
        <v>115</v>
      </c>
      <c r="H19" s="786">
        <v>5.6</v>
      </c>
      <c r="I19" s="786">
        <v>9.5</v>
      </c>
      <c r="J19" s="844">
        <v>10.5</v>
      </c>
      <c r="K19" s="740">
        <v>4</v>
      </c>
      <c r="L19" s="839">
        <v>34.799999999999997</v>
      </c>
      <c r="M19" s="824">
        <v>27.3</v>
      </c>
      <c r="N19" s="829">
        <v>3460</v>
      </c>
      <c r="O19" s="850">
        <v>289</v>
      </c>
      <c r="P19" s="797">
        <v>9.9700000000000006</v>
      </c>
      <c r="Q19" s="758">
        <v>163</v>
      </c>
      <c r="R19" s="757">
        <v>198</v>
      </c>
      <c r="S19" s="850">
        <v>34.5</v>
      </c>
      <c r="T19" s="760">
        <v>2.37</v>
      </c>
    </row>
    <row r="20" spans="4:20">
      <c r="D20" s="3">
        <v>9</v>
      </c>
      <c r="E20" s="836">
        <v>27</v>
      </c>
      <c r="F20" s="347">
        <f t="shared" si="0"/>
        <v>270</v>
      </c>
      <c r="G20" s="788">
        <v>125</v>
      </c>
      <c r="H20" s="789">
        <v>6</v>
      </c>
      <c r="I20" s="789">
        <v>9.8000000000000007</v>
      </c>
      <c r="J20" s="845">
        <v>11</v>
      </c>
      <c r="K20" s="741">
        <v>4.5</v>
      </c>
      <c r="L20" s="840">
        <v>40.200000000000003</v>
      </c>
      <c r="M20" s="825">
        <v>31.5</v>
      </c>
      <c r="N20" s="830">
        <v>5010</v>
      </c>
      <c r="O20" s="851">
        <v>371</v>
      </c>
      <c r="P20" s="799">
        <v>11.2</v>
      </c>
      <c r="Q20" s="762">
        <v>210</v>
      </c>
      <c r="R20" s="761">
        <v>260</v>
      </c>
      <c r="S20" s="851">
        <v>41.5</v>
      </c>
      <c r="T20" s="764">
        <v>2.54</v>
      </c>
    </row>
    <row r="21" spans="4:20">
      <c r="D21" s="3">
        <v>10</v>
      </c>
      <c r="E21" s="835">
        <v>30</v>
      </c>
      <c r="F21" s="351">
        <f t="shared" si="0"/>
        <v>300</v>
      </c>
      <c r="G21" s="785">
        <v>135</v>
      </c>
      <c r="H21" s="786">
        <v>6.5</v>
      </c>
      <c r="I21" s="786">
        <v>10.199999999999999</v>
      </c>
      <c r="J21" s="844">
        <v>12</v>
      </c>
      <c r="K21" s="740">
        <v>5</v>
      </c>
      <c r="L21" s="839">
        <v>46.5</v>
      </c>
      <c r="M21" s="824">
        <v>36.5</v>
      </c>
      <c r="N21" s="829">
        <v>7080</v>
      </c>
      <c r="O21" s="850">
        <v>472</v>
      </c>
      <c r="P21" s="797">
        <v>12.3</v>
      </c>
      <c r="Q21" s="758">
        <v>268</v>
      </c>
      <c r="R21" s="757">
        <v>337</v>
      </c>
      <c r="S21" s="850">
        <v>49.9</v>
      </c>
      <c r="T21" s="760">
        <v>2.69</v>
      </c>
    </row>
    <row r="22" spans="4:20">
      <c r="D22" s="3">
        <v>11</v>
      </c>
      <c r="E22" s="836">
        <v>33</v>
      </c>
      <c r="F22" s="347">
        <f t="shared" si="0"/>
        <v>330</v>
      </c>
      <c r="G22" s="788">
        <v>140</v>
      </c>
      <c r="H22" s="789">
        <v>7</v>
      </c>
      <c r="I22" s="789">
        <v>11.2</v>
      </c>
      <c r="J22" s="845">
        <v>13</v>
      </c>
      <c r="K22" s="741">
        <v>5</v>
      </c>
      <c r="L22" s="840">
        <v>53.8</v>
      </c>
      <c r="M22" s="825">
        <v>42.2</v>
      </c>
      <c r="N22" s="830">
        <v>9840</v>
      </c>
      <c r="O22" s="851">
        <v>597</v>
      </c>
      <c r="P22" s="799">
        <v>13.5</v>
      </c>
      <c r="Q22" s="762">
        <v>339</v>
      </c>
      <c r="R22" s="761">
        <v>419</v>
      </c>
      <c r="S22" s="851">
        <v>59.9</v>
      </c>
      <c r="T22" s="764">
        <v>2.79</v>
      </c>
    </row>
    <row r="23" spans="4:20">
      <c r="D23" s="3">
        <v>12</v>
      </c>
      <c r="E23" s="835">
        <v>36</v>
      </c>
      <c r="F23" s="351">
        <f t="shared" si="0"/>
        <v>360</v>
      </c>
      <c r="G23" s="785">
        <v>145</v>
      </c>
      <c r="H23" s="786">
        <v>7.5</v>
      </c>
      <c r="I23" s="786">
        <v>12.3</v>
      </c>
      <c r="J23" s="844">
        <v>14</v>
      </c>
      <c r="K23" s="740">
        <v>6</v>
      </c>
      <c r="L23" s="839">
        <v>61.9</v>
      </c>
      <c r="M23" s="824">
        <v>48.6</v>
      </c>
      <c r="N23" s="829">
        <v>13380</v>
      </c>
      <c r="O23" s="850">
        <v>743</v>
      </c>
      <c r="P23" s="797">
        <v>14.7</v>
      </c>
      <c r="Q23" s="758">
        <v>423</v>
      </c>
      <c r="R23" s="757">
        <v>516</v>
      </c>
      <c r="S23" s="850">
        <v>71.099999999999994</v>
      </c>
      <c r="T23" s="760">
        <v>2.89</v>
      </c>
    </row>
    <row r="24" spans="4:20">
      <c r="D24" s="3">
        <v>13</v>
      </c>
      <c r="E24" s="836">
        <v>40</v>
      </c>
      <c r="F24" s="347">
        <f t="shared" si="0"/>
        <v>400</v>
      </c>
      <c r="G24" s="788">
        <v>155</v>
      </c>
      <c r="H24" s="789">
        <v>8.3000000000000007</v>
      </c>
      <c r="I24" s="789">
        <v>13</v>
      </c>
      <c r="J24" s="845">
        <v>15</v>
      </c>
      <c r="K24" s="741">
        <v>6</v>
      </c>
      <c r="L24" s="840">
        <v>72.599999999999994</v>
      </c>
      <c r="M24" s="825">
        <v>57</v>
      </c>
      <c r="N24" s="830">
        <v>19062</v>
      </c>
      <c r="O24" s="851">
        <v>953</v>
      </c>
      <c r="P24" s="799">
        <v>16.2</v>
      </c>
      <c r="Q24" s="762">
        <v>545</v>
      </c>
      <c r="R24" s="761">
        <v>667</v>
      </c>
      <c r="S24" s="851">
        <v>86.1</v>
      </c>
      <c r="T24" s="764">
        <v>3.03</v>
      </c>
    </row>
    <row r="25" spans="4:20">
      <c r="D25" s="3">
        <v>14</v>
      </c>
      <c r="E25" s="835">
        <v>45</v>
      </c>
      <c r="F25" s="351">
        <f t="shared" si="0"/>
        <v>450</v>
      </c>
      <c r="G25" s="785">
        <v>160</v>
      </c>
      <c r="H25" s="786">
        <v>9</v>
      </c>
      <c r="I25" s="786">
        <v>14.2</v>
      </c>
      <c r="J25" s="844">
        <v>16</v>
      </c>
      <c r="K25" s="740">
        <v>7</v>
      </c>
      <c r="L25" s="839">
        <v>84.7</v>
      </c>
      <c r="M25" s="824">
        <v>66.5</v>
      </c>
      <c r="N25" s="829">
        <v>27696</v>
      </c>
      <c r="O25" s="850">
        <v>1231</v>
      </c>
      <c r="P25" s="797">
        <v>18.100000000000001</v>
      </c>
      <c r="Q25" s="758">
        <v>708</v>
      </c>
      <c r="R25" s="757">
        <v>808</v>
      </c>
      <c r="S25" s="850">
        <v>101</v>
      </c>
      <c r="T25" s="760">
        <v>3.09</v>
      </c>
    </row>
    <row r="26" spans="4:20">
      <c r="D26" s="3">
        <v>15</v>
      </c>
      <c r="E26" s="836">
        <v>50</v>
      </c>
      <c r="F26" s="347">
        <f t="shared" si="0"/>
        <v>500</v>
      </c>
      <c r="G26" s="788">
        <v>170</v>
      </c>
      <c r="H26" s="789">
        <v>10</v>
      </c>
      <c r="I26" s="789">
        <v>15.2</v>
      </c>
      <c r="J26" s="845">
        <v>17</v>
      </c>
      <c r="K26" s="741">
        <v>7</v>
      </c>
      <c r="L26" s="840">
        <v>100</v>
      </c>
      <c r="M26" s="825">
        <v>78.5</v>
      </c>
      <c r="N26" s="830">
        <v>39727</v>
      </c>
      <c r="O26" s="851">
        <v>1589</v>
      </c>
      <c r="P26" s="799">
        <v>19.899999999999999</v>
      </c>
      <c r="Q26" s="762">
        <v>919</v>
      </c>
      <c r="R26" s="761">
        <v>1043</v>
      </c>
      <c r="S26" s="851">
        <v>123</v>
      </c>
      <c r="T26" s="764">
        <v>3.23</v>
      </c>
    </row>
    <row r="27" spans="4:20">
      <c r="D27" s="3">
        <v>16</v>
      </c>
      <c r="E27" s="835">
        <v>55</v>
      </c>
      <c r="F27" s="351">
        <f t="shared" si="0"/>
        <v>550</v>
      </c>
      <c r="G27" s="785">
        <v>180</v>
      </c>
      <c r="H27" s="786">
        <v>11</v>
      </c>
      <c r="I27" s="786">
        <v>16.5</v>
      </c>
      <c r="J27" s="844">
        <v>18</v>
      </c>
      <c r="K27" s="740">
        <v>7</v>
      </c>
      <c r="L27" s="839">
        <v>118</v>
      </c>
      <c r="M27" s="824">
        <v>92.6</v>
      </c>
      <c r="N27" s="829">
        <v>55962</v>
      </c>
      <c r="O27" s="850">
        <v>2035</v>
      </c>
      <c r="P27" s="797">
        <v>21.8</v>
      </c>
      <c r="Q27" s="758">
        <v>1181</v>
      </c>
      <c r="R27" s="757">
        <v>1356</v>
      </c>
      <c r="S27" s="850">
        <v>151</v>
      </c>
      <c r="T27" s="760">
        <v>3.39</v>
      </c>
    </row>
    <row r="28" spans="4:20" ht="13.5" thickBot="1">
      <c r="D28" s="3">
        <v>17</v>
      </c>
      <c r="E28" s="837">
        <v>60</v>
      </c>
      <c r="F28" s="826">
        <f t="shared" si="0"/>
        <v>600</v>
      </c>
      <c r="G28" s="846">
        <v>190</v>
      </c>
      <c r="H28" s="847">
        <v>12</v>
      </c>
      <c r="I28" s="847">
        <v>17.8</v>
      </c>
      <c r="J28" s="848">
        <v>20</v>
      </c>
      <c r="K28" s="1018">
        <v>8</v>
      </c>
      <c r="L28" s="841">
        <v>138</v>
      </c>
      <c r="M28" s="827">
        <v>108</v>
      </c>
      <c r="N28" s="831">
        <v>76806</v>
      </c>
      <c r="O28" s="852">
        <v>2560</v>
      </c>
      <c r="P28" s="853">
        <v>23.6</v>
      </c>
      <c r="Q28" s="832">
        <v>1491</v>
      </c>
      <c r="R28" s="842">
        <v>1725</v>
      </c>
      <c r="S28" s="852">
        <v>182</v>
      </c>
      <c r="T28" s="833">
        <v>3.54</v>
      </c>
    </row>
    <row r="31" spans="4:20" hidden="1"/>
    <row r="32" spans="4:20" hidden="1"/>
    <row r="33" spans="4:14" hidden="1"/>
    <row r="34" spans="4:14" hidden="1"/>
    <row r="35" spans="4:14" hidden="1">
      <c r="D35" s="423">
        <v>1</v>
      </c>
      <c r="E35" s="524" t="s">
        <v>167</v>
      </c>
    </row>
    <row r="36" spans="4:14" hidden="1">
      <c r="D36" s="423">
        <v>2</v>
      </c>
      <c r="E36" s="524" t="s">
        <v>168</v>
      </c>
    </row>
    <row r="37" spans="4:14" hidden="1">
      <c r="D37" s="423">
        <v>3</v>
      </c>
      <c r="E37" s="524" t="s">
        <v>132</v>
      </c>
    </row>
    <row r="38" spans="4:14" hidden="1">
      <c r="D38" s="423">
        <v>4</v>
      </c>
      <c r="E38" s="524" t="s">
        <v>133</v>
      </c>
    </row>
    <row r="39" spans="4:14" ht="13.5" hidden="1" thickBot="1">
      <c r="D39" s="423">
        <v>5</v>
      </c>
      <c r="E39" s="141" t="s">
        <v>1561</v>
      </c>
    </row>
    <row r="40" spans="4:14" ht="13.5" hidden="1" thickBot="1">
      <c r="D40" s="423">
        <v>6</v>
      </c>
      <c r="E40" s="141" t="s">
        <v>1564</v>
      </c>
      <c r="M40" s="1067">
        <v>1</v>
      </c>
      <c r="N40" s="603" t="s">
        <v>159</v>
      </c>
    </row>
    <row r="41" spans="4:14" ht="13.5" hidden="1" thickBot="1">
      <c r="D41" s="423">
        <v>7</v>
      </c>
      <c r="E41" s="141" t="s">
        <v>134</v>
      </c>
      <c r="M41" s="1068">
        <v>1</v>
      </c>
      <c r="N41" s="604" t="s">
        <v>135</v>
      </c>
    </row>
    <row r="42" spans="4:14" ht="14.25" hidden="1">
      <c r="D42" s="423">
        <v>8</v>
      </c>
      <c r="E42" s="141" t="s">
        <v>1995</v>
      </c>
    </row>
    <row r="43" spans="4:14" hidden="1">
      <c r="D43" s="423">
        <v>9</v>
      </c>
      <c r="E43" s="141" t="s">
        <v>1994</v>
      </c>
    </row>
    <row r="44" spans="4:14" ht="14.25" hidden="1">
      <c r="D44" s="423">
        <v>10</v>
      </c>
      <c r="E44" s="141" t="s">
        <v>1997</v>
      </c>
    </row>
    <row r="45" spans="4:14" ht="14.25" hidden="1">
      <c r="D45" s="423">
        <v>11</v>
      </c>
      <c r="E45" s="141" t="s">
        <v>1998</v>
      </c>
    </row>
    <row r="46" spans="4:14" hidden="1">
      <c r="D46" s="423">
        <v>12</v>
      </c>
      <c r="E46" s="141" t="s">
        <v>1568</v>
      </c>
    </row>
    <row r="47" spans="4:14" hidden="1">
      <c r="D47" s="423">
        <v>13</v>
      </c>
      <c r="E47" s="141" t="s">
        <v>136</v>
      </c>
    </row>
    <row r="48" spans="4:14" ht="14.25" hidden="1">
      <c r="D48" s="423">
        <v>14</v>
      </c>
      <c r="E48" s="141" t="s">
        <v>1999</v>
      </c>
    </row>
    <row r="49" spans="4:5" ht="14.25" hidden="1">
      <c r="D49" s="423">
        <v>15</v>
      </c>
      <c r="E49" s="141" t="s">
        <v>2000</v>
      </c>
    </row>
    <row r="50" spans="4:5" hidden="1">
      <c r="D50" s="423">
        <v>16</v>
      </c>
      <c r="E50" s="141" t="s">
        <v>2001</v>
      </c>
    </row>
    <row r="51" spans="4:5" hidden="1">
      <c r="D51" s="423"/>
      <c r="E51" s="141"/>
    </row>
    <row r="52" spans="4:5" hidden="1"/>
  </sheetData>
  <pageMargins left="0.75" right="0.75" top="1" bottom="1" header="0.5" footer="0.5"/>
  <pageSetup paperSize="9" orientation="landscape" horizontalDpi="300" verticalDpi="0" copies="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print="0" autoFill="0" autoLine="0" autoPict="0" macro="[0]!Мак1_для_листа6">
                <anchor moveWithCells="1">
                  <from>
                    <xdr:col>14</xdr:col>
                    <xdr:colOff>95250</xdr:colOff>
                    <xdr:row>2</xdr:row>
                    <xdr:rowOff>19050</xdr:rowOff>
                  </from>
                  <to>
                    <xdr:col>20</xdr:col>
                    <xdr:colOff>57150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Drop Down 2">
              <controlPr defaultSize="0" print="0" autoFill="0" autoLine="0" autoPict="0" macro="[0]!Мак2_для_листа6">
                <anchor moveWithCells="1">
                  <from>
                    <xdr:col>14</xdr:col>
                    <xdr:colOff>95250</xdr:colOff>
                    <xdr:row>3</xdr:row>
                    <xdr:rowOff>114300</xdr:rowOff>
                  </from>
                  <to>
                    <xdr:col>16</xdr:col>
                    <xdr:colOff>95250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6" name="Button 6">
              <controlPr defaultSize="0" print="0" autoFill="0" autoLine="0" autoPict="0" macro="[0]!Вначало">
                <anchor moveWithCells="1" sizeWithCells="1">
                  <from>
                    <xdr:col>10</xdr:col>
                    <xdr:colOff>0</xdr:colOff>
                    <xdr:row>0</xdr:row>
                    <xdr:rowOff>47625</xdr:rowOff>
                  </from>
                  <to>
                    <xdr:col>17</xdr:col>
                    <xdr:colOff>333375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9"/>
  <dimension ref="B1:U75"/>
  <sheetViews>
    <sheetView workbookViewId="0">
      <pane ySplit="11" topLeftCell="A12" activePane="bottomLeft" state="frozenSplit"/>
      <selection pane="bottomLeft" activeCell="W7" sqref="W7"/>
    </sheetView>
  </sheetViews>
  <sheetFormatPr defaultRowHeight="12.75"/>
  <cols>
    <col min="1" max="1" width="5.28515625" customWidth="1"/>
    <col min="2" max="2" width="6.42578125" customWidth="1"/>
    <col min="3" max="3" width="5.5703125" customWidth="1"/>
    <col min="4" max="4" width="3" customWidth="1"/>
    <col min="5" max="5" width="6.140625" customWidth="1"/>
    <col min="6" max="6" width="4.85546875" customWidth="1"/>
    <col min="7" max="8" width="4.7109375" customWidth="1"/>
    <col min="9" max="9" width="4.42578125" customWidth="1"/>
    <col min="10" max="10" width="4.140625" customWidth="1"/>
    <col min="11" max="11" width="7.5703125" customWidth="1"/>
    <col min="12" max="12" width="6.28515625" customWidth="1"/>
    <col min="13" max="13" width="7" customWidth="1"/>
    <col min="14" max="14" width="7.42578125" customWidth="1"/>
    <col min="15" max="16" width="5.42578125" customWidth="1"/>
    <col min="17" max="17" width="6.42578125" customWidth="1"/>
    <col min="18" max="18" width="6.28515625" customWidth="1"/>
    <col min="19" max="19" width="5.42578125" customWidth="1"/>
    <col min="20" max="20" width="5.140625" customWidth="1"/>
  </cols>
  <sheetData>
    <row r="1" spans="2:21" ht="22.5" customHeight="1" thickBot="1">
      <c r="J1" s="911"/>
      <c r="K1" s="911"/>
    </row>
    <row r="2" spans="2:21" ht="13.5" thickBot="1">
      <c r="F2" s="1086"/>
      <c r="G2" s="1087"/>
      <c r="H2" s="1087"/>
      <c r="I2" s="1087"/>
      <c r="J2" s="1087"/>
      <c r="K2" s="1087"/>
      <c r="L2" s="1088" t="s">
        <v>1924</v>
      </c>
      <c r="M2" s="1087"/>
      <c r="N2" s="1089"/>
      <c r="O2" s="247"/>
      <c r="P2" s="247"/>
      <c r="Q2" s="247"/>
      <c r="R2" s="247"/>
      <c r="S2" s="247"/>
      <c r="T2" s="247"/>
      <c r="U2" s="247"/>
    </row>
    <row r="3" spans="2:21" ht="13.5" thickBot="1">
      <c r="F3" s="393"/>
      <c r="G3" s="394"/>
      <c r="H3" s="394"/>
      <c r="I3" s="394"/>
      <c r="J3" s="394"/>
      <c r="K3" s="1101">
        <v>20</v>
      </c>
      <c r="L3" s="1102">
        <v>18</v>
      </c>
      <c r="M3" s="1090">
        <f>K3*L3</f>
        <v>360</v>
      </c>
      <c r="N3" s="1091" t="s">
        <v>1483</v>
      </c>
      <c r="O3" s="247"/>
      <c r="P3" s="247"/>
      <c r="Q3" s="247"/>
      <c r="R3" s="247"/>
      <c r="S3" s="247"/>
      <c r="T3" s="247"/>
      <c r="U3" s="247"/>
    </row>
    <row r="4" spans="2:21" ht="13.5" thickBot="1">
      <c r="F4" s="393"/>
      <c r="G4" s="394"/>
      <c r="H4" s="394"/>
      <c r="I4" s="394"/>
      <c r="J4" s="394"/>
      <c r="K4" s="1101">
        <v>830</v>
      </c>
      <c r="L4" s="728">
        <f>L3</f>
        <v>18</v>
      </c>
      <c r="M4" s="1092">
        <f>IF(K4=0,0,K4/L4)</f>
        <v>46.111111111111114</v>
      </c>
      <c r="N4" s="1093" t="s">
        <v>1926</v>
      </c>
      <c r="O4" s="247"/>
      <c r="P4" s="247"/>
      <c r="Q4" s="247"/>
      <c r="R4" s="247"/>
      <c r="S4" s="247"/>
      <c r="T4" s="247"/>
      <c r="U4" s="247"/>
    </row>
    <row r="5" spans="2:21" ht="13.5" thickBot="1">
      <c r="B5" s="2"/>
      <c r="C5" s="2"/>
      <c r="D5" s="2"/>
      <c r="F5" s="393"/>
      <c r="G5" s="728"/>
      <c r="H5" s="728"/>
      <c r="I5" s="728"/>
      <c r="J5" s="399" t="s">
        <v>1486</v>
      </c>
      <c r="K5" s="728"/>
      <c r="L5" s="1069">
        <v>23.95</v>
      </c>
      <c r="M5" s="728"/>
      <c r="N5" s="1094" t="s">
        <v>110</v>
      </c>
      <c r="O5" s="1128"/>
      <c r="P5" s="1128"/>
      <c r="Q5" s="1128"/>
      <c r="R5" s="1128"/>
      <c r="S5" s="1128"/>
      <c r="T5" s="1128"/>
      <c r="U5" s="247"/>
    </row>
    <row r="6" spans="2:21" ht="13.5" thickBot="1">
      <c r="B6" s="2"/>
      <c r="C6" s="2"/>
      <c r="D6" s="2"/>
      <c r="F6" s="401"/>
      <c r="G6" s="1124"/>
      <c r="H6" s="1125"/>
      <c r="I6" s="1125"/>
      <c r="J6" s="1126" t="s">
        <v>1488</v>
      </c>
      <c r="K6" s="1125"/>
      <c r="L6" s="1129">
        <v>91</v>
      </c>
      <c r="M6" s="1127"/>
      <c r="N6" s="1130" t="str">
        <f>CHOOSE(M65,E9,F11,G11,H11,I11,J11,K11,L11,M11,N11,O11,P11,Q11,R11,S11)</f>
        <v>мм</v>
      </c>
      <c r="O6" s="1128"/>
      <c r="P6" s="1128"/>
      <c r="Q6" s="1128"/>
      <c r="R6" s="1128"/>
      <c r="S6" s="1128"/>
      <c r="T6" s="1128"/>
      <c r="U6" s="247"/>
    </row>
    <row r="7" spans="2:21">
      <c r="B7" s="2"/>
      <c r="C7" s="2"/>
      <c r="D7" s="2"/>
      <c r="G7" s="1"/>
      <c r="H7" s="1"/>
      <c r="I7" s="1"/>
      <c r="J7" s="1"/>
      <c r="K7" s="1"/>
      <c r="L7" s="1"/>
      <c r="M7" s="807" t="s">
        <v>169</v>
      </c>
      <c r="N7" s="1"/>
      <c r="O7" s="1"/>
      <c r="P7" s="1"/>
      <c r="Q7" s="1"/>
      <c r="R7" s="1"/>
      <c r="S7" s="1"/>
      <c r="T7" s="1"/>
    </row>
    <row r="8" spans="2:21" ht="13.5" thickBot="1">
      <c r="B8" s="2"/>
      <c r="C8" s="2"/>
      <c r="D8" s="2"/>
      <c r="G8" s="1"/>
      <c r="H8" s="1"/>
      <c r="I8" s="1"/>
      <c r="J8" s="1"/>
      <c r="K8" s="1"/>
      <c r="M8" s="807" t="s">
        <v>170</v>
      </c>
      <c r="N8" s="1"/>
      <c r="O8" s="1"/>
      <c r="P8" s="1"/>
      <c r="Q8" s="1"/>
      <c r="R8" s="1"/>
      <c r="S8" s="1"/>
      <c r="T8" s="1"/>
    </row>
    <row r="9" spans="2:21" ht="24.75">
      <c r="C9" s="3"/>
      <c r="D9" s="3"/>
      <c r="E9" s="49" t="s">
        <v>1544</v>
      </c>
      <c r="F9" s="18"/>
      <c r="G9" s="19"/>
      <c r="H9" s="19"/>
      <c r="I9" s="19"/>
      <c r="J9" s="20"/>
      <c r="K9" s="6" t="s">
        <v>112</v>
      </c>
      <c r="L9" s="6" t="s">
        <v>1491</v>
      </c>
      <c r="M9" s="4" t="s">
        <v>113</v>
      </c>
      <c r="N9" s="21" t="s">
        <v>114</v>
      </c>
      <c r="O9" s="21" t="s">
        <v>115</v>
      </c>
      <c r="P9" s="21" t="s">
        <v>116</v>
      </c>
      <c r="Q9" s="4" t="s">
        <v>117</v>
      </c>
      <c r="R9" s="21" t="s">
        <v>118</v>
      </c>
      <c r="S9" s="5" t="s">
        <v>118</v>
      </c>
      <c r="T9" s="54"/>
    </row>
    <row r="10" spans="2:21" s="17" customFormat="1" ht="18.75">
      <c r="E10" s="50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1533</v>
      </c>
      <c r="K10" s="23" t="s">
        <v>1531</v>
      </c>
      <c r="L10" s="23" t="s">
        <v>1530</v>
      </c>
      <c r="M10" s="23" t="s">
        <v>1940</v>
      </c>
      <c r="N10" s="26" t="s">
        <v>122</v>
      </c>
      <c r="O10" s="26" t="s">
        <v>124</v>
      </c>
      <c r="P10" s="26" t="s">
        <v>123</v>
      </c>
      <c r="Q10" s="23" t="s">
        <v>1943</v>
      </c>
      <c r="R10" s="26" t="s">
        <v>125</v>
      </c>
      <c r="S10" s="56" t="s">
        <v>1945</v>
      </c>
      <c r="T10" s="55"/>
    </row>
    <row r="11" spans="2:21" s="8" customFormat="1" ht="15" thickBot="1">
      <c r="D11" s="3" t="s">
        <v>1544</v>
      </c>
      <c r="E11" s="25"/>
      <c r="F11" s="12" t="s">
        <v>1545</v>
      </c>
      <c r="G11" s="27" t="s">
        <v>1545</v>
      </c>
      <c r="H11" s="27" t="s">
        <v>1545</v>
      </c>
      <c r="I11" s="27" t="s">
        <v>1545</v>
      </c>
      <c r="J11" s="27" t="s">
        <v>1545</v>
      </c>
      <c r="K11" s="12" t="s">
        <v>1954</v>
      </c>
      <c r="L11" s="28" t="s">
        <v>1483</v>
      </c>
      <c r="M11" s="12" t="s">
        <v>1956</v>
      </c>
      <c r="N11" s="27" t="s">
        <v>127</v>
      </c>
      <c r="O11" s="27" t="s">
        <v>127</v>
      </c>
      <c r="P11" s="27" t="s">
        <v>1549</v>
      </c>
      <c r="Q11" s="12" t="s">
        <v>1956</v>
      </c>
      <c r="R11" s="27" t="s">
        <v>127</v>
      </c>
      <c r="S11" s="57" t="s">
        <v>1549</v>
      </c>
      <c r="T11" s="44"/>
    </row>
    <row r="12" spans="2:21">
      <c r="D12" s="2">
        <v>1</v>
      </c>
      <c r="E12" s="883" t="s">
        <v>171</v>
      </c>
      <c r="F12" s="854">
        <v>100</v>
      </c>
      <c r="G12" s="893">
        <v>55</v>
      </c>
      <c r="H12" s="894">
        <v>4.0999999999999996</v>
      </c>
      <c r="I12" s="893">
        <v>5.7</v>
      </c>
      <c r="J12" s="854">
        <v>7</v>
      </c>
      <c r="K12" s="887">
        <v>10.32</v>
      </c>
      <c r="L12" s="855">
        <v>8.1</v>
      </c>
      <c r="M12" s="866">
        <v>171</v>
      </c>
      <c r="N12" s="901">
        <v>34.200000000000003</v>
      </c>
      <c r="O12" s="901">
        <v>19.7</v>
      </c>
      <c r="P12" s="867">
        <v>4.07</v>
      </c>
      <c r="Q12" s="866">
        <v>15.9</v>
      </c>
      <c r="R12" s="910">
        <v>5.8</v>
      </c>
      <c r="S12" s="868">
        <v>1.24</v>
      </c>
      <c r="T12" s="39"/>
    </row>
    <row r="13" spans="2:21">
      <c r="D13" s="2">
        <v>2</v>
      </c>
      <c r="E13" s="884" t="s">
        <v>172</v>
      </c>
      <c r="F13" s="856">
        <v>117.6</v>
      </c>
      <c r="G13" s="895">
        <v>64</v>
      </c>
      <c r="H13" s="896">
        <v>3.8</v>
      </c>
      <c r="I13" s="895">
        <v>5.0999999999999996</v>
      </c>
      <c r="J13" s="856">
        <v>7</v>
      </c>
      <c r="K13" s="884">
        <v>11.03</v>
      </c>
      <c r="L13" s="858">
        <v>8.6999999999999993</v>
      </c>
      <c r="M13" s="869">
        <v>257</v>
      </c>
      <c r="N13" s="902">
        <v>43.8</v>
      </c>
      <c r="O13" s="902">
        <v>24.9</v>
      </c>
      <c r="P13" s="38">
        <v>4.83</v>
      </c>
      <c r="Q13" s="869">
        <v>22.4</v>
      </c>
      <c r="R13" s="904">
        <v>7</v>
      </c>
      <c r="S13" s="870">
        <v>1.42</v>
      </c>
      <c r="T13" s="39"/>
    </row>
    <row r="14" spans="2:21">
      <c r="D14" s="2">
        <v>3</v>
      </c>
      <c r="E14" s="884" t="s">
        <v>173</v>
      </c>
      <c r="F14" s="856">
        <v>120</v>
      </c>
      <c r="G14" s="895">
        <v>64</v>
      </c>
      <c r="H14" s="896">
        <v>4.4000000000000004</v>
      </c>
      <c r="I14" s="895">
        <v>6.3</v>
      </c>
      <c r="J14" s="856">
        <v>7</v>
      </c>
      <c r="K14" s="884">
        <v>13.21</v>
      </c>
      <c r="L14" s="858">
        <v>10.4</v>
      </c>
      <c r="M14" s="869">
        <v>318</v>
      </c>
      <c r="N14" s="902">
        <v>53</v>
      </c>
      <c r="O14" s="902">
        <v>30.4</v>
      </c>
      <c r="P14" s="38">
        <v>4.9000000000000004</v>
      </c>
      <c r="Q14" s="869">
        <v>27.7</v>
      </c>
      <c r="R14" s="904">
        <v>8.6</v>
      </c>
      <c r="S14" s="870">
        <v>1.45</v>
      </c>
      <c r="T14" s="39"/>
    </row>
    <row r="15" spans="2:21">
      <c r="D15" s="2">
        <v>4</v>
      </c>
      <c r="E15" s="885" t="s">
        <v>174</v>
      </c>
      <c r="F15" s="859">
        <v>137.4</v>
      </c>
      <c r="G15" s="897">
        <v>73</v>
      </c>
      <c r="H15" s="898">
        <v>3.8</v>
      </c>
      <c r="I15" s="897">
        <v>5.6</v>
      </c>
      <c r="J15" s="859">
        <v>7</v>
      </c>
      <c r="K15" s="885">
        <v>13.39</v>
      </c>
      <c r="L15" s="861">
        <v>10.5</v>
      </c>
      <c r="M15" s="871">
        <v>435</v>
      </c>
      <c r="N15" s="903">
        <v>63.3</v>
      </c>
      <c r="O15" s="903">
        <v>35.799999999999997</v>
      </c>
      <c r="P15" s="872">
        <v>5.7</v>
      </c>
      <c r="Q15" s="871">
        <v>36.4</v>
      </c>
      <c r="R15" s="905">
        <v>10</v>
      </c>
      <c r="S15" s="873">
        <v>1.65</v>
      </c>
      <c r="T15" s="39"/>
    </row>
    <row r="16" spans="2:21">
      <c r="D16" s="2">
        <v>5</v>
      </c>
      <c r="E16" s="885" t="s">
        <v>175</v>
      </c>
      <c r="F16" s="859">
        <v>140</v>
      </c>
      <c r="G16" s="897">
        <v>73</v>
      </c>
      <c r="H16" s="898">
        <v>4.7</v>
      </c>
      <c r="I16" s="897">
        <v>6.9</v>
      </c>
      <c r="J16" s="859">
        <v>7</v>
      </c>
      <c r="K16" s="885">
        <v>16.43</v>
      </c>
      <c r="L16" s="861">
        <v>12.9</v>
      </c>
      <c r="M16" s="871">
        <v>541</v>
      </c>
      <c r="N16" s="903">
        <v>77.3</v>
      </c>
      <c r="O16" s="903">
        <v>44.2</v>
      </c>
      <c r="P16" s="872">
        <v>5.74</v>
      </c>
      <c r="Q16" s="871">
        <v>44.9</v>
      </c>
      <c r="R16" s="905">
        <v>12.3</v>
      </c>
      <c r="S16" s="873">
        <v>1.65</v>
      </c>
      <c r="T16" s="39"/>
    </row>
    <row r="17" spans="4:19">
      <c r="D17" s="2">
        <v>6</v>
      </c>
      <c r="E17" s="884" t="s">
        <v>176</v>
      </c>
      <c r="F17" s="856">
        <v>157</v>
      </c>
      <c r="G17" s="895">
        <v>82</v>
      </c>
      <c r="H17" s="896">
        <v>4</v>
      </c>
      <c r="I17" s="896">
        <v>5.9</v>
      </c>
      <c r="J17" s="856">
        <v>9</v>
      </c>
      <c r="K17" s="888">
        <v>16.18</v>
      </c>
      <c r="L17" s="862">
        <v>12.7</v>
      </c>
      <c r="M17" s="869">
        <v>689</v>
      </c>
      <c r="N17" s="904">
        <v>87.8</v>
      </c>
      <c r="O17" s="904">
        <v>49.5</v>
      </c>
      <c r="P17" s="874">
        <v>6.53</v>
      </c>
      <c r="Q17" s="891">
        <v>54.4</v>
      </c>
      <c r="R17" s="904">
        <v>13.3</v>
      </c>
      <c r="S17" s="875">
        <v>1.83</v>
      </c>
    </row>
    <row r="18" spans="4:19">
      <c r="D18" s="2">
        <v>7</v>
      </c>
      <c r="E18" s="884" t="s">
        <v>177</v>
      </c>
      <c r="F18" s="856">
        <v>160</v>
      </c>
      <c r="G18" s="895">
        <v>82</v>
      </c>
      <c r="H18" s="896">
        <v>5</v>
      </c>
      <c r="I18" s="896">
        <v>7.4</v>
      </c>
      <c r="J18" s="856">
        <v>9</v>
      </c>
      <c r="K18" s="888">
        <v>20.09</v>
      </c>
      <c r="L18" s="862">
        <v>15.8</v>
      </c>
      <c r="M18" s="869">
        <v>869</v>
      </c>
      <c r="N18" s="904">
        <v>108.7</v>
      </c>
      <c r="O18" s="904">
        <v>61.9</v>
      </c>
      <c r="P18" s="874">
        <v>6.58</v>
      </c>
      <c r="Q18" s="891">
        <v>68.3</v>
      </c>
      <c r="R18" s="904">
        <v>16.600000000000001</v>
      </c>
      <c r="S18" s="875">
        <v>1.81</v>
      </c>
    </row>
    <row r="19" spans="4:19">
      <c r="D19" s="2">
        <v>8</v>
      </c>
      <c r="E19" s="885" t="s">
        <v>178</v>
      </c>
      <c r="F19" s="859">
        <v>177</v>
      </c>
      <c r="G19" s="897">
        <v>91</v>
      </c>
      <c r="H19" s="898">
        <v>4.3</v>
      </c>
      <c r="I19" s="898">
        <v>6.5</v>
      </c>
      <c r="J19" s="859">
        <v>9</v>
      </c>
      <c r="K19" s="889">
        <v>19.579999999999998</v>
      </c>
      <c r="L19" s="863">
        <v>15.4</v>
      </c>
      <c r="M19" s="871">
        <v>1063</v>
      </c>
      <c r="N19" s="905">
        <v>120.1</v>
      </c>
      <c r="O19" s="905">
        <v>67.7</v>
      </c>
      <c r="P19" s="876">
        <v>7.37</v>
      </c>
      <c r="Q19" s="892">
        <v>81.900000000000006</v>
      </c>
      <c r="R19" s="905">
        <v>18</v>
      </c>
      <c r="S19" s="877">
        <v>2.04</v>
      </c>
    </row>
    <row r="20" spans="4:19">
      <c r="D20" s="2">
        <v>9</v>
      </c>
      <c r="E20" s="885" t="s">
        <v>179</v>
      </c>
      <c r="F20" s="859">
        <v>180</v>
      </c>
      <c r="G20" s="897">
        <v>91</v>
      </c>
      <c r="H20" s="898">
        <v>5.3</v>
      </c>
      <c r="I20" s="898">
        <v>8</v>
      </c>
      <c r="J20" s="859">
        <v>9</v>
      </c>
      <c r="K20" s="889">
        <v>23.95</v>
      </c>
      <c r="L20" s="863">
        <v>18</v>
      </c>
      <c r="M20" s="871">
        <v>1317</v>
      </c>
      <c r="N20" s="905">
        <v>146.30000000000001</v>
      </c>
      <c r="O20" s="905">
        <v>83.2</v>
      </c>
      <c r="P20" s="876">
        <v>7.41</v>
      </c>
      <c r="Q20" s="892">
        <v>100.8</v>
      </c>
      <c r="R20" s="905">
        <v>22.2</v>
      </c>
      <c r="S20" s="877">
        <v>2.0499999999999998</v>
      </c>
    </row>
    <row r="21" spans="4:19">
      <c r="D21" s="2">
        <v>10</v>
      </c>
      <c r="E21" s="884" t="s">
        <v>180</v>
      </c>
      <c r="F21" s="856">
        <v>200</v>
      </c>
      <c r="G21" s="895">
        <v>100</v>
      </c>
      <c r="H21" s="896">
        <v>5.6</v>
      </c>
      <c r="I21" s="896">
        <v>8.5</v>
      </c>
      <c r="J21" s="856">
        <v>12</v>
      </c>
      <c r="K21" s="888">
        <v>28.49</v>
      </c>
      <c r="L21" s="862">
        <v>22.4</v>
      </c>
      <c r="M21" s="869">
        <v>1943</v>
      </c>
      <c r="N21" s="904">
        <v>194.3</v>
      </c>
      <c r="O21" s="904">
        <v>110.3</v>
      </c>
      <c r="P21" s="874">
        <v>8.26</v>
      </c>
      <c r="Q21" s="891">
        <v>142.30000000000001</v>
      </c>
      <c r="R21" s="904">
        <v>28.5</v>
      </c>
      <c r="S21" s="875">
        <v>2.23</v>
      </c>
    </row>
    <row r="22" spans="4:19">
      <c r="D22" s="2">
        <v>11</v>
      </c>
      <c r="E22" s="885" t="s">
        <v>181</v>
      </c>
      <c r="F22" s="859">
        <v>230</v>
      </c>
      <c r="G22" s="897">
        <v>110</v>
      </c>
      <c r="H22" s="898">
        <v>5.6</v>
      </c>
      <c r="I22" s="898">
        <v>9</v>
      </c>
      <c r="J22" s="859">
        <v>12</v>
      </c>
      <c r="K22" s="889">
        <v>32.909999999999997</v>
      </c>
      <c r="L22" s="863">
        <v>25.8</v>
      </c>
      <c r="M22" s="871">
        <v>2996</v>
      </c>
      <c r="N22" s="905">
        <v>280.5</v>
      </c>
      <c r="O22" s="905">
        <v>147.19999999999999</v>
      </c>
      <c r="P22" s="876">
        <v>9.5399999999999991</v>
      </c>
      <c r="Q22" s="892">
        <v>200.3</v>
      </c>
      <c r="R22" s="905">
        <v>36.4</v>
      </c>
      <c r="S22" s="877">
        <v>2.4700000000000002</v>
      </c>
    </row>
    <row r="23" spans="4:19">
      <c r="D23" s="2">
        <v>12</v>
      </c>
      <c r="E23" s="884" t="s">
        <v>182</v>
      </c>
      <c r="F23" s="856">
        <v>258</v>
      </c>
      <c r="G23" s="895">
        <v>120</v>
      </c>
      <c r="H23" s="896">
        <v>5.8</v>
      </c>
      <c r="I23" s="896">
        <v>8.5</v>
      </c>
      <c r="J23" s="856">
        <v>12</v>
      </c>
      <c r="K23" s="888">
        <v>35.659999999999997</v>
      </c>
      <c r="L23" s="862">
        <v>28</v>
      </c>
      <c r="M23" s="869">
        <v>4024</v>
      </c>
      <c r="N23" s="904">
        <v>312</v>
      </c>
      <c r="O23" s="904">
        <v>176.6</v>
      </c>
      <c r="P23" s="874">
        <v>10.63</v>
      </c>
      <c r="Q23" s="891">
        <v>245.6</v>
      </c>
      <c r="R23" s="904">
        <v>40.9</v>
      </c>
      <c r="S23" s="875">
        <v>2.63</v>
      </c>
    </row>
    <row r="24" spans="4:19">
      <c r="D24" s="2">
        <v>13</v>
      </c>
      <c r="E24" s="884" t="s">
        <v>183</v>
      </c>
      <c r="F24" s="856">
        <v>261</v>
      </c>
      <c r="G24" s="895">
        <v>120</v>
      </c>
      <c r="H24" s="896">
        <v>6</v>
      </c>
      <c r="I24" s="896">
        <v>10</v>
      </c>
      <c r="J24" s="856">
        <v>12</v>
      </c>
      <c r="K24" s="888">
        <v>39.700000000000003</v>
      </c>
      <c r="L24" s="862">
        <v>31.2</v>
      </c>
      <c r="M24" s="869">
        <v>4654</v>
      </c>
      <c r="N24" s="904">
        <v>356.6</v>
      </c>
      <c r="O24" s="904">
        <v>201.5</v>
      </c>
      <c r="P24" s="874">
        <v>10.83</v>
      </c>
      <c r="Q24" s="891">
        <v>288.8</v>
      </c>
      <c r="R24" s="904">
        <v>48.1</v>
      </c>
      <c r="S24" s="875">
        <v>2.7</v>
      </c>
    </row>
    <row r="25" spans="4:19">
      <c r="D25" s="2">
        <v>14</v>
      </c>
      <c r="E25" s="885" t="s">
        <v>184</v>
      </c>
      <c r="F25" s="859">
        <v>296</v>
      </c>
      <c r="G25" s="897">
        <v>140</v>
      </c>
      <c r="H25" s="898">
        <v>5.8</v>
      </c>
      <c r="I25" s="898">
        <v>8.5</v>
      </c>
      <c r="J25" s="859">
        <v>15</v>
      </c>
      <c r="K25" s="889">
        <v>41.92</v>
      </c>
      <c r="L25" s="863">
        <v>32.9</v>
      </c>
      <c r="M25" s="871">
        <v>6328</v>
      </c>
      <c r="N25" s="905">
        <v>427</v>
      </c>
      <c r="O25" s="905">
        <v>240</v>
      </c>
      <c r="P25" s="876">
        <v>12.29</v>
      </c>
      <c r="Q25" s="892">
        <v>390</v>
      </c>
      <c r="R25" s="905">
        <v>55.7</v>
      </c>
      <c r="S25" s="877">
        <v>3.05</v>
      </c>
    </row>
    <row r="26" spans="4:19">
      <c r="D26" s="2">
        <v>15</v>
      </c>
      <c r="E26" s="885" t="s">
        <v>185</v>
      </c>
      <c r="F26" s="859">
        <v>299</v>
      </c>
      <c r="G26" s="897">
        <v>140</v>
      </c>
      <c r="H26" s="898">
        <v>6</v>
      </c>
      <c r="I26" s="898">
        <v>10</v>
      </c>
      <c r="J26" s="859">
        <v>15</v>
      </c>
      <c r="K26" s="889">
        <v>46.67</v>
      </c>
      <c r="L26" s="863">
        <v>36.6</v>
      </c>
      <c r="M26" s="871">
        <v>7293</v>
      </c>
      <c r="N26" s="905">
        <v>487.8</v>
      </c>
      <c r="O26" s="905">
        <v>273.8</v>
      </c>
      <c r="P26" s="876">
        <v>12.5</v>
      </c>
      <c r="Q26" s="892">
        <v>458.6</v>
      </c>
      <c r="R26" s="905">
        <v>65.5</v>
      </c>
      <c r="S26" s="877">
        <v>3.13</v>
      </c>
    </row>
    <row r="27" spans="4:19">
      <c r="D27" s="2">
        <v>16</v>
      </c>
      <c r="E27" s="884" t="s">
        <v>186</v>
      </c>
      <c r="F27" s="856">
        <v>346</v>
      </c>
      <c r="G27" s="895">
        <v>155</v>
      </c>
      <c r="H27" s="896">
        <v>6.2</v>
      </c>
      <c r="I27" s="896">
        <v>8.5</v>
      </c>
      <c r="J27" s="856">
        <v>18</v>
      </c>
      <c r="K27" s="888">
        <v>49.53</v>
      </c>
      <c r="L27" s="862">
        <v>38.9</v>
      </c>
      <c r="M27" s="869">
        <v>10060</v>
      </c>
      <c r="N27" s="904">
        <v>581.70000000000005</v>
      </c>
      <c r="O27" s="904">
        <v>328.6</v>
      </c>
      <c r="P27" s="874">
        <v>14.25</v>
      </c>
      <c r="Q27" s="891">
        <v>529.6</v>
      </c>
      <c r="R27" s="904">
        <v>68.3</v>
      </c>
      <c r="S27" s="875">
        <v>3.27</v>
      </c>
    </row>
    <row r="28" spans="4:19">
      <c r="D28" s="2">
        <v>17</v>
      </c>
      <c r="E28" s="884" t="s">
        <v>187</v>
      </c>
      <c r="F28" s="856">
        <v>349</v>
      </c>
      <c r="G28" s="895">
        <v>155</v>
      </c>
      <c r="H28" s="896">
        <v>6.5</v>
      </c>
      <c r="I28" s="896">
        <v>10</v>
      </c>
      <c r="J28" s="856">
        <v>18</v>
      </c>
      <c r="K28" s="888">
        <v>55.17</v>
      </c>
      <c r="L28" s="862">
        <v>43.3</v>
      </c>
      <c r="M28" s="869">
        <v>11550</v>
      </c>
      <c r="N28" s="904">
        <v>662.2</v>
      </c>
      <c r="O28" s="904">
        <v>373</v>
      </c>
      <c r="P28" s="874">
        <v>14.47</v>
      </c>
      <c r="Q28" s="891">
        <v>622.9</v>
      </c>
      <c r="R28" s="904">
        <v>80.400000000000006</v>
      </c>
      <c r="S28" s="875">
        <v>3.36</v>
      </c>
    </row>
    <row r="29" spans="4:19">
      <c r="D29" s="2">
        <v>18</v>
      </c>
      <c r="E29" s="885" t="s">
        <v>188</v>
      </c>
      <c r="F29" s="859">
        <v>392</v>
      </c>
      <c r="G29" s="897">
        <v>165</v>
      </c>
      <c r="H29" s="898">
        <v>7</v>
      </c>
      <c r="I29" s="898">
        <v>9.5</v>
      </c>
      <c r="J29" s="859">
        <v>21</v>
      </c>
      <c r="K29" s="889">
        <v>61.25</v>
      </c>
      <c r="L29" s="863">
        <v>48.1</v>
      </c>
      <c r="M29" s="871">
        <v>15750</v>
      </c>
      <c r="N29" s="905">
        <v>803.6</v>
      </c>
      <c r="O29" s="905">
        <v>456</v>
      </c>
      <c r="P29" s="876">
        <v>16.03</v>
      </c>
      <c r="Q29" s="892">
        <v>714.9</v>
      </c>
      <c r="R29" s="905">
        <v>86.7</v>
      </c>
      <c r="S29" s="877">
        <v>3.42</v>
      </c>
    </row>
    <row r="30" spans="4:19">
      <c r="D30" s="2">
        <v>19</v>
      </c>
      <c r="E30" s="885" t="s">
        <v>189</v>
      </c>
      <c r="F30" s="859">
        <v>396</v>
      </c>
      <c r="G30" s="897">
        <v>165</v>
      </c>
      <c r="H30" s="898">
        <v>7.5</v>
      </c>
      <c r="I30" s="898">
        <v>11.5</v>
      </c>
      <c r="J30" s="859">
        <v>21</v>
      </c>
      <c r="K30" s="889">
        <v>69.72</v>
      </c>
      <c r="L30" s="863">
        <v>54.7</v>
      </c>
      <c r="M30" s="871">
        <v>18530</v>
      </c>
      <c r="N30" s="905">
        <v>935.7</v>
      </c>
      <c r="O30" s="905">
        <v>529.70000000000005</v>
      </c>
      <c r="P30" s="876">
        <v>16.3</v>
      </c>
      <c r="Q30" s="892">
        <v>865</v>
      </c>
      <c r="R30" s="905">
        <v>104.8</v>
      </c>
      <c r="S30" s="877">
        <v>3.52</v>
      </c>
    </row>
    <row r="31" spans="4:19">
      <c r="D31" s="2">
        <v>20</v>
      </c>
      <c r="E31" s="884" t="s">
        <v>190</v>
      </c>
      <c r="F31" s="856">
        <v>443</v>
      </c>
      <c r="G31" s="895">
        <v>180</v>
      </c>
      <c r="H31" s="896">
        <v>7.3</v>
      </c>
      <c r="I31" s="896">
        <v>11</v>
      </c>
      <c r="J31" s="856">
        <v>21</v>
      </c>
      <c r="K31" s="888">
        <v>76.23</v>
      </c>
      <c r="L31" s="862">
        <v>59.8</v>
      </c>
      <c r="M31" s="869">
        <v>24940</v>
      </c>
      <c r="N31" s="904">
        <v>1125.8</v>
      </c>
      <c r="O31" s="904">
        <v>639.5</v>
      </c>
      <c r="P31" s="874">
        <v>18.09</v>
      </c>
      <c r="Q31" s="891">
        <v>1073.7</v>
      </c>
      <c r="R31" s="904">
        <v>119.3</v>
      </c>
      <c r="S31" s="875">
        <v>3.75</v>
      </c>
    </row>
    <row r="32" spans="4:19">
      <c r="D32" s="2">
        <v>21</v>
      </c>
      <c r="E32" s="884" t="s">
        <v>191</v>
      </c>
      <c r="F32" s="856">
        <v>447</v>
      </c>
      <c r="G32" s="895">
        <v>180</v>
      </c>
      <c r="H32" s="896">
        <v>8.4</v>
      </c>
      <c r="I32" s="896">
        <v>13</v>
      </c>
      <c r="J32" s="856">
        <v>21</v>
      </c>
      <c r="K32" s="888">
        <v>86.96</v>
      </c>
      <c r="L32" s="862">
        <v>67.5</v>
      </c>
      <c r="M32" s="869">
        <v>28870</v>
      </c>
      <c r="N32" s="904">
        <v>1291.9000000000001</v>
      </c>
      <c r="O32" s="904">
        <v>732.9</v>
      </c>
      <c r="P32" s="874">
        <v>18.32</v>
      </c>
      <c r="Q32" s="891">
        <v>1269</v>
      </c>
      <c r="R32" s="904">
        <v>141</v>
      </c>
      <c r="S32" s="875">
        <v>3.84</v>
      </c>
    </row>
    <row r="33" spans="4:19">
      <c r="D33" s="2">
        <v>22</v>
      </c>
      <c r="E33" s="885" t="s">
        <v>192</v>
      </c>
      <c r="F33" s="859">
        <v>482</v>
      </c>
      <c r="G33" s="897">
        <v>200</v>
      </c>
      <c r="H33" s="898">
        <v>8.8000000000000007</v>
      </c>
      <c r="I33" s="898">
        <v>12</v>
      </c>
      <c r="J33" s="859">
        <v>21</v>
      </c>
      <c r="K33" s="889">
        <v>92.98</v>
      </c>
      <c r="L33" s="863">
        <v>73</v>
      </c>
      <c r="M33" s="871">
        <v>37160</v>
      </c>
      <c r="N33" s="905">
        <v>1511</v>
      </c>
      <c r="O33" s="905">
        <v>850.4</v>
      </c>
      <c r="P33" s="876">
        <v>19.989999999999998</v>
      </c>
      <c r="Q33" s="892">
        <v>1606</v>
      </c>
      <c r="R33" s="905">
        <v>160.6</v>
      </c>
      <c r="S33" s="877">
        <v>4.16</v>
      </c>
    </row>
    <row r="34" spans="4:19">
      <c r="D34" s="2">
        <v>23</v>
      </c>
      <c r="E34" s="885" t="s">
        <v>193</v>
      </c>
      <c r="F34" s="859">
        <v>486</v>
      </c>
      <c r="G34" s="897">
        <v>200</v>
      </c>
      <c r="H34" s="898">
        <v>9.1999999999999993</v>
      </c>
      <c r="I34" s="898">
        <v>14</v>
      </c>
      <c r="J34" s="859">
        <v>21</v>
      </c>
      <c r="K34" s="889">
        <v>102.8</v>
      </c>
      <c r="L34" s="863">
        <v>80.7</v>
      </c>
      <c r="M34" s="871">
        <v>42390</v>
      </c>
      <c r="N34" s="905">
        <v>1709</v>
      </c>
      <c r="O34" s="905">
        <v>970.2</v>
      </c>
      <c r="P34" s="876">
        <v>20.3</v>
      </c>
      <c r="Q34" s="892">
        <v>1873</v>
      </c>
      <c r="R34" s="905">
        <v>187.3</v>
      </c>
      <c r="S34" s="877">
        <v>4.2699999999999996</v>
      </c>
    </row>
    <row r="35" spans="4:19">
      <c r="D35" s="2">
        <v>24</v>
      </c>
      <c r="E35" s="884" t="s">
        <v>194</v>
      </c>
      <c r="F35" s="856">
        <v>543</v>
      </c>
      <c r="G35" s="895">
        <v>220</v>
      </c>
      <c r="H35" s="896">
        <v>9.5</v>
      </c>
      <c r="I35" s="896">
        <v>13.5</v>
      </c>
      <c r="J35" s="856">
        <v>24</v>
      </c>
      <c r="K35" s="888">
        <v>113.37</v>
      </c>
      <c r="L35" s="862">
        <v>89</v>
      </c>
      <c r="M35" s="869">
        <v>55680</v>
      </c>
      <c r="N35" s="904">
        <v>2051</v>
      </c>
      <c r="O35" s="906">
        <v>1165</v>
      </c>
      <c r="P35" s="874">
        <v>22.16</v>
      </c>
      <c r="Q35" s="891">
        <v>2404</v>
      </c>
      <c r="R35" s="904">
        <v>218.6</v>
      </c>
      <c r="S35" s="875">
        <v>4.6100000000000003</v>
      </c>
    </row>
    <row r="36" spans="4:19">
      <c r="D36" s="2">
        <v>25</v>
      </c>
      <c r="E36" s="884" t="s">
        <v>195</v>
      </c>
      <c r="F36" s="856">
        <v>547</v>
      </c>
      <c r="G36" s="895">
        <v>220</v>
      </c>
      <c r="H36" s="896">
        <v>10</v>
      </c>
      <c r="I36" s="896">
        <v>15.5</v>
      </c>
      <c r="J36" s="856">
        <v>24</v>
      </c>
      <c r="K36" s="888">
        <v>124.75</v>
      </c>
      <c r="L36" s="862">
        <v>97.9</v>
      </c>
      <c r="M36" s="869">
        <v>62790</v>
      </c>
      <c r="N36" s="904">
        <v>2296</v>
      </c>
      <c r="O36" s="906">
        <v>1302</v>
      </c>
      <c r="P36" s="874">
        <v>22.43</v>
      </c>
      <c r="Q36" s="891">
        <v>2760</v>
      </c>
      <c r="R36" s="904">
        <v>250.9</v>
      </c>
      <c r="S36" s="875">
        <v>4.7</v>
      </c>
    </row>
    <row r="37" spans="4:19">
      <c r="D37" s="2">
        <v>26</v>
      </c>
      <c r="E37" s="885" t="s">
        <v>196</v>
      </c>
      <c r="F37" s="859">
        <v>593</v>
      </c>
      <c r="G37" s="897">
        <v>230</v>
      </c>
      <c r="H37" s="898">
        <v>10.5</v>
      </c>
      <c r="I37" s="898">
        <v>15.5</v>
      </c>
      <c r="J37" s="859">
        <v>24</v>
      </c>
      <c r="K37" s="889">
        <v>135.26</v>
      </c>
      <c r="L37" s="863">
        <v>106.2</v>
      </c>
      <c r="M37" s="871">
        <v>78760</v>
      </c>
      <c r="N37" s="905">
        <v>2656</v>
      </c>
      <c r="O37" s="907">
        <v>1512</v>
      </c>
      <c r="P37" s="876">
        <v>24.13</v>
      </c>
      <c r="Q37" s="892">
        <v>3154</v>
      </c>
      <c r="R37" s="905">
        <v>274.3</v>
      </c>
      <c r="S37" s="877">
        <v>4.83</v>
      </c>
    </row>
    <row r="38" spans="4:19">
      <c r="D38" s="2">
        <v>27</v>
      </c>
      <c r="E38" s="885" t="s">
        <v>197</v>
      </c>
      <c r="F38" s="859">
        <v>597</v>
      </c>
      <c r="G38" s="897">
        <v>230</v>
      </c>
      <c r="H38" s="898">
        <v>11</v>
      </c>
      <c r="I38" s="898">
        <v>17.5</v>
      </c>
      <c r="J38" s="859">
        <v>24</v>
      </c>
      <c r="K38" s="889">
        <v>147.30000000000001</v>
      </c>
      <c r="L38" s="863">
        <v>115.6</v>
      </c>
      <c r="M38" s="871">
        <v>87640</v>
      </c>
      <c r="N38" s="905">
        <v>2936</v>
      </c>
      <c r="O38" s="907">
        <v>1669</v>
      </c>
      <c r="P38" s="876">
        <v>24.39</v>
      </c>
      <c r="Q38" s="892">
        <v>3561</v>
      </c>
      <c r="R38" s="905">
        <v>309.60000000000002</v>
      </c>
      <c r="S38" s="877">
        <v>4.92</v>
      </c>
    </row>
    <row r="39" spans="4:19">
      <c r="D39" s="2">
        <v>28</v>
      </c>
      <c r="E39" s="884" t="s">
        <v>198</v>
      </c>
      <c r="F39" s="856">
        <v>691</v>
      </c>
      <c r="G39" s="895">
        <v>260</v>
      </c>
      <c r="H39" s="896">
        <v>12</v>
      </c>
      <c r="I39" s="896">
        <v>15.5</v>
      </c>
      <c r="J39" s="856">
        <v>24</v>
      </c>
      <c r="K39" s="888">
        <v>164.7</v>
      </c>
      <c r="L39" s="862">
        <v>129.30000000000001</v>
      </c>
      <c r="M39" s="878">
        <v>125930</v>
      </c>
      <c r="N39" s="904">
        <v>3645</v>
      </c>
      <c r="O39" s="906">
        <v>2095</v>
      </c>
      <c r="P39" s="874">
        <v>27.65</v>
      </c>
      <c r="Q39" s="891">
        <v>4556</v>
      </c>
      <c r="R39" s="904">
        <v>350.5</v>
      </c>
      <c r="S39" s="875">
        <v>5.26</v>
      </c>
    </row>
    <row r="40" spans="4:19">
      <c r="D40" s="2">
        <v>29</v>
      </c>
      <c r="E40" s="884" t="s">
        <v>199</v>
      </c>
      <c r="F40" s="856">
        <v>697</v>
      </c>
      <c r="G40" s="895">
        <v>260</v>
      </c>
      <c r="H40" s="896">
        <v>12.5</v>
      </c>
      <c r="I40" s="896">
        <v>18.5</v>
      </c>
      <c r="J40" s="856">
        <v>24</v>
      </c>
      <c r="K40" s="888">
        <v>183.6</v>
      </c>
      <c r="L40" s="862">
        <v>144.19999999999999</v>
      </c>
      <c r="M40" s="878">
        <v>145912</v>
      </c>
      <c r="N40" s="904">
        <v>4187</v>
      </c>
      <c r="O40" s="906">
        <v>2393</v>
      </c>
      <c r="P40" s="874">
        <v>28.19</v>
      </c>
      <c r="Q40" s="891">
        <v>5437</v>
      </c>
      <c r="R40" s="904">
        <v>418.2</v>
      </c>
      <c r="S40" s="875">
        <v>5.44</v>
      </c>
    </row>
    <row r="41" spans="4:19">
      <c r="D41" s="2">
        <v>30</v>
      </c>
      <c r="E41" s="885" t="s">
        <v>200</v>
      </c>
      <c r="F41" s="859">
        <v>791</v>
      </c>
      <c r="G41" s="897">
        <v>280</v>
      </c>
      <c r="H41" s="898">
        <v>13.5</v>
      </c>
      <c r="I41" s="898">
        <v>17</v>
      </c>
      <c r="J41" s="859">
        <v>26</v>
      </c>
      <c r="K41" s="889">
        <v>203.2</v>
      </c>
      <c r="L41" s="863">
        <v>159.5</v>
      </c>
      <c r="M41" s="879">
        <v>199500</v>
      </c>
      <c r="N41" s="905">
        <v>5044</v>
      </c>
      <c r="O41" s="907">
        <v>2917</v>
      </c>
      <c r="P41" s="876">
        <v>31.33</v>
      </c>
      <c r="Q41" s="892">
        <v>6244</v>
      </c>
      <c r="R41" s="905">
        <v>446</v>
      </c>
      <c r="S41" s="877">
        <v>5.54</v>
      </c>
    </row>
    <row r="42" spans="4:19">
      <c r="D42" s="2">
        <v>31</v>
      </c>
      <c r="E42" s="885" t="s">
        <v>201</v>
      </c>
      <c r="F42" s="859">
        <v>796</v>
      </c>
      <c r="G42" s="897">
        <v>280</v>
      </c>
      <c r="H42" s="898">
        <v>14</v>
      </c>
      <c r="I42" s="898">
        <v>20.5</v>
      </c>
      <c r="J42" s="859">
        <v>26</v>
      </c>
      <c r="K42" s="889">
        <v>226.6</v>
      </c>
      <c r="L42" s="863">
        <v>177.9</v>
      </c>
      <c r="M42" s="879">
        <v>232200</v>
      </c>
      <c r="N42" s="905">
        <v>5820</v>
      </c>
      <c r="O42" s="907">
        <v>3343</v>
      </c>
      <c r="P42" s="876">
        <v>32.01</v>
      </c>
      <c r="Q42" s="892">
        <v>7527</v>
      </c>
      <c r="R42" s="905">
        <v>537.6</v>
      </c>
      <c r="S42" s="877">
        <v>5.76</v>
      </c>
    </row>
    <row r="43" spans="4:19">
      <c r="D43" s="2">
        <v>32</v>
      </c>
      <c r="E43" s="884" t="s">
        <v>202</v>
      </c>
      <c r="F43" s="856">
        <v>893</v>
      </c>
      <c r="G43" s="895">
        <v>300</v>
      </c>
      <c r="H43" s="896">
        <v>15</v>
      </c>
      <c r="I43" s="896">
        <v>18.5</v>
      </c>
      <c r="J43" s="856">
        <v>30</v>
      </c>
      <c r="K43" s="888">
        <v>247.1</v>
      </c>
      <c r="L43" s="862">
        <v>194</v>
      </c>
      <c r="M43" s="878">
        <v>304400</v>
      </c>
      <c r="N43" s="904">
        <v>6817</v>
      </c>
      <c r="O43" s="906">
        <v>3964</v>
      </c>
      <c r="P43" s="874">
        <v>35.090000000000003</v>
      </c>
      <c r="Q43" s="891">
        <v>8365</v>
      </c>
      <c r="R43" s="904">
        <v>557.6</v>
      </c>
      <c r="S43" s="875">
        <v>5.82</v>
      </c>
    </row>
    <row r="44" spans="4:19">
      <c r="D44" s="2">
        <v>33</v>
      </c>
      <c r="E44" s="884" t="s">
        <v>203</v>
      </c>
      <c r="F44" s="856">
        <v>900</v>
      </c>
      <c r="G44" s="895">
        <v>300</v>
      </c>
      <c r="H44" s="896">
        <v>15.5</v>
      </c>
      <c r="I44" s="896">
        <v>22</v>
      </c>
      <c r="J44" s="856">
        <v>30</v>
      </c>
      <c r="K44" s="888">
        <v>272.39999999999998</v>
      </c>
      <c r="L44" s="862">
        <v>213.8</v>
      </c>
      <c r="M44" s="878">
        <v>349200</v>
      </c>
      <c r="N44" s="904">
        <v>7760</v>
      </c>
      <c r="O44" s="906">
        <v>4480</v>
      </c>
      <c r="P44" s="874">
        <v>35.799999999999997</v>
      </c>
      <c r="Q44" s="891">
        <v>9943</v>
      </c>
      <c r="R44" s="904">
        <v>662.8</v>
      </c>
      <c r="S44" s="875">
        <v>6.04</v>
      </c>
    </row>
    <row r="45" spans="4:19">
      <c r="D45" s="2">
        <v>34</v>
      </c>
      <c r="E45" s="885" t="s">
        <v>204</v>
      </c>
      <c r="F45" s="859">
        <v>990</v>
      </c>
      <c r="G45" s="897">
        <v>320</v>
      </c>
      <c r="H45" s="898">
        <v>16</v>
      </c>
      <c r="I45" s="898">
        <v>21</v>
      </c>
      <c r="J45" s="859">
        <v>30</v>
      </c>
      <c r="K45" s="889">
        <v>293.82</v>
      </c>
      <c r="L45" s="863">
        <v>230.6</v>
      </c>
      <c r="M45" s="879">
        <v>446000</v>
      </c>
      <c r="N45" s="905">
        <v>9011</v>
      </c>
      <c r="O45" s="907">
        <v>5234</v>
      </c>
      <c r="P45" s="876">
        <v>38.96</v>
      </c>
      <c r="Q45" s="879">
        <v>11520</v>
      </c>
      <c r="R45" s="905">
        <v>719.9</v>
      </c>
      <c r="S45" s="877">
        <v>6.26</v>
      </c>
    </row>
    <row r="46" spans="4:19">
      <c r="D46" s="2">
        <v>35</v>
      </c>
      <c r="E46" s="885" t="s">
        <v>205</v>
      </c>
      <c r="F46" s="859">
        <v>998</v>
      </c>
      <c r="G46" s="897">
        <v>320</v>
      </c>
      <c r="H46" s="898">
        <v>17</v>
      </c>
      <c r="I46" s="898">
        <v>25</v>
      </c>
      <c r="J46" s="859">
        <v>30</v>
      </c>
      <c r="K46" s="889">
        <v>328.9</v>
      </c>
      <c r="L46" s="863">
        <v>258.2</v>
      </c>
      <c r="M46" s="879">
        <v>516400</v>
      </c>
      <c r="N46" s="905">
        <v>10350</v>
      </c>
      <c r="O46" s="907">
        <v>5980</v>
      </c>
      <c r="P46" s="876">
        <v>39.619999999999997</v>
      </c>
      <c r="Q46" s="879">
        <v>13710</v>
      </c>
      <c r="R46" s="905">
        <v>836.9</v>
      </c>
      <c r="S46" s="877">
        <v>6.46</v>
      </c>
    </row>
    <row r="47" spans="4:19">
      <c r="D47" s="2">
        <v>36</v>
      </c>
      <c r="E47" s="885" t="s">
        <v>206</v>
      </c>
      <c r="F47" s="859">
        <v>1006</v>
      </c>
      <c r="G47" s="897">
        <v>320</v>
      </c>
      <c r="H47" s="898">
        <v>18</v>
      </c>
      <c r="I47" s="898">
        <v>29</v>
      </c>
      <c r="J47" s="859">
        <v>30</v>
      </c>
      <c r="K47" s="889">
        <v>364</v>
      </c>
      <c r="L47" s="863">
        <v>285.7</v>
      </c>
      <c r="M47" s="879">
        <v>587700</v>
      </c>
      <c r="N47" s="905">
        <v>11680</v>
      </c>
      <c r="O47" s="907">
        <v>6736</v>
      </c>
      <c r="P47" s="876">
        <v>40.18</v>
      </c>
      <c r="Q47" s="879">
        <v>15900</v>
      </c>
      <c r="R47" s="905">
        <v>993.9</v>
      </c>
      <c r="S47" s="877">
        <v>6.61</v>
      </c>
    </row>
    <row r="48" spans="4:19" ht="13.5" thickBot="1">
      <c r="D48" s="2">
        <v>37</v>
      </c>
      <c r="E48" s="886" t="s">
        <v>207</v>
      </c>
      <c r="F48" s="864">
        <v>1013</v>
      </c>
      <c r="G48" s="899">
        <v>320</v>
      </c>
      <c r="H48" s="900">
        <v>19</v>
      </c>
      <c r="I48" s="900">
        <v>32.5</v>
      </c>
      <c r="J48" s="864">
        <v>30</v>
      </c>
      <c r="K48" s="890">
        <v>400.6</v>
      </c>
      <c r="L48" s="865">
        <v>314.5</v>
      </c>
      <c r="M48" s="880">
        <v>655400</v>
      </c>
      <c r="N48" s="908">
        <v>12940</v>
      </c>
      <c r="O48" s="909">
        <v>7470</v>
      </c>
      <c r="P48" s="881">
        <v>40.450000000000003</v>
      </c>
      <c r="Q48" s="880">
        <v>17830</v>
      </c>
      <c r="R48" s="908">
        <v>1114.3</v>
      </c>
      <c r="S48" s="882">
        <v>6.67</v>
      </c>
    </row>
    <row r="60" spans="4:5" hidden="1">
      <c r="D60" s="423">
        <v>1</v>
      </c>
      <c r="E60" s="524" t="s">
        <v>167</v>
      </c>
    </row>
    <row r="61" spans="4:5" hidden="1">
      <c r="D61" s="423">
        <v>2</v>
      </c>
      <c r="E61" s="524" t="s">
        <v>168</v>
      </c>
    </row>
    <row r="62" spans="4:5" hidden="1">
      <c r="D62" s="423">
        <v>3</v>
      </c>
      <c r="E62" s="524" t="s">
        <v>132</v>
      </c>
    </row>
    <row r="63" spans="4:5" hidden="1">
      <c r="D63" s="423">
        <v>4</v>
      </c>
      <c r="E63" s="524" t="s">
        <v>133</v>
      </c>
    </row>
    <row r="64" spans="4:5" ht="13.5" hidden="1" thickBot="1">
      <c r="D64" s="423">
        <v>5</v>
      </c>
      <c r="E64" s="141" t="s">
        <v>1561</v>
      </c>
    </row>
    <row r="65" spans="4:14" ht="13.5" hidden="1" thickBot="1">
      <c r="D65" s="423">
        <v>6</v>
      </c>
      <c r="E65" s="141" t="s">
        <v>208</v>
      </c>
      <c r="M65" s="1067">
        <v>3</v>
      </c>
      <c r="N65" s="603" t="s">
        <v>159</v>
      </c>
    </row>
    <row r="66" spans="4:14" ht="15" hidden="1" thickBot="1">
      <c r="D66" s="423">
        <v>7</v>
      </c>
      <c r="E66" s="141" t="s">
        <v>1995</v>
      </c>
      <c r="M66" s="1068">
        <v>9</v>
      </c>
      <c r="N66" s="604" t="s">
        <v>2005</v>
      </c>
    </row>
    <row r="67" spans="4:14" hidden="1">
      <c r="D67" s="423">
        <v>8</v>
      </c>
      <c r="E67" s="141" t="s">
        <v>1994</v>
      </c>
    </row>
    <row r="68" spans="4:14" ht="14.25" hidden="1">
      <c r="D68" s="423">
        <v>9</v>
      </c>
      <c r="E68" s="141" t="s">
        <v>1997</v>
      </c>
    </row>
    <row r="69" spans="4:14" ht="14.25" hidden="1">
      <c r="D69" s="423">
        <v>10</v>
      </c>
      <c r="E69" s="141" t="s">
        <v>1998</v>
      </c>
    </row>
    <row r="70" spans="4:14" hidden="1">
      <c r="D70" s="423">
        <v>11</v>
      </c>
      <c r="E70" s="141" t="s">
        <v>136</v>
      </c>
    </row>
    <row r="71" spans="4:14" hidden="1">
      <c r="D71" s="423">
        <v>12</v>
      </c>
      <c r="E71" s="141" t="s">
        <v>1568</v>
      </c>
    </row>
    <row r="72" spans="4:14" ht="14.25" hidden="1">
      <c r="D72" s="423">
        <v>13</v>
      </c>
      <c r="E72" s="141" t="s">
        <v>1999</v>
      </c>
    </row>
    <row r="73" spans="4:14" ht="14.25" hidden="1">
      <c r="D73" s="423">
        <v>14</v>
      </c>
      <c r="E73" s="141" t="s">
        <v>2000</v>
      </c>
    </row>
    <row r="74" spans="4:14" hidden="1">
      <c r="D74" s="423">
        <v>15</v>
      </c>
      <c r="E74" s="141" t="s">
        <v>2001</v>
      </c>
    </row>
    <row r="75" spans="4:14" hidden="1"/>
  </sheetData>
  <pageMargins left="0.75" right="0.75" top="1" bottom="1" header="0.5" footer="0.5"/>
  <pageSetup paperSize="9" orientation="portrait" horizontalDpi="300" verticalDpi="0" copies="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print="0" autoFill="0" autoLine="0" autoPict="0" macro="[0]!Мак1_для_листа7">
                <anchor moveWithCells="1">
                  <from>
                    <xdr:col>14</xdr:col>
                    <xdr:colOff>57150</xdr:colOff>
                    <xdr:row>1</xdr:row>
                    <xdr:rowOff>133350</xdr:rowOff>
                  </from>
                  <to>
                    <xdr:col>20</xdr:col>
                    <xdr:colOff>219075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Drop Down 2">
              <controlPr defaultSize="0" print="0" autoFill="0" autoLine="0" autoPict="0" macro="[0]!Мак2_для_листа7">
                <anchor moveWithCells="1">
                  <from>
                    <xdr:col>14</xdr:col>
                    <xdr:colOff>57150</xdr:colOff>
                    <xdr:row>3</xdr:row>
                    <xdr:rowOff>57150</xdr:rowOff>
                  </from>
                  <to>
                    <xdr:col>16</xdr:col>
                    <xdr:colOff>295275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6" name="Button 6">
              <controlPr defaultSize="0" print="0" autoFill="0" autoLine="0" autoPict="0" macro="[0]!Вначало">
                <anchor moveWithCells="1">
                  <from>
                    <xdr:col>10</xdr:col>
                    <xdr:colOff>19050</xdr:colOff>
                    <xdr:row>0</xdr:row>
                    <xdr:rowOff>47625</xdr:rowOff>
                  </from>
                  <to>
                    <xdr:col>16</xdr:col>
                    <xdr:colOff>95250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0"/>
  <dimension ref="B1:U75"/>
  <sheetViews>
    <sheetView workbookViewId="0">
      <pane ySplit="11" topLeftCell="A12" activePane="bottomLeft" state="frozenSplit"/>
      <selection pane="bottomLeft"/>
    </sheetView>
  </sheetViews>
  <sheetFormatPr defaultRowHeight="12.75"/>
  <cols>
    <col min="1" max="1" width="6" customWidth="1"/>
    <col min="2" max="2" width="5.7109375" customWidth="1"/>
    <col min="3" max="3" width="6.5703125" customWidth="1"/>
    <col min="4" max="4" width="3" style="1" customWidth="1"/>
    <col min="5" max="5" width="8" customWidth="1"/>
    <col min="6" max="6" width="4.85546875" customWidth="1"/>
    <col min="7" max="8" width="4.7109375" customWidth="1"/>
    <col min="9" max="9" width="4.42578125" customWidth="1"/>
    <col min="10" max="10" width="4.140625" customWidth="1"/>
    <col min="11" max="11" width="7.5703125" customWidth="1"/>
    <col min="12" max="12" width="6.28515625" customWidth="1"/>
    <col min="13" max="13" width="7" customWidth="1"/>
    <col min="14" max="14" width="7.42578125" customWidth="1"/>
    <col min="15" max="16" width="5.42578125" customWidth="1"/>
    <col min="17" max="17" width="6.42578125" customWidth="1"/>
    <col min="18" max="18" width="6.28515625" customWidth="1"/>
    <col min="19" max="19" width="5.42578125" customWidth="1"/>
    <col min="20" max="20" width="5.140625" customWidth="1"/>
    <col min="21" max="21" width="3.85546875" customWidth="1"/>
  </cols>
  <sheetData>
    <row r="1" spans="2:21" ht="24" customHeight="1" thickBot="1">
      <c r="J1" s="911"/>
      <c r="K1" s="911"/>
    </row>
    <row r="2" spans="2:21" ht="13.5" thickBot="1">
      <c r="G2" s="1070"/>
      <c r="H2" s="1071"/>
      <c r="I2" s="1071"/>
      <c r="J2" s="1071"/>
      <c r="K2" s="1071"/>
      <c r="L2" s="1072" t="s">
        <v>1924</v>
      </c>
      <c r="M2" s="1071"/>
      <c r="N2" s="1073"/>
      <c r="O2" s="1114"/>
      <c r="P2" s="1115"/>
      <c r="Q2" s="1115"/>
      <c r="R2" s="1115"/>
      <c r="S2" s="1115"/>
      <c r="T2" s="1115"/>
      <c r="U2" s="1116"/>
    </row>
    <row r="3" spans="2:21" ht="13.5" thickBot="1">
      <c r="G3" s="362"/>
      <c r="H3" s="363"/>
      <c r="I3" s="363"/>
      <c r="J3" s="363"/>
      <c r="K3" s="1101">
        <v>20</v>
      </c>
      <c r="L3" s="1102">
        <v>82.2</v>
      </c>
      <c r="M3" s="1074">
        <f>K3*L3</f>
        <v>1644</v>
      </c>
      <c r="N3" s="1075" t="s">
        <v>1483</v>
      </c>
      <c r="O3" s="371"/>
      <c r="P3" s="372"/>
      <c r="Q3" s="372"/>
      <c r="R3" s="372"/>
      <c r="S3" s="372"/>
      <c r="T3" s="372"/>
      <c r="U3" s="373"/>
    </row>
    <row r="4" spans="2:21" ht="13.5" thickBot="1">
      <c r="G4" s="362"/>
      <c r="H4" s="363"/>
      <c r="I4" s="363"/>
      <c r="J4" s="363"/>
      <c r="K4" s="1101">
        <v>830</v>
      </c>
      <c r="L4" s="445">
        <f>L3</f>
        <v>82.2</v>
      </c>
      <c r="M4" s="1076">
        <f>IF(K4=0,0,K4/L4)</f>
        <v>10.097323600973235</v>
      </c>
      <c r="N4" s="1077" t="s">
        <v>1926</v>
      </c>
      <c r="O4" s="371"/>
      <c r="P4" s="372"/>
      <c r="Q4" s="372"/>
      <c r="R4" s="372"/>
      <c r="S4" s="372"/>
      <c r="T4" s="372"/>
      <c r="U4" s="373"/>
    </row>
    <row r="5" spans="2:21" ht="13.5" thickBot="1">
      <c r="B5" s="2"/>
      <c r="C5" s="2"/>
      <c r="D5" s="599"/>
      <c r="G5" s="444"/>
      <c r="H5" s="445"/>
      <c r="I5" s="445"/>
      <c r="J5" s="364" t="s">
        <v>1486</v>
      </c>
      <c r="K5" s="445"/>
      <c r="L5" s="1069">
        <v>104.74</v>
      </c>
      <c r="M5" s="445"/>
      <c r="N5" s="1078" t="s">
        <v>110</v>
      </c>
      <c r="O5" s="1117"/>
      <c r="P5" s="1118"/>
      <c r="Q5" s="1118"/>
      <c r="R5" s="1118"/>
      <c r="S5" s="1118"/>
      <c r="T5" s="1118"/>
      <c r="U5" s="373"/>
    </row>
    <row r="6" spans="2:21" ht="13.5" thickBot="1">
      <c r="B6" s="2"/>
      <c r="C6" s="2"/>
      <c r="D6" s="599"/>
      <c r="G6" s="1131"/>
      <c r="H6" s="1132"/>
      <c r="I6" s="1132"/>
      <c r="J6" s="1133" t="s">
        <v>1488</v>
      </c>
      <c r="K6" s="1132"/>
      <c r="L6" s="1136" t="s">
        <v>218</v>
      </c>
      <c r="M6" s="1134"/>
      <c r="N6" s="1137"/>
      <c r="O6" s="1120"/>
      <c r="P6" s="1121"/>
      <c r="Q6" s="1121"/>
      <c r="R6" s="1121"/>
      <c r="S6" s="1121"/>
      <c r="T6" s="1121"/>
      <c r="U6" s="1135"/>
    </row>
    <row r="7" spans="2:21">
      <c r="B7" s="2"/>
      <c r="C7" s="2"/>
      <c r="D7" s="599"/>
      <c r="G7" s="1"/>
      <c r="H7" s="1"/>
      <c r="I7" s="1"/>
      <c r="J7" s="1"/>
      <c r="K7" s="1"/>
      <c r="L7" s="1"/>
      <c r="M7" s="807" t="s">
        <v>169</v>
      </c>
      <c r="N7" s="1"/>
      <c r="O7" s="1"/>
      <c r="P7" s="1"/>
      <c r="Q7" s="1"/>
      <c r="R7" s="1"/>
      <c r="S7" s="1"/>
      <c r="T7" s="1"/>
    </row>
    <row r="8" spans="2:21" ht="13.5" thickBot="1">
      <c r="B8" s="2"/>
      <c r="C8" s="2"/>
      <c r="D8" s="599"/>
      <c r="G8" s="1"/>
      <c r="H8" s="1"/>
      <c r="I8" s="1"/>
      <c r="J8" s="1"/>
      <c r="K8" s="1"/>
      <c r="L8" s="1"/>
      <c r="M8" s="807" t="s">
        <v>209</v>
      </c>
      <c r="N8" s="1"/>
      <c r="O8" s="1"/>
      <c r="P8" s="1"/>
      <c r="Q8" s="1"/>
      <c r="R8" s="1"/>
      <c r="S8" s="1"/>
      <c r="T8" s="1"/>
    </row>
    <row r="9" spans="2:21" ht="24.75">
      <c r="B9" s="3"/>
      <c r="C9" s="3"/>
      <c r="D9" s="3"/>
      <c r="E9" s="49" t="s">
        <v>1544</v>
      </c>
      <c r="F9" s="18"/>
      <c r="G9" s="19"/>
      <c r="H9" s="19"/>
      <c r="I9" s="19"/>
      <c r="J9" s="20"/>
      <c r="K9" s="6" t="s">
        <v>112</v>
      </c>
      <c r="L9" s="6" t="s">
        <v>1491</v>
      </c>
      <c r="M9" s="4" t="s">
        <v>113</v>
      </c>
      <c r="N9" s="21" t="s">
        <v>114</v>
      </c>
      <c r="O9" s="21" t="s">
        <v>115</v>
      </c>
      <c r="P9" s="21" t="s">
        <v>116</v>
      </c>
      <c r="Q9" s="4" t="s">
        <v>117</v>
      </c>
      <c r="R9" s="21" t="s">
        <v>118</v>
      </c>
      <c r="S9" s="5" t="s">
        <v>118</v>
      </c>
      <c r="T9" s="54"/>
    </row>
    <row r="10" spans="2:21" s="17" customFormat="1" ht="18.75">
      <c r="E10" s="50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1533</v>
      </c>
      <c r="K10" s="23" t="s">
        <v>1531</v>
      </c>
      <c r="L10" s="23" t="s">
        <v>1530</v>
      </c>
      <c r="M10" s="23" t="s">
        <v>1940</v>
      </c>
      <c r="N10" s="26" t="s">
        <v>122</v>
      </c>
      <c r="O10" s="26" t="s">
        <v>124</v>
      </c>
      <c r="P10" s="26" t="s">
        <v>123</v>
      </c>
      <c r="Q10" s="23" t="s">
        <v>1943</v>
      </c>
      <c r="R10" s="26" t="s">
        <v>125</v>
      </c>
      <c r="S10" s="56" t="s">
        <v>1945</v>
      </c>
      <c r="T10" s="55"/>
    </row>
    <row r="11" spans="2:21" s="8" customFormat="1" ht="15" thickBot="1">
      <c r="D11" s="599" t="s">
        <v>1953</v>
      </c>
      <c r="E11" s="25"/>
      <c r="F11" s="12" t="s">
        <v>1545</v>
      </c>
      <c r="G11" s="27" t="s">
        <v>1545</v>
      </c>
      <c r="H11" s="27" t="s">
        <v>1545</v>
      </c>
      <c r="I11" s="27" t="s">
        <v>1545</v>
      </c>
      <c r="J11" s="27" t="s">
        <v>1545</v>
      </c>
      <c r="K11" s="12" t="s">
        <v>1954</v>
      </c>
      <c r="L11" s="28" t="s">
        <v>1483</v>
      </c>
      <c r="M11" s="12" t="s">
        <v>1956</v>
      </c>
      <c r="N11" s="27" t="s">
        <v>127</v>
      </c>
      <c r="O11" s="27" t="s">
        <v>127</v>
      </c>
      <c r="P11" s="27" t="s">
        <v>1549</v>
      </c>
      <c r="Q11" s="12" t="s">
        <v>1956</v>
      </c>
      <c r="R11" s="27" t="s">
        <v>127</v>
      </c>
      <c r="S11" s="57" t="s">
        <v>1549</v>
      </c>
      <c r="T11" s="44"/>
    </row>
    <row r="12" spans="2:21">
      <c r="D12" s="599">
        <v>1</v>
      </c>
      <c r="E12" s="883" t="s">
        <v>210</v>
      </c>
      <c r="F12" s="854">
        <v>193</v>
      </c>
      <c r="G12" s="893">
        <v>150</v>
      </c>
      <c r="H12" s="894">
        <v>6</v>
      </c>
      <c r="I12" s="894">
        <v>9</v>
      </c>
      <c r="J12" s="854">
        <v>13</v>
      </c>
      <c r="K12" s="887">
        <v>38.950000000000003</v>
      </c>
      <c r="L12" s="855">
        <v>30.6</v>
      </c>
      <c r="M12" s="866">
        <v>2660</v>
      </c>
      <c r="N12" s="901">
        <v>275</v>
      </c>
      <c r="O12" s="901">
        <v>153</v>
      </c>
      <c r="P12" s="867">
        <v>8.26</v>
      </c>
      <c r="Q12" s="866">
        <v>507</v>
      </c>
      <c r="R12" s="910">
        <v>67.599999999999994</v>
      </c>
      <c r="S12" s="868">
        <v>3.61</v>
      </c>
      <c r="T12" s="39"/>
    </row>
    <row r="13" spans="2:21">
      <c r="D13" s="599">
        <v>2</v>
      </c>
      <c r="E13" s="884" t="s">
        <v>211</v>
      </c>
      <c r="F13" s="856">
        <v>226</v>
      </c>
      <c r="G13" s="895">
        <v>155</v>
      </c>
      <c r="H13" s="896">
        <v>6.5</v>
      </c>
      <c r="I13" s="896">
        <v>10</v>
      </c>
      <c r="J13" s="856">
        <v>14</v>
      </c>
      <c r="K13" s="884">
        <v>46.08</v>
      </c>
      <c r="L13" s="858">
        <v>36.200000000000003</v>
      </c>
      <c r="M13" s="869">
        <v>4260</v>
      </c>
      <c r="N13" s="902">
        <v>377</v>
      </c>
      <c r="O13" s="902">
        <v>210</v>
      </c>
      <c r="P13" s="38">
        <v>9.6199999999999992</v>
      </c>
      <c r="Q13" s="869">
        <v>622</v>
      </c>
      <c r="R13" s="904">
        <v>80.2</v>
      </c>
      <c r="S13" s="870">
        <v>3.67</v>
      </c>
      <c r="T13" s="39"/>
    </row>
    <row r="14" spans="2:21">
      <c r="D14" s="599">
        <v>3</v>
      </c>
      <c r="E14" s="885" t="s">
        <v>212</v>
      </c>
      <c r="F14" s="859">
        <v>251</v>
      </c>
      <c r="G14" s="897">
        <v>180</v>
      </c>
      <c r="H14" s="898">
        <v>7</v>
      </c>
      <c r="I14" s="898">
        <v>10</v>
      </c>
      <c r="J14" s="859">
        <v>16</v>
      </c>
      <c r="K14" s="885">
        <v>54.37</v>
      </c>
      <c r="L14" s="861">
        <v>42.7</v>
      </c>
      <c r="M14" s="871">
        <v>6225</v>
      </c>
      <c r="N14" s="903">
        <v>496</v>
      </c>
      <c r="O14" s="903">
        <v>276</v>
      </c>
      <c r="P14" s="876">
        <v>10.7</v>
      </c>
      <c r="Q14" s="871">
        <v>974</v>
      </c>
      <c r="R14" s="905">
        <v>108.2</v>
      </c>
      <c r="S14" s="873">
        <v>4.2300000000000004</v>
      </c>
      <c r="T14" s="39"/>
    </row>
    <row r="15" spans="2:21">
      <c r="D15" s="599">
        <v>4</v>
      </c>
      <c r="E15" s="885" t="s">
        <v>213</v>
      </c>
      <c r="F15" s="859">
        <v>255</v>
      </c>
      <c r="G15" s="897">
        <v>180</v>
      </c>
      <c r="H15" s="898">
        <v>7.5</v>
      </c>
      <c r="I15" s="898">
        <v>12</v>
      </c>
      <c r="J15" s="859">
        <v>16</v>
      </c>
      <c r="K15" s="885">
        <v>62.73</v>
      </c>
      <c r="L15" s="861">
        <v>49.2</v>
      </c>
      <c r="M15" s="871">
        <v>7429</v>
      </c>
      <c r="N15" s="903">
        <v>583</v>
      </c>
      <c r="O15" s="903">
        <v>325</v>
      </c>
      <c r="P15" s="876">
        <v>10.88</v>
      </c>
      <c r="Q15" s="871">
        <v>1138</v>
      </c>
      <c r="R15" s="905">
        <v>129.80000000000001</v>
      </c>
      <c r="S15" s="873">
        <v>4.3099999999999996</v>
      </c>
      <c r="T15" s="39"/>
    </row>
    <row r="16" spans="2:21">
      <c r="D16" s="599">
        <v>5</v>
      </c>
      <c r="E16" s="884" t="s">
        <v>214</v>
      </c>
      <c r="F16" s="856">
        <v>291</v>
      </c>
      <c r="G16" s="895">
        <v>200</v>
      </c>
      <c r="H16" s="896">
        <v>8</v>
      </c>
      <c r="I16" s="896">
        <v>11</v>
      </c>
      <c r="J16" s="856">
        <v>18</v>
      </c>
      <c r="K16" s="884">
        <v>68.31</v>
      </c>
      <c r="L16" s="858">
        <v>53.6</v>
      </c>
      <c r="M16" s="869">
        <v>10400</v>
      </c>
      <c r="N16" s="902">
        <v>715</v>
      </c>
      <c r="O16" s="902">
        <v>398</v>
      </c>
      <c r="P16" s="874">
        <v>12.34</v>
      </c>
      <c r="Q16" s="869">
        <v>1470</v>
      </c>
      <c r="R16" s="904">
        <v>147</v>
      </c>
      <c r="S16" s="870">
        <v>4.6399999999999997</v>
      </c>
      <c r="T16" s="39"/>
    </row>
    <row r="17" spans="4:19">
      <c r="D17" s="599">
        <v>6</v>
      </c>
      <c r="E17" s="884" t="s">
        <v>215</v>
      </c>
      <c r="F17" s="856">
        <v>295</v>
      </c>
      <c r="G17" s="895">
        <v>200</v>
      </c>
      <c r="H17" s="896">
        <v>8.5</v>
      </c>
      <c r="I17" s="896">
        <v>13</v>
      </c>
      <c r="J17" s="856">
        <v>18</v>
      </c>
      <c r="K17" s="888">
        <v>77.650000000000006</v>
      </c>
      <c r="L17" s="862">
        <v>61</v>
      </c>
      <c r="M17" s="869">
        <v>12200</v>
      </c>
      <c r="N17" s="906">
        <v>827</v>
      </c>
      <c r="O17" s="902">
        <v>452</v>
      </c>
      <c r="P17" s="874">
        <v>12.53</v>
      </c>
      <c r="Q17" s="869">
        <v>1737</v>
      </c>
      <c r="R17" s="904">
        <v>173.7</v>
      </c>
      <c r="S17" s="875">
        <v>4.7300000000000004</v>
      </c>
    </row>
    <row r="18" spans="4:19">
      <c r="D18" s="599">
        <v>7</v>
      </c>
      <c r="E18" s="884" t="s">
        <v>216</v>
      </c>
      <c r="F18" s="856">
        <v>299</v>
      </c>
      <c r="G18" s="895">
        <v>200</v>
      </c>
      <c r="H18" s="896">
        <v>9</v>
      </c>
      <c r="I18" s="896">
        <v>15</v>
      </c>
      <c r="J18" s="856">
        <v>18</v>
      </c>
      <c r="K18" s="888">
        <v>87</v>
      </c>
      <c r="L18" s="862">
        <v>68.3</v>
      </c>
      <c r="M18" s="869">
        <v>14040</v>
      </c>
      <c r="N18" s="906">
        <v>939</v>
      </c>
      <c r="O18" s="902">
        <v>523</v>
      </c>
      <c r="P18" s="874">
        <v>12.7</v>
      </c>
      <c r="Q18" s="869">
        <v>2004</v>
      </c>
      <c r="R18" s="904">
        <v>200.4</v>
      </c>
      <c r="S18" s="875">
        <v>4.8</v>
      </c>
    </row>
    <row r="19" spans="4:19">
      <c r="D19" s="599">
        <v>8</v>
      </c>
      <c r="E19" s="885" t="s">
        <v>217</v>
      </c>
      <c r="F19" s="859">
        <v>338</v>
      </c>
      <c r="G19" s="897">
        <v>250</v>
      </c>
      <c r="H19" s="898">
        <v>9.5</v>
      </c>
      <c r="I19" s="898">
        <v>12.5</v>
      </c>
      <c r="J19" s="859">
        <v>20</v>
      </c>
      <c r="K19" s="889">
        <v>95.67</v>
      </c>
      <c r="L19" s="863">
        <v>75.099999999999994</v>
      </c>
      <c r="M19" s="871">
        <v>19790</v>
      </c>
      <c r="N19" s="907">
        <v>1171</v>
      </c>
      <c r="O19" s="903">
        <v>651</v>
      </c>
      <c r="P19" s="876">
        <v>14.38</v>
      </c>
      <c r="Q19" s="871">
        <v>3260</v>
      </c>
      <c r="R19" s="905">
        <v>261</v>
      </c>
      <c r="S19" s="877">
        <v>5.84</v>
      </c>
    </row>
    <row r="20" spans="4:19">
      <c r="D20" s="599">
        <v>9</v>
      </c>
      <c r="E20" s="885" t="s">
        <v>218</v>
      </c>
      <c r="F20" s="859">
        <v>341</v>
      </c>
      <c r="G20" s="897">
        <v>250</v>
      </c>
      <c r="H20" s="898">
        <v>10</v>
      </c>
      <c r="I20" s="898">
        <v>14</v>
      </c>
      <c r="J20" s="859">
        <v>20</v>
      </c>
      <c r="K20" s="889">
        <v>104.74</v>
      </c>
      <c r="L20" s="863">
        <v>82.2</v>
      </c>
      <c r="M20" s="871">
        <v>22070</v>
      </c>
      <c r="N20" s="907">
        <v>1295</v>
      </c>
      <c r="O20" s="903">
        <v>721</v>
      </c>
      <c r="P20" s="876">
        <v>14.52</v>
      </c>
      <c r="Q20" s="871">
        <v>3650</v>
      </c>
      <c r="R20" s="905">
        <v>292</v>
      </c>
      <c r="S20" s="877">
        <v>5.9</v>
      </c>
    </row>
    <row r="21" spans="4:19">
      <c r="D21" s="599">
        <v>10</v>
      </c>
      <c r="E21" s="885" t="s">
        <v>219</v>
      </c>
      <c r="F21" s="859">
        <v>345</v>
      </c>
      <c r="G21" s="897">
        <v>250</v>
      </c>
      <c r="H21" s="898">
        <v>10.5</v>
      </c>
      <c r="I21" s="898">
        <v>16</v>
      </c>
      <c r="J21" s="859">
        <v>20</v>
      </c>
      <c r="K21" s="889">
        <v>116.3</v>
      </c>
      <c r="L21" s="863">
        <v>91.3</v>
      </c>
      <c r="M21" s="871">
        <v>25140</v>
      </c>
      <c r="N21" s="907">
        <v>1458</v>
      </c>
      <c r="O21" s="903">
        <v>813</v>
      </c>
      <c r="P21" s="876">
        <v>14.7</v>
      </c>
      <c r="Q21" s="871">
        <v>4170</v>
      </c>
      <c r="R21" s="905">
        <v>334</v>
      </c>
      <c r="S21" s="877">
        <v>5.99</v>
      </c>
    </row>
    <row r="22" spans="4:19">
      <c r="D22" s="599">
        <v>11</v>
      </c>
      <c r="E22" s="884" t="s">
        <v>220</v>
      </c>
      <c r="F22" s="856">
        <v>388</v>
      </c>
      <c r="G22" s="895">
        <v>300</v>
      </c>
      <c r="H22" s="896">
        <v>9.5</v>
      </c>
      <c r="I22" s="896">
        <v>14</v>
      </c>
      <c r="J22" s="856">
        <v>22</v>
      </c>
      <c r="K22" s="888">
        <v>122.4</v>
      </c>
      <c r="L22" s="862">
        <v>96.1</v>
      </c>
      <c r="M22" s="869">
        <v>34360</v>
      </c>
      <c r="N22" s="906">
        <v>1771</v>
      </c>
      <c r="O22" s="902">
        <v>976</v>
      </c>
      <c r="P22" s="874">
        <v>16.760000000000002</v>
      </c>
      <c r="Q22" s="869">
        <v>6306</v>
      </c>
      <c r="R22" s="904">
        <v>420</v>
      </c>
      <c r="S22" s="875">
        <v>7.18</v>
      </c>
    </row>
    <row r="23" spans="4:19">
      <c r="D23" s="599">
        <v>12</v>
      </c>
      <c r="E23" s="884" t="s">
        <v>221</v>
      </c>
      <c r="F23" s="856">
        <v>392</v>
      </c>
      <c r="G23" s="895">
        <v>300</v>
      </c>
      <c r="H23" s="896">
        <v>11.5</v>
      </c>
      <c r="I23" s="896">
        <v>16</v>
      </c>
      <c r="J23" s="856">
        <v>22</v>
      </c>
      <c r="K23" s="888">
        <v>141.6</v>
      </c>
      <c r="L23" s="862">
        <v>111.1</v>
      </c>
      <c r="M23" s="869">
        <v>39700</v>
      </c>
      <c r="N23" s="906">
        <v>2025</v>
      </c>
      <c r="O23" s="902">
        <v>1125</v>
      </c>
      <c r="P23" s="874">
        <v>16.75</v>
      </c>
      <c r="Q23" s="869">
        <v>7209</v>
      </c>
      <c r="R23" s="904">
        <v>481</v>
      </c>
      <c r="S23" s="875">
        <v>7.14</v>
      </c>
    </row>
    <row r="24" spans="4:19">
      <c r="D24" s="599">
        <v>13</v>
      </c>
      <c r="E24" s="884" t="s">
        <v>222</v>
      </c>
      <c r="F24" s="856">
        <v>396</v>
      </c>
      <c r="G24" s="895">
        <v>300</v>
      </c>
      <c r="H24" s="896">
        <v>12.5</v>
      </c>
      <c r="I24" s="896">
        <v>18</v>
      </c>
      <c r="J24" s="856">
        <v>22</v>
      </c>
      <c r="K24" s="888">
        <v>157.19999999999999</v>
      </c>
      <c r="L24" s="862">
        <v>123.4</v>
      </c>
      <c r="M24" s="869">
        <v>44740</v>
      </c>
      <c r="N24" s="906">
        <v>2260</v>
      </c>
      <c r="O24" s="902">
        <v>1259</v>
      </c>
      <c r="P24" s="874">
        <v>16.87</v>
      </c>
      <c r="Q24" s="869">
        <v>8111</v>
      </c>
      <c r="R24" s="904">
        <v>541</v>
      </c>
      <c r="S24" s="875">
        <v>7.18</v>
      </c>
    </row>
    <row r="25" spans="4:19">
      <c r="D25" s="599">
        <v>14</v>
      </c>
      <c r="E25" s="885" t="s">
        <v>223</v>
      </c>
      <c r="F25" s="859">
        <v>484</v>
      </c>
      <c r="G25" s="897">
        <v>300</v>
      </c>
      <c r="H25" s="898">
        <v>11</v>
      </c>
      <c r="I25" s="898">
        <v>15</v>
      </c>
      <c r="J25" s="859">
        <v>26</v>
      </c>
      <c r="K25" s="889">
        <v>145.69999999999999</v>
      </c>
      <c r="L25" s="863">
        <v>114.4</v>
      </c>
      <c r="M25" s="871">
        <v>60930</v>
      </c>
      <c r="N25" s="907">
        <v>2518</v>
      </c>
      <c r="O25" s="903">
        <v>1403</v>
      </c>
      <c r="P25" s="876">
        <v>20.45</v>
      </c>
      <c r="Q25" s="871">
        <v>6762</v>
      </c>
      <c r="R25" s="905">
        <v>451</v>
      </c>
      <c r="S25" s="877">
        <v>6.81</v>
      </c>
    </row>
    <row r="26" spans="4:19">
      <c r="D26" s="599">
        <v>15</v>
      </c>
      <c r="E26" s="885" t="s">
        <v>224</v>
      </c>
      <c r="F26" s="859">
        <v>489</v>
      </c>
      <c r="G26" s="897">
        <v>300</v>
      </c>
      <c r="H26" s="898">
        <v>14.5</v>
      </c>
      <c r="I26" s="898">
        <v>17.5</v>
      </c>
      <c r="J26" s="859">
        <v>26</v>
      </c>
      <c r="K26" s="889">
        <v>176.6</v>
      </c>
      <c r="L26" s="863">
        <v>138.69999999999999</v>
      </c>
      <c r="M26" s="871">
        <v>72530</v>
      </c>
      <c r="N26" s="907">
        <v>2967</v>
      </c>
      <c r="O26" s="903">
        <v>1676</v>
      </c>
      <c r="P26" s="876">
        <v>20.260000000000002</v>
      </c>
      <c r="Q26" s="871">
        <v>7900</v>
      </c>
      <c r="R26" s="905">
        <v>526</v>
      </c>
      <c r="S26" s="877">
        <v>6.69</v>
      </c>
    </row>
    <row r="27" spans="4:19">
      <c r="D27" s="599">
        <v>16</v>
      </c>
      <c r="E27" s="885" t="s">
        <v>225</v>
      </c>
      <c r="F27" s="859">
        <v>495</v>
      </c>
      <c r="G27" s="897">
        <v>300</v>
      </c>
      <c r="H27" s="898">
        <v>15.5</v>
      </c>
      <c r="I27" s="898">
        <v>20.5</v>
      </c>
      <c r="J27" s="859">
        <v>26</v>
      </c>
      <c r="K27" s="889">
        <v>199.2</v>
      </c>
      <c r="L27" s="863">
        <v>156.4</v>
      </c>
      <c r="M27" s="871">
        <v>84200</v>
      </c>
      <c r="N27" s="907">
        <v>3402</v>
      </c>
      <c r="O27" s="903">
        <v>1923</v>
      </c>
      <c r="P27" s="876">
        <v>20.56</v>
      </c>
      <c r="Q27" s="871">
        <v>9250</v>
      </c>
      <c r="R27" s="905">
        <v>617</v>
      </c>
      <c r="S27" s="877">
        <v>6.81</v>
      </c>
    </row>
    <row r="28" spans="4:19">
      <c r="D28" s="599">
        <v>17</v>
      </c>
      <c r="E28" s="885" t="s">
        <v>226</v>
      </c>
      <c r="F28" s="859">
        <v>501</v>
      </c>
      <c r="G28" s="897">
        <v>300</v>
      </c>
      <c r="H28" s="898">
        <v>16.5</v>
      </c>
      <c r="I28" s="898">
        <v>23.5</v>
      </c>
      <c r="J28" s="859">
        <v>26</v>
      </c>
      <c r="K28" s="889">
        <v>221.7</v>
      </c>
      <c r="L28" s="863">
        <v>174.1</v>
      </c>
      <c r="M28" s="871">
        <v>96150</v>
      </c>
      <c r="N28" s="907">
        <v>3838</v>
      </c>
      <c r="O28" s="903">
        <v>2173</v>
      </c>
      <c r="P28" s="876">
        <v>20.82</v>
      </c>
      <c r="Q28" s="871">
        <v>10600</v>
      </c>
      <c r="R28" s="905">
        <v>707</v>
      </c>
      <c r="S28" s="877">
        <v>6.92</v>
      </c>
    </row>
    <row r="29" spans="4:19">
      <c r="D29" s="599">
        <v>18</v>
      </c>
      <c r="E29" s="884" t="s">
        <v>227</v>
      </c>
      <c r="F29" s="856">
        <v>580</v>
      </c>
      <c r="G29" s="895">
        <v>320</v>
      </c>
      <c r="H29" s="896">
        <v>12</v>
      </c>
      <c r="I29" s="896">
        <v>17</v>
      </c>
      <c r="J29" s="856">
        <v>28</v>
      </c>
      <c r="K29" s="888">
        <v>181.1</v>
      </c>
      <c r="L29" s="862">
        <v>142.1</v>
      </c>
      <c r="M29" s="869">
        <v>107300</v>
      </c>
      <c r="N29" s="906">
        <v>3701</v>
      </c>
      <c r="O29" s="902">
        <v>2068</v>
      </c>
      <c r="P29" s="874">
        <v>24.35</v>
      </c>
      <c r="Q29" s="869">
        <v>9302</v>
      </c>
      <c r="R29" s="904">
        <v>581</v>
      </c>
      <c r="S29" s="875">
        <v>7.17</v>
      </c>
    </row>
    <row r="30" spans="4:19">
      <c r="D30" s="599">
        <v>19</v>
      </c>
      <c r="E30" s="884" t="s">
        <v>228</v>
      </c>
      <c r="F30" s="856">
        <v>587</v>
      </c>
      <c r="G30" s="895">
        <v>320</v>
      </c>
      <c r="H30" s="896">
        <v>16</v>
      </c>
      <c r="I30" s="896">
        <v>20.5</v>
      </c>
      <c r="J30" s="856">
        <v>28</v>
      </c>
      <c r="K30" s="888">
        <v>225.3</v>
      </c>
      <c r="L30" s="862">
        <v>176.9</v>
      </c>
      <c r="M30" s="869">
        <v>131800</v>
      </c>
      <c r="N30" s="906">
        <v>4490</v>
      </c>
      <c r="O30" s="902">
        <v>2344</v>
      </c>
      <c r="P30" s="874">
        <v>24.19</v>
      </c>
      <c r="Q30" s="869">
        <v>11230</v>
      </c>
      <c r="R30" s="904">
        <v>702</v>
      </c>
      <c r="S30" s="875">
        <v>7.06</v>
      </c>
    </row>
    <row r="31" spans="4:19">
      <c r="D31" s="599">
        <v>20</v>
      </c>
      <c r="E31" s="884" t="s">
        <v>229</v>
      </c>
      <c r="F31" s="856">
        <v>595</v>
      </c>
      <c r="G31" s="895">
        <v>320</v>
      </c>
      <c r="H31" s="896">
        <v>18</v>
      </c>
      <c r="I31" s="896">
        <v>24.5</v>
      </c>
      <c r="J31" s="856">
        <v>28</v>
      </c>
      <c r="K31" s="888">
        <v>261.8</v>
      </c>
      <c r="L31" s="862">
        <v>205.5</v>
      </c>
      <c r="M31" s="869">
        <v>156900</v>
      </c>
      <c r="N31" s="906">
        <v>5273</v>
      </c>
      <c r="O31" s="902">
        <v>2997</v>
      </c>
      <c r="P31" s="874">
        <v>24.48</v>
      </c>
      <c r="Q31" s="869">
        <v>13420</v>
      </c>
      <c r="R31" s="904">
        <v>839</v>
      </c>
      <c r="S31" s="875">
        <v>7.16</v>
      </c>
    </row>
    <row r="32" spans="4:19">
      <c r="D32" s="599">
        <v>21</v>
      </c>
      <c r="E32" s="884" t="s">
        <v>230</v>
      </c>
      <c r="F32" s="856">
        <v>603</v>
      </c>
      <c r="G32" s="895">
        <v>320</v>
      </c>
      <c r="H32" s="896">
        <v>20</v>
      </c>
      <c r="I32" s="896">
        <v>28.5</v>
      </c>
      <c r="J32" s="856">
        <v>28</v>
      </c>
      <c r="K32" s="888">
        <v>298.33999999999997</v>
      </c>
      <c r="L32" s="862">
        <v>234.2</v>
      </c>
      <c r="M32" s="869">
        <v>182500</v>
      </c>
      <c r="N32" s="906">
        <v>6055</v>
      </c>
      <c r="O32" s="902">
        <v>3455</v>
      </c>
      <c r="P32" s="874">
        <v>24.73</v>
      </c>
      <c r="Q32" s="869">
        <v>15620</v>
      </c>
      <c r="R32" s="904">
        <v>976</v>
      </c>
      <c r="S32" s="875">
        <v>7.23</v>
      </c>
    </row>
    <row r="33" spans="4:19">
      <c r="D33" s="599">
        <v>22</v>
      </c>
      <c r="E33" s="885" t="s">
        <v>231</v>
      </c>
      <c r="F33" s="859">
        <v>683</v>
      </c>
      <c r="G33" s="897">
        <v>320</v>
      </c>
      <c r="H33" s="898">
        <v>13.5</v>
      </c>
      <c r="I33" s="898">
        <v>19</v>
      </c>
      <c r="J33" s="859">
        <v>30</v>
      </c>
      <c r="K33" s="889">
        <v>216.4</v>
      </c>
      <c r="L33" s="863">
        <v>169.9</v>
      </c>
      <c r="M33" s="871">
        <v>172000</v>
      </c>
      <c r="N33" s="907">
        <v>5036</v>
      </c>
      <c r="O33" s="903">
        <v>2843</v>
      </c>
      <c r="P33" s="876">
        <v>28.19</v>
      </c>
      <c r="Q33" s="871">
        <v>10400</v>
      </c>
      <c r="R33" s="905">
        <v>650</v>
      </c>
      <c r="S33" s="877">
        <v>6.93</v>
      </c>
    </row>
    <row r="34" spans="4:19">
      <c r="D34" s="599">
        <v>23</v>
      </c>
      <c r="E34" s="885" t="s">
        <v>232</v>
      </c>
      <c r="F34" s="859">
        <v>691</v>
      </c>
      <c r="G34" s="897">
        <v>320</v>
      </c>
      <c r="H34" s="898">
        <v>15</v>
      </c>
      <c r="I34" s="898">
        <v>23</v>
      </c>
      <c r="J34" s="859">
        <v>30</v>
      </c>
      <c r="K34" s="889">
        <v>251.7</v>
      </c>
      <c r="L34" s="863">
        <v>197.6</v>
      </c>
      <c r="M34" s="871">
        <v>205500</v>
      </c>
      <c r="N34" s="907">
        <v>5949</v>
      </c>
      <c r="O34" s="903">
        <v>3360</v>
      </c>
      <c r="P34" s="876">
        <v>28.58</v>
      </c>
      <c r="Q34" s="871">
        <v>12590</v>
      </c>
      <c r="R34" s="905">
        <v>787</v>
      </c>
      <c r="S34" s="877">
        <v>7.07</v>
      </c>
    </row>
    <row r="35" spans="4:19">
      <c r="D35" s="599">
        <v>24</v>
      </c>
      <c r="E35" s="885" t="s">
        <v>233</v>
      </c>
      <c r="F35" s="859">
        <v>700</v>
      </c>
      <c r="G35" s="897">
        <v>320</v>
      </c>
      <c r="H35" s="898">
        <v>18</v>
      </c>
      <c r="I35" s="898">
        <v>27.5</v>
      </c>
      <c r="J35" s="859">
        <v>30</v>
      </c>
      <c r="K35" s="889">
        <v>299.8</v>
      </c>
      <c r="L35" s="863">
        <v>235.4</v>
      </c>
      <c r="M35" s="871">
        <v>247100</v>
      </c>
      <c r="N35" s="907">
        <v>7059</v>
      </c>
      <c r="O35" s="903">
        <v>4017</v>
      </c>
      <c r="P35" s="876">
        <v>28.72</v>
      </c>
      <c r="Q35" s="871">
        <v>15070</v>
      </c>
      <c r="R35" s="905">
        <v>942</v>
      </c>
      <c r="S35" s="877">
        <v>7.09</v>
      </c>
    </row>
    <row r="36" spans="4:19">
      <c r="D36" s="599">
        <v>25</v>
      </c>
      <c r="E36" s="885" t="s">
        <v>234</v>
      </c>
      <c r="F36" s="859">
        <v>708</v>
      </c>
      <c r="G36" s="897">
        <v>320</v>
      </c>
      <c r="H36" s="898">
        <v>20.5</v>
      </c>
      <c r="I36" s="898">
        <v>31.5</v>
      </c>
      <c r="J36" s="859">
        <v>30</v>
      </c>
      <c r="K36" s="889">
        <v>341.6</v>
      </c>
      <c r="L36" s="863">
        <v>268.10000000000002</v>
      </c>
      <c r="M36" s="871">
        <v>284400</v>
      </c>
      <c r="N36" s="907">
        <v>8033</v>
      </c>
      <c r="O36" s="903">
        <v>4598</v>
      </c>
      <c r="P36" s="876">
        <v>28.83</v>
      </c>
      <c r="Q36" s="871">
        <v>17270</v>
      </c>
      <c r="R36" s="907">
        <v>1079</v>
      </c>
      <c r="S36" s="877">
        <v>7.11</v>
      </c>
    </row>
    <row r="37" spans="4:19" ht="13.5" thickBot="1">
      <c r="D37" s="599">
        <v>26</v>
      </c>
      <c r="E37" s="886" t="s">
        <v>235</v>
      </c>
      <c r="F37" s="864">
        <v>718</v>
      </c>
      <c r="G37" s="899">
        <v>320</v>
      </c>
      <c r="H37" s="900">
        <v>23</v>
      </c>
      <c r="I37" s="900">
        <v>35.5</v>
      </c>
      <c r="J37" s="864">
        <v>30</v>
      </c>
      <c r="K37" s="890">
        <v>389.7</v>
      </c>
      <c r="L37" s="865">
        <v>305.89999999999998</v>
      </c>
      <c r="M37" s="912">
        <v>330600</v>
      </c>
      <c r="N37" s="909">
        <v>9210</v>
      </c>
      <c r="O37" s="913">
        <v>5298</v>
      </c>
      <c r="P37" s="881">
        <v>29.13</v>
      </c>
      <c r="Q37" s="912">
        <v>20020</v>
      </c>
      <c r="R37" s="909">
        <v>1251</v>
      </c>
      <c r="S37" s="882">
        <v>7.17</v>
      </c>
    </row>
    <row r="38" spans="4:19">
      <c r="E38" s="39"/>
      <c r="F38" s="39"/>
      <c r="G38" s="39"/>
      <c r="H38" s="51"/>
      <c r="I38" s="51"/>
      <c r="J38" s="39"/>
      <c r="K38" s="52"/>
      <c r="L38" s="51"/>
      <c r="M38" s="39"/>
      <c r="N38" s="51"/>
      <c r="O38" s="53"/>
      <c r="P38" s="52"/>
      <c r="Q38" s="51"/>
      <c r="R38" s="51"/>
      <c r="S38" s="52"/>
    </row>
    <row r="39" spans="4:19">
      <c r="E39" s="39"/>
      <c r="F39" s="39"/>
      <c r="G39" s="39"/>
      <c r="H39" s="51"/>
      <c r="I39" s="51"/>
      <c r="J39" s="39"/>
      <c r="K39" s="52"/>
      <c r="L39" s="51"/>
      <c r="M39" s="53"/>
      <c r="N39" s="51"/>
      <c r="O39" s="53"/>
      <c r="P39" s="52"/>
      <c r="Q39" s="51"/>
      <c r="R39" s="51"/>
      <c r="S39" s="52"/>
    </row>
    <row r="40" spans="4:19">
      <c r="E40" s="39"/>
      <c r="F40" s="39"/>
      <c r="G40" s="39"/>
      <c r="H40" s="51"/>
      <c r="I40" s="51"/>
      <c r="J40" s="39"/>
      <c r="K40" s="52"/>
      <c r="L40" s="51"/>
      <c r="M40" s="53"/>
      <c r="N40" s="51"/>
      <c r="O40" s="53"/>
      <c r="P40" s="52"/>
      <c r="Q40" s="51"/>
      <c r="R40" s="51"/>
      <c r="S40" s="52"/>
    </row>
    <row r="41" spans="4:19">
      <c r="E41" s="39"/>
      <c r="F41" s="39"/>
      <c r="G41" s="39"/>
      <c r="H41" s="51"/>
      <c r="I41" s="51"/>
      <c r="J41" s="39"/>
      <c r="K41" s="52"/>
      <c r="L41" s="51"/>
      <c r="M41" s="53"/>
      <c r="N41" s="51"/>
      <c r="O41" s="53"/>
      <c r="P41" s="52"/>
      <c r="Q41" s="51"/>
      <c r="R41" s="51"/>
      <c r="S41" s="52"/>
    </row>
    <row r="42" spans="4:19">
      <c r="E42" s="39"/>
      <c r="F42" s="39"/>
      <c r="G42" s="39"/>
      <c r="H42" s="51"/>
      <c r="I42" s="51"/>
      <c r="J42" s="39"/>
      <c r="K42" s="52"/>
      <c r="L42" s="51"/>
      <c r="M42" s="53"/>
      <c r="N42" s="51"/>
      <c r="O42" s="53"/>
      <c r="P42" s="52"/>
      <c r="Q42" s="51"/>
      <c r="R42" s="51"/>
      <c r="S42" s="52"/>
    </row>
    <row r="43" spans="4:19">
      <c r="E43" s="39"/>
      <c r="F43" s="39"/>
      <c r="G43" s="39"/>
      <c r="H43" s="51"/>
      <c r="I43" s="51"/>
      <c r="J43" s="39"/>
      <c r="K43" s="52"/>
      <c r="L43" s="51"/>
      <c r="M43" s="53"/>
      <c r="N43" s="51"/>
      <c r="O43" s="53"/>
      <c r="P43" s="52"/>
      <c r="Q43" s="51"/>
      <c r="R43" s="51"/>
      <c r="S43" s="52"/>
    </row>
    <row r="44" spans="4:19">
      <c r="E44" s="39"/>
      <c r="F44" s="39"/>
      <c r="G44" s="39"/>
      <c r="H44" s="51"/>
      <c r="I44" s="51"/>
      <c r="J44" s="39"/>
      <c r="K44" s="52"/>
      <c r="L44" s="51"/>
      <c r="M44" s="53"/>
      <c r="N44" s="51"/>
      <c r="O44" s="53"/>
      <c r="P44" s="52"/>
      <c r="Q44" s="51"/>
      <c r="R44" s="51"/>
      <c r="S44" s="52"/>
    </row>
    <row r="45" spans="4:19">
      <c r="E45" s="39"/>
      <c r="F45" s="39"/>
      <c r="G45" s="39"/>
      <c r="H45" s="51"/>
      <c r="I45" s="51"/>
      <c r="J45" s="39"/>
      <c r="K45" s="52"/>
      <c r="L45" s="51"/>
      <c r="M45" s="53"/>
      <c r="N45" s="51"/>
      <c r="O45" s="53"/>
      <c r="P45" s="52"/>
      <c r="Q45" s="53"/>
      <c r="R45" s="51"/>
      <c r="S45" s="52"/>
    </row>
    <row r="46" spans="4:19">
      <c r="E46" s="39"/>
      <c r="F46" s="39"/>
      <c r="G46" s="39"/>
      <c r="H46" s="51"/>
      <c r="I46" s="51"/>
      <c r="J46" s="39"/>
      <c r="K46" s="52"/>
      <c r="L46" s="51"/>
      <c r="M46" s="53"/>
      <c r="N46" s="51"/>
      <c r="O46" s="53"/>
      <c r="P46" s="52"/>
      <c r="Q46" s="53"/>
      <c r="R46" s="51"/>
      <c r="S46" s="52"/>
    </row>
    <row r="47" spans="4:19">
      <c r="E47" s="39"/>
      <c r="F47" s="39"/>
      <c r="G47" s="39"/>
      <c r="H47" s="51"/>
      <c r="I47" s="51"/>
      <c r="J47" s="39"/>
      <c r="K47" s="52"/>
      <c r="L47" s="51"/>
      <c r="M47" s="53"/>
      <c r="N47" s="51"/>
      <c r="O47" s="53"/>
      <c r="P47" s="52"/>
      <c r="Q47" s="53"/>
      <c r="R47" s="51"/>
      <c r="S47" s="52"/>
    </row>
    <row r="48" spans="4:19">
      <c r="E48" s="39"/>
      <c r="F48" s="39"/>
      <c r="G48" s="39"/>
      <c r="H48" s="51"/>
      <c r="I48" s="51"/>
      <c r="J48" s="39"/>
      <c r="K48" s="52"/>
      <c r="L48" s="51"/>
      <c r="M48" s="53"/>
      <c r="N48" s="51"/>
      <c r="O48" s="53"/>
      <c r="P48" s="52"/>
      <c r="Q48" s="53"/>
      <c r="R48" s="51"/>
      <c r="S48" s="52"/>
    </row>
    <row r="60" spans="4:5" hidden="1">
      <c r="D60" s="423">
        <v>1</v>
      </c>
      <c r="E60" s="524" t="s">
        <v>167</v>
      </c>
    </row>
    <row r="61" spans="4:5" hidden="1">
      <c r="D61" s="423">
        <v>2</v>
      </c>
      <c r="E61" s="524" t="s">
        <v>168</v>
      </c>
    </row>
    <row r="62" spans="4:5" hidden="1">
      <c r="D62" s="423">
        <v>3</v>
      </c>
      <c r="E62" s="524" t="s">
        <v>132</v>
      </c>
    </row>
    <row r="63" spans="4:5" hidden="1">
      <c r="D63" s="423">
        <v>4</v>
      </c>
      <c r="E63" s="524" t="s">
        <v>133</v>
      </c>
    </row>
    <row r="64" spans="4:5" ht="13.5" hidden="1" thickBot="1">
      <c r="D64" s="423">
        <v>5</v>
      </c>
      <c r="E64" s="141" t="s">
        <v>1561</v>
      </c>
    </row>
    <row r="65" spans="4:14" ht="13.5" hidden="1" thickBot="1">
      <c r="D65" s="423">
        <v>6</v>
      </c>
      <c r="E65" s="141" t="s">
        <v>208</v>
      </c>
      <c r="M65" s="1067">
        <v>1</v>
      </c>
      <c r="N65" s="603" t="s">
        <v>159</v>
      </c>
    </row>
    <row r="66" spans="4:14" ht="15" hidden="1" thickBot="1">
      <c r="D66" s="423">
        <v>7</v>
      </c>
      <c r="E66" s="141" t="s">
        <v>1995</v>
      </c>
      <c r="M66" s="1068">
        <v>9</v>
      </c>
      <c r="N66" s="604" t="s">
        <v>135</v>
      </c>
    </row>
    <row r="67" spans="4:14" hidden="1">
      <c r="D67" s="423">
        <v>8</v>
      </c>
      <c r="E67" s="141" t="s">
        <v>1994</v>
      </c>
    </row>
    <row r="68" spans="4:14" ht="14.25" hidden="1">
      <c r="D68" s="423">
        <v>9</v>
      </c>
      <c r="E68" s="141" t="s">
        <v>1997</v>
      </c>
    </row>
    <row r="69" spans="4:14" ht="14.25" hidden="1">
      <c r="D69" s="423">
        <v>10</v>
      </c>
      <c r="E69" s="141" t="s">
        <v>1998</v>
      </c>
    </row>
    <row r="70" spans="4:14" hidden="1">
      <c r="D70" s="423">
        <v>11</v>
      </c>
      <c r="E70" s="141" t="s">
        <v>136</v>
      </c>
    </row>
    <row r="71" spans="4:14" hidden="1">
      <c r="D71" s="423">
        <v>12</v>
      </c>
      <c r="E71" s="141" t="s">
        <v>1568</v>
      </c>
    </row>
    <row r="72" spans="4:14" ht="14.25" hidden="1">
      <c r="D72" s="423">
        <v>13</v>
      </c>
      <c r="E72" s="141" t="s">
        <v>1999</v>
      </c>
    </row>
    <row r="73" spans="4:14" ht="14.25" hidden="1">
      <c r="D73" s="423">
        <v>14</v>
      </c>
      <c r="E73" s="141" t="s">
        <v>2000</v>
      </c>
    </row>
    <row r="74" spans="4:14" hidden="1">
      <c r="D74" s="423">
        <v>15</v>
      </c>
      <c r="E74" s="141" t="s">
        <v>2001</v>
      </c>
    </row>
    <row r="75" spans="4:14" hidden="1"/>
  </sheetData>
  <pageMargins left="0.75" right="0.75" top="1" bottom="1" header="0.5" footer="0.5"/>
  <headerFooter alignWithMargins="0">
    <oddHeader>&amp;A</oddHeader>
    <oddFooter>Страница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Drop Down 1">
              <controlPr defaultSize="0" print="0" autoFill="0" autoLine="0" autoPict="0" macro="[0]!Мак1_для_листа8">
                <anchor moveWithCells="1">
                  <from>
                    <xdr:col>14</xdr:col>
                    <xdr:colOff>57150</xdr:colOff>
                    <xdr:row>1</xdr:row>
                    <xdr:rowOff>85725</xdr:rowOff>
                  </from>
                  <to>
                    <xdr:col>20</xdr:col>
                    <xdr:colOff>133350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Drop Down 2">
              <controlPr defaultSize="0" print="0" autoFill="0" autoLine="0" autoPict="0" macro="[0]!Мак2_для_листа8">
                <anchor moveWithCells="1">
                  <from>
                    <xdr:col>14</xdr:col>
                    <xdr:colOff>85725</xdr:colOff>
                    <xdr:row>3</xdr:row>
                    <xdr:rowOff>9525</xdr:rowOff>
                  </from>
                  <to>
                    <xdr:col>16</xdr:col>
                    <xdr:colOff>209550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Line="0" autoPict="0" macro="[0]!Вначало">
                <anchor moveWithCells="1">
                  <from>
                    <xdr:col>8</xdr:col>
                    <xdr:colOff>171450</xdr:colOff>
                    <xdr:row>0</xdr:row>
                    <xdr:rowOff>57150</xdr:rowOff>
                  </from>
                  <to>
                    <xdr:col>16</xdr:col>
                    <xdr:colOff>323850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1"/>
  <dimension ref="B1:U55"/>
  <sheetViews>
    <sheetView workbookViewId="0">
      <pane ySplit="11" topLeftCell="A12" activePane="bottomLeft" state="frozenSplit"/>
      <selection pane="bottomLeft"/>
    </sheetView>
  </sheetViews>
  <sheetFormatPr defaultRowHeight="12.75"/>
  <cols>
    <col min="1" max="1" width="5.42578125" customWidth="1"/>
    <col min="2" max="2" width="5.28515625" customWidth="1"/>
    <col min="3" max="3" width="7.140625" customWidth="1"/>
    <col min="4" max="4" width="2.85546875" customWidth="1"/>
    <col min="5" max="5" width="6.140625" customWidth="1"/>
    <col min="6" max="6" width="4.85546875" customWidth="1"/>
    <col min="7" max="8" width="4.7109375" customWidth="1"/>
    <col min="9" max="9" width="4.42578125" customWidth="1"/>
    <col min="10" max="10" width="4.140625" customWidth="1"/>
    <col min="11" max="11" width="7.5703125" customWidth="1"/>
    <col min="12" max="12" width="6.85546875" customWidth="1"/>
    <col min="13" max="13" width="7" customWidth="1"/>
    <col min="14" max="14" width="7.42578125" customWidth="1"/>
    <col min="15" max="16" width="5.42578125" customWidth="1"/>
    <col min="17" max="17" width="6.42578125" customWidth="1"/>
    <col min="18" max="18" width="6.28515625" customWidth="1"/>
    <col min="19" max="19" width="5.42578125" customWidth="1"/>
    <col min="20" max="20" width="5.140625" customWidth="1"/>
    <col min="21" max="21" width="4.7109375" customWidth="1"/>
  </cols>
  <sheetData>
    <row r="1" spans="2:21" ht="18.75" customHeight="1">
      <c r="J1" s="911"/>
      <c r="K1" s="911"/>
    </row>
    <row r="2" spans="2:21" ht="13.5" thickBot="1">
      <c r="L2" s="41" t="s">
        <v>1924</v>
      </c>
    </row>
    <row r="3" spans="2:21" ht="13.5" thickBot="1">
      <c r="G3" s="223"/>
      <c r="H3" s="224"/>
      <c r="I3" s="224"/>
      <c r="J3" s="224"/>
      <c r="K3" s="1159">
        <v>20</v>
      </c>
      <c r="L3" s="1160">
        <v>46.9</v>
      </c>
      <c r="M3" s="1138">
        <f>K3*L3</f>
        <v>938</v>
      </c>
      <c r="N3" s="1139" t="s">
        <v>1483</v>
      </c>
      <c r="O3" s="1148"/>
      <c r="P3" s="1149"/>
      <c r="Q3" s="1149"/>
      <c r="R3" s="1149"/>
      <c r="S3" s="1149"/>
      <c r="T3" s="1149"/>
      <c r="U3" s="1150"/>
    </row>
    <row r="4" spans="2:21" ht="13.5" thickBot="1">
      <c r="G4" s="227"/>
      <c r="H4" s="217"/>
      <c r="I4" s="217"/>
      <c r="J4" s="217"/>
      <c r="K4" s="1101">
        <v>830</v>
      </c>
      <c r="L4" s="313">
        <f>L3</f>
        <v>46.9</v>
      </c>
      <c r="M4" s="1140">
        <f>IF(K4=0,0,K4/L4)</f>
        <v>17.697228144989339</v>
      </c>
      <c r="N4" s="1141" t="s">
        <v>1926</v>
      </c>
      <c r="O4" s="1151"/>
      <c r="P4" s="1152"/>
      <c r="Q4" s="1152"/>
      <c r="R4" s="1152"/>
      <c r="S4" s="1152"/>
      <c r="T4" s="1152"/>
      <c r="U4" s="1153"/>
    </row>
    <row r="5" spans="2:21" ht="13.5" thickBot="1">
      <c r="B5" s="2"/>
      <c r="C5" s="2"/>
      <c r="D5" s="2"/>
      <c r="G5" s="1058"/>
      <c r="H5" s="313"/>
      <c r="I5" s="313"/>
      <c r="J5" s="1142" t="s">
        <v>1486</v>
      </c>
      <c r="K5" s="313"/>
      <c r="L5" s="1069">
        <v>59.7</v>
      </c>
      <c r="M5" s="313"/>
      <c r="N5" s="1143" t="s">
        <v>110</v>
      </c>
      <c r="O5" s="1154"/>
      <c r="P5" s="1155"/>
      <c r="Q5" s="1155"/>
      <c r="R5" s="1155"/>
      <c r="S5" s="1155"/>
      <c r="T5" s="1155"/>
      <c r="U5" s="1153"/>
    </row>
    <row r="6" spans="2:21" ht="13.5" thickBot="1">
      <c r="B6" s="2"/>
      <c r="C6" s="2"/>
      <c r="D6" s="2"/>
      <c r="G6" s="1144"/>
      <c r="H6" s="1145"/>
      <c r="I6" s="1145"/>
      <c r="J6" s="1146" t="s">
        <v>1488</v>
      </c>
      <c r="K6" s="1145"/>
      <c r="L6" s="1161" t="s">
        <v>236</v>
      </c>
      <c r="M6" s="1147"/>
      <c r="N6" s="1162" t="str">
        <f>CHOOSE(M44,E9,F11,G11,H11,I11,J11,K11,L11,M11,N11,O11,P11,Q11,R11,S11)</f>
        <v>№</v>
      </c>
      <c r="O6" s="1156"/>
      <c r="P6" s="1157"/>
      <c r="Q6" s="1157"/>
      <c r="R6" s="1157"/>
      <c r="S6" s="1157"/>
      <c r="T6" s="1157"/>
      <c r="U6" s="1158"/>
    </row>
    <row r="7" spans="2:21">
      <c r="B7" s="2"/>
      <c r="C7" s="2"/>
      <c r="D7" s="2"/>
      <c r="G7" s="1"/>
      <c r="H7" s="1"/>
      <c r="I7" s="1"/>
      <c r="J7" s="1"/>
      <c r="K7" s="1"/>
      <c r="L7" s="1"/>
      <c r="M7" s="807" t="s">
        <v>169</v>
      </c>
      <c r="N7" s="1"/>
      <c r="O7" s="1"/>
      <c r="P7" s="1"/>
      <c r="Q7" s="1"/>
      <c r="R7" s="1"/>
      <c r="S7" s="1"/>
      <c r="T7" s="1"/>
    </row>
    <row r="8" spans="2:21" ht="13.5" thickBot="1">
      <c r="B8" s="2"/>
      <c r="C8" s="2"/>
      <c r="D8" s="2"/>
      <c r="G8" s="1"/>
      <c r="H8" s="1"/>
      <c r="I8" s="1"/>
      <c r="J8" s="1"/>
      <c r="K8" s="1"/>
      <c r="L8" s="1"/>
      <c r="M8" s="807" t="s">
        <v>237</v>
      </c>
      <c r="N8" s="1"/>
      <c r="O8" s="1"/>
      <c r="P8" s="1"/>
      <c r="Q8" s="1"/>
      <c r="R8" s="1"/>
      <c r="S8" s="1"/>
      <c r="T8" s="1"/>
    </row>
    <row r="9" spans="2:21" ht="24.75">
      <c r="B9" s="3"/>
      <c r="C9" s="3"/>
      <c r="D9" s="3"/>
      <c r="E9" s="49" t="s">
        <v>1544</v>
      </c>
      <c r="F9" s="18"/>
      <c r="G9" s="19"/>
      <c r="H9" s="19"/>
      <c r="I9" s="19"/>
      <c r="J9" s="20"/>
      <c r="K9" s="6" t="s">
        <v>112</v>
      </c>
      <c r="L9" s="6" t="s">
        <v>1491</v>
      </c>
      <c r="M9" s="4" t="s">
        <v>113</v>
      </c>
      <c r="N9" s="21" t="s">
        <v>114</v>
      </c>
      <c r="O9" s="21" t="s">
        <v>115</v>
      </c>
      <c r="P9" s="21" t="s">
        <v>116</v>
      </c>
      <c r="Q9" s="4" t="s">
        <v>117</v>
      </c>
      <c r="R9" s="21" t="s">
        <v>118</v>
      </c>
      <c r="S9" s="5" t="s">
        <v>118</v>
      </c>
      <c r="T9" s="54"/>
    </row>
    <row r="10" spans="2:21" s="17" customFormat="1" ht="18.75">
      <c r="E10" s="50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1533</v>
      </c>
      <c r="K10" s="23" t="s">
        <v>1531</v>
      </c>
      <c r="L10" s="23" t="s">
        <v>1530</v>
      </c>
      <c r="M10" s="23" t="s">
        <v>1940</v>
      </c>
      <c r="N10" s="26" t="s">
        <v>122</v>
      </c>
      <c r="O10" s="26" t="s">
        <v>124</v>
      </c>
      <c r="P10" s="26" t="s">
        <v>123</v>
      </c>
      <c r="Q10" s="23" t="s">
        <v>1943</v>
      </c>
      <c r="R10" s="26" t="s">
        <v>125</v>
      </c>
      <c r="S10" s="56" t="s">
        <v>1945</v>
      </c>
      <c r="T10" s="55"/>
    </row>
    <row r="11" spans="2:21" s="8" customFormat="1" ht="15" thickBot="1">
      <c r="D11" s="599" t="s">
        <v>1953</v>
      </c>
      <c r="E11" s="25"/>
      <c r="F11" s="12" t="s">
        <v>1545</v>
      </c>
      <c r="G11" s="27" t="s">
        <v>1545</v>
      </c>
      <c r="H11" s="27" t="s">
        <v>1545</v>
      </c>
      <c r="I11" s="27" t="s">
        <v>1545</v>
      </c>
      <c r="J11" s="27" t="s">
        <v>1545</v>
      </c>
      <c r="K11" s="12" t="s">
        <v>1954</v>
      </c>
      <c r="L11" s="28" t="s">
        <v>1483</v>
      </c>
      <c r="M11" s="12" t="s">
        <v>1956</v>
      </c>
      <c r="N11" s="27" t="s">
        <v>127</v>
      </c>
      <c r="O11" s="27" t="s">
        <v>127</v>
      </c>
      <c r="P11" s="27" t="s">
        <v>1549</v>
      </c>
      <c r="Q11" s="12" t="s">
        <v>1956</v>
      </c>
      <c r="R11" s="27" t="s">
        <v>127</v>
      </c>
      <c r="S11" s="57" t="s">
        <v>1549</v>
      </c>
      <c r="T11" s="44"/>
    </row>
    <row r="12" spans="2:21">
      <c r="D12" s="599">
        <v>1</v>
      </c>
      <c r="E12" s="930" t="s">
        <v>238</v>
      </c>
      <c r="F12" s="346">
        <v>195</v>
      </c>
      <c r="G12" s="938">
        <v>200</v>
      </c>
      <c r="H12" s="939">
        <v>6.5</v>
      </c>
      <c r="I12" s="939">
        <v>10</v>
      </c>
      <c r="J12" s="346">
        <v>13</v>
      </c>
      <c r="K12" s="934">
        <v>52.82</v>
      </c>
      <c r="L12" s="915">
        <v>41.5</v>
      </c>
      <c r="M12" s="866">
        <v>3820</v>
      </c>
      <c r="N12" s="901">
        <v>392</v>
      </c>
      <c r="O12" s="901">
        <v>216</v>
      </c>
      <c r="P12" s="867">
        <v>8.5</v>
      </c>
      <c r="Q12" s="866">
        <v>1334</v>
      </c>
      <c r="R12" s="948">
        <v>133</v>
      </c>
      <c r="S12" s="868">
        <v>5.03</v>
      </c>
      <c r="T12" s="39"/>
    </row>
    <row r="13" spans="2:21">
      <c r="D13" s="599">
        <v>2</v>
      </c>
      <c r="E13" s="931" t="s">
        <v>236</v>
      </c>
      <c r="F13" s="916">
        <v>198</v>
      </c>
      <c r="G13" s="940">
        <v>200</v>
      </c>
      <c r="H13" s="941">
        <v>7</v>
      </c>
      <c r="I13" s="941">
        <v>11.5</v>
      </c>
      <c r="J13" s="916">
        <v>13</v>
      </c>
      <c r="K13" s="931">
        <v>59.7</v>
      </c>
      <c r="L13" s="918">
        <v>46.9</v>
      </c>
      <c r="M13" s="869">
        <v>4422</v>
      </c>
      <c r="N13" s="902">
        <v>447</v>
      </c>
      <c r="O13" s="902">
        <v>247</v>
      </c>
      <c r="P13" s="38">
        <v>8.61</v>
      </c>
      <c r="Q13" s="869">
        <v>1534</v>
      </c>
      <c r="R13" s="906">
        <v>153</v>
      </c>
      <c r="S13" s="870">
        <v>5.07</v>
      </c>
      <c r="T13" s="39"/>
    </row>
    <row r="14" spans="2:21">
      <c r="D14" s="599">
        <v>3</v>
      </c>
      <c r="E14" s="932" t="s">
        <v>239</v>
      </c>
      <c r="F14" s="919">
        <v>227</v>
      </c>
      <c r="G14" s="942">
        <v>240</v>
      </c>
      <c r="H14" s="943">
        <v>7</v>
      </c>
      <c r="I14" s="943">
        <v>10.5</v>
      </c>
      <c r="J14" s="919">
        <v>14</v>
      </c>
      <c r="K14" s="932">
        <v>65.510000000000005</v>
      </c>
      <c r="L14" s="921">
        <v>52.2</v>
      </c>
      <c r="M14" s="871">
        <v>6589</v>
      </c>
      <c r="N14" s="903">
        <v>580</v>
      </c>
      <c r="O14" s="903">
        <v>318</v>
      </c>
      <c r="P14" s="876">
        <v>9.9499999999999993</v>
      </c>
      <c r="Q14" s="871">
        <v>2421</v>
      </c>
      <c r="R14" s="907">
        <v>202</v>
      </c>
      <c r="S14" s="873">
        <v>6.03</v>
      </c>
      <c r="T14" s="39"/>
    </row>
    <row r="15" spans="2:21">
      <c r="D15" s="599">
        <v>4</v>
      </c>
      <c r="E15" s="931" t="s">
        <v>240</v>
      </c>
      <c r="F15" s="916">
        <v>230</v>
      </c>
      <c r="G15" s="940">
        <v>240</v>
      </c>
      <c r="H15" s="941">
        <v>8</v>
      </c>
      <c r="I15" s="941">
        <v>12</v>
      </c>
      <c r="J15" s="916">
        <v>14</v>
      </c>
      <c r="K15" s="931">
        <v>75.77</v>
      </c>
      <c r="L15" s="918">
        <v>59.5</v>
      </c>
      <c r="M15" s="869">
        <v>7601</v>
      </c>
      <c r="N15" s="902">
        <v>661</v>
      </c>
      <c r="O15" s="902">
        <v>365</v>
      </c>
      <c r="P15" s="874">
        <v>10.02</v>
      </c>
      <c r="Q15" s="869">
        <v>2766</v>
      </c>
      <c r="R15" s="904">
        <v>231</v>
      </c>
      <c r="S15" s="870">
        <v>6.04</v>
      </c>
      <c r="T15" s="39"/>
    </row>
    <row r="16" spans="2:21">
      <c r="D16" s="599">
        <v>5</v>
      </c>
      <c r="E16" s="932" t="s">
        <v>241</v>
      </c>
      <c r="F16" s="919">
        <v>255</v>
      </c>
      <c r="G16" s="942">
        <v>260</v>
      </c>
      <c r="H16" s="943">
        <v>8</v>
      </c>
      <c r="I16" s="943">
        <v>12</v>
      </c>
      <c r="J16" s="919">
        <v>16</v>
      </c>
      <c r="K16" s="932">
        <v>83.08</v>
      </c>
      <c r="L16" s="921">
        <v>65.2</v>
      </c>
      <c r="M16" s="871">
        <v>10300</v>
      </c>
      <c r="N16" s="903">
        <v>809</v>
      </c>
      <c r="O16" s="903">
        <v>445</v>
      </c>
      <c r="P16" s="876">
        <v>11.14</v>
      </c>
      <c r="Q16" s="871">
        <v>3517</v>
      </c>
      <c r="R16" s="905">
        <v>271</v>
      </c>
      <c r="S16" s="873">
        <v>6.51</v>
      </c>
      <c r="T16" s="39"/>
    </row>
    <row r="17" spans="4:19">
      <c r="D17" s="599">
        <v>6</v>
      </c>
      <c r="E17" s="931" t="s">
        <v>242</v>
      </c>
      <c r="F17" s="916">
        <v>258</v>
      </c>
      <c r="G17" s="940">
        <v>260</v>
      </c>
      <c r="H17" s="941">
        <v>9</v>
      </c>
      <c r="I17" s="941">
        <v>13.5</v>
      </c>
      <c r="J17" s="916">
        <v>16</v>
      </c>
      <c r="K17" s="935">
        <v>93.19</v>
      </c>
      <c r="L17" s="922">
        <v>73.2</v>
      </c>
      <c r="M17" s="869">
        <v>11700</v>
      </c>
      <c r="N17" s="906">
        <v>907</v>
      </c>
      <c r="O17" s="902">
        <v>501</v>
      </c>
      <c r="P17" s="874">
        <v>11.21</v>
      </c>
      <c r="Q17" s="869">
        <v>3957</v>
      </c>
      <c r="R17" s="904">
        <v>304</v>
      </c>
      <c r="S17" s="875">
        <v>6.52</v>
      </c>
    </row>
    <row r="18" spans="4:19">
      <c r="D18" s="599">
        <v>7</v>
      </c>
      <c r="E18" s="932" t="s">
        <v>243</v>
      </c>
      <c r="F18" s="919">
        <v>262</v>
      </c>
      <c r="G18" s="942">
        <v>260</v>
      </c>
      <c r="H18" s="943">
        <v>10</v>
      </c>
      <c r="I18" s="943">
        <v>15.5</v>
      </c>
      <c r="J18" s="919">
        <v>16</v>
      </c>
      <c r="K18" s="936">
        <v>109.9</v>
      </c>
      <c r="L18" s="923">
        <v>83.1</v>
      </c>
      <c r="M18" s="871">
        <v>13560</v>
      </c>
      <c r="N18" s="907">
        <v>1035</v>
      </c>
      <c r="O18" s="903">
        <v>576</v>
      </c>
      <c r="P18" s="876">
        <v>11.32</v>
      </c>
      <c r="Q18" s="871">
        <v>4544</v>
      </c>
      <c r="R18" s="905">
        <v>349</v>
      </c>
      <c r="S18" s="877">
        <v>6.55</v>
      </c>
    </row>
    <row r="19" spans="4:19">
      <c r="D19" s="599">
        <v>8</v>
      </c>
      <c r="E19" s="931" t="s">
        <v>244</v>
      </c>
      <c r="F19" s="916">
        <v>296</v>
      </c>
      <c r="G19" s="940">
        <v>300</v>
      </c>
      <c r="H19" s="941">
        <v>9</v>
      </c>
      <c r="I19" s="941">
        <v>13.5</v>
      </c>
      <c r="J19" s="916">
        <v>18</v>
      </c>
      <c r="K19" s="935">
        <v>108</v>
      </c>
      <c r="L19" s="922">
        <v>84.8</v>
      </c>
      <c r="M19" s="869">
        <v>18110</v>
      </c>
      <c r="N19" s="906">
        <v>1223</v>
      </c>
      <c r="O19" s="902">
        <v>672</v>
      </c>
      <c r="P19" s="874">
        <v>12.95</v>
      </c>
      <c r="Q19" s="869">
        <v>6079</v>
      </c>
      <c r="R19" s="904">
        <v>405</v>
      </c>
      <c r="S19" s="875">
        <v>7.5</v>
      </c>
    </row>
    <row r="20" spans="4:19">
      <c r="D20" s="599">
        <v>9</v>
      </c>
      <c r="E20" s="932" t="s">
        <v>245</v>
      </c>
      <c r="F20" s="919">
        <v>300</v>
      </c>
      <c r="G20" s="942">
        <v>300</v>
      </c>
      <c r="H20" s="943">
        <v>10</v>
      </c>
      <c r="I20" s="943">
        <v>15.5</v>
      </c>
      <c r="J20" s="919">
        <v>18</v>
      </c>
      <c r="K20" s="936">
        <v>122.7</v>
      </c>
      <c r="L20" s="923">
        <v>96.3</v>
      </c>
      <c r="M20" s="871">
        <v>20936</v>
      </c>
      <c r="N20" s="907">
        <v>1395</v>
      </c>
      <c r="O20" s="903">
        <v>771</v>
      </c>
      <c r="P20" s="876">
        <v>13.05</v>
      </c>
      <c r="Q20" s="871">
        <v>6980</v>
      </c>
      <c r="R20" s="905">
        <v>465</v>
      </c>
      <c r="S20" s="877">
        <v>7.54</v>
      </c>
    </row>
    <row r="21" spans="4:19">
      <c r="D21" s="599">
        <v>10</v>
      </c>
      <c r="E21" s="931" t="s">
        <v>246</v>
      </c>
      <c r="F21" s="916">
        <v>304</v>
      </c>
      <c r="G21" s="940">
        <v>300</v>
      </c>
      <c r="H21" s="941">
        <v>11.5</v>
      </c>
      <c r="I21" s="941">
        <v>17.5</v>
      </c>
      <c r="J21" s="916">
        <v>18</v>
      </c>
      <c r="K21" s="935">
        <v>138.72</v>
      </c>
      <c r="L21" s="922">
        <v>108.9</v>
      </c>
      <c r="M21" s="869">
        <v>23910</v>
      </c>
      <c r="N21" s="906">
        <v>1573</v>
      </c>
      <c r="O21" s="902">
        <v>874</v>
      </c>
      <c r="P21" s="874">
        <v>13.12</v>
      </c>
      <c r="Q21" s="869">
        <v>7881</v>
      </c>
      <c r="R21" s="904">
        <v>525</v>
      </c>
      <c r="S21" s="875">
        <v>7.54</v>
      </c>
    </row>
    <row r="22" spans="4:19">
      <c r="D22" s="599">
        <v>11</v>
      </c>
      <c r="E22" s="932" t="s">
        <v>247</v>
      </c>
      <c r="F22" s="919">
        <v>343</v>
      </c>
      <c r="G22" s="942">
        <v>350</v>
      </c>
      <c r="H22" s="943">
        <v>10</v>
      </c>
      <c r="I22" s="943">
        <v>15</v>
      </c>
      <c r="J22" s="919">
        <v>20</v>
      </c>
      <c r="K22" s="936">
        <v>139.69999999999999</v>
      </c>
      <c r="L22" s="923">
        <v>109.7</v>
      </c>
      <c r="M22" s="871">
        <v>31610</v>
      </c>
      <c r="N22" s="907">
        <v>1843</v>
      </c>
      <c r="O22" s="903">
        <v>1010</v>
      </c>
      <c r="P22" s="876">
        <v>15.04</v>
      </c>
      <c r="Q22" s="871">
        <v>10720</v>
      </c>
      <c r="R22" s="905">
        <v>613</v>
      </c>
      <c r="S22" s="877">
        <v>8.76</v>
      </c>
    </row>
    <row r="23" spans="4:19">
      <c r="D23" s="599">
        <v>12</v>
      </c>
      <c r="E23" s="931" t="s">
        <v>248</v>
      </c>
      <c r="F23" s="916">
        <v>348</v>
      </c>
      <c r="G23" s="940">
        <v>350</v>
      </c>
      <c r="H23" s="941">
        <v>11</v>
      </c>
      <c r="I23" s="941">
        <v>17.5</v>
      </c>
      <c r="J23" s="916">
        <v>20</v>
      </c>
      <c r="K23" s="935">
        <v>160.4</v>
      </c>
      <c r="L23" s="922">
        <v>125.9</v>
      </c>
      <c r="M23" s="869">
        <v>37090</v>
      </c>
      <c r="N23" s="906">
        <v>2132</v>
      </c>
      <c r="O23" s="902">
        <v>1173</v>
      </c>
      <c r="P23" s="874">
        <v>15.21</v>
      </c>
      <c r="Q23" s="869">
        <v>12510</v>
      </c>
      <c r="R23" s="904">
        <v>715</v>
      </c>
      <c r="S23" s="875">
        <v>8.83</v>
      </c>
    </row>
    <row r="24" spans="4:19">
      <c r="D24" s="599">
        <v>13</v>
      </c>
      <c r="E24" s="932" t="s">
        <v>249</v>
      </c>
      <c r="F24" s="919">
        <v>353</v>
      </c>
      <c r="G24" s="942">
        <v>350</v>
      </c>
      <c r="H24" s="943">
        <v>13</v>
      </c>
      <c r="I24" s="943">
        <v>20</v>
      </c>
      <c r="J24" s="919">
        <v>20</v>
      </c>
      <c r="K24" s="936">
        <v>184.1</v>
      </c>
      <c r="L24" s="923">
        <v>144.5</v>
      </c>
      <c r="M24" s="871">
        <v>42970</v>
      </c>
      <c r="N24" s="907">
        <v>2435</v>
      </c>
      <c r="O24" s="903">
        <v>1351</v>
      </c>
      <c r="P24" s="876">
        <v>15.28</v>
      </c>
      <c r="Q24" s="871">
        <v>14300</v>
      </c>
      <c r="R24" s="905">
        <v>817</v>
      </c>
      <c r="S24" s="877">
        <v>8.84</v>
      </c>
    </row>
    <row r="25" spans="4:19">
      <c r="D25" s="599">
        <v>14</v>
      </c>
      <c r="E25" s="931" t="s">
        <v>250</v>
      </c>
      <c r="F25" s="916">
        <v>393</v>
      </c>
      <c r="G25" s="940">
        <v>400</v>
      </c>
      <c r="H25" s="941">
        <v>11</v>
      </c>
      <c r="I25" s="941">
        <v>16.5</v>
      </c>
      <c r="J25" s="916">
        <v>22</v>
      </c>
      <c r="K25" s="935">
        <v>175.9</v>
      </c>
      <c r="L25" s="922">
        <v>138</v>
      </c>
      <c r="M25" s="869">
        <v>52400</v>
      </c>
      <c r="N25" s="906">
        <v>2664</v>
      </c>
      <c r="O25" s="902">
        <v>1457</v>
      </c>
      <c r="P25" s="874">
        <v>17.260000000000002</v>
      </c>
      <c r="Q25" s="869">
        <v>17610</v>
      </c>
      <c r="R25" s="904">
        <v>880</v>
      </c>
      <c r="S25" s="875">
        <v>10</v>
      </c>
    </row>
    <row r="26" spans="4:19">
      <c r="D26" s="599">
        <v>15</v>
      </c>
      <c r="E26" s="932" t="s">
        <v>251</v>
      </c>
      <c r="F26" s="919">
        <v>400</v>
      </c>
      <c r="G26" s="942">
        <v>400</v>
      </c>
      <c r="H26" s="943">
        <v>13</v>
      </c>
      <c r="I26" s="943">
        <v>20</v>
      </c>
      <c r="J26" s="919">
        <v>22</v>
      </c>
      <c r="K26" s="936">
        <v>210.96</v>
      </c>
      <c r="L26" s="923">
        <v>165.6</v>
      </c>
      <c r="M26" s="871">
        <v>64140</v>
      </c>
      <c r="N26" s="907">
        <v>3207</v>
      </c>
      <c r="O26" s="903">
        <v>1767</v>
      </c>
      <c r="P26" s="876">
        <v>17.440000000000001</v>
      </c>
      <c r="Q26" s="871">
        <v>21350</v>
      </c>
      <c r="R26" s="905">
        <v>1067</v>
      </c>
      <c r="S26" s="877">
        <v>10.050000000000001</v>
      </c>
    </row>
    <row r="27" spans="4:19">
      <c r="D27" s="599">
        <v>16</v>
      </c>
      <c r="E27" s="931" t="s">
        <v>252</v>
      </c>
      <c r="F27" s="916">
        <v>409</v>
      </c>
      <c r="G27" s="940">
        <v>400</v>
      </c>
      <c r="H27" s="941">
        <v>16</v>
      </c>
      <c r="I27" s="941">
        <v>24.5</v>
      </c>
      <c r="J27" s="916">
        <v>22</v>
      </c>
      <c r="K27" s="935">
        <v>257.8</v>
      </c>
      <c r="L27" s="922">
        <v>202.3</v>
      </c>
      <c r="M27" s="869">
        <v>80040</v>
      </c>
      <c r="N27" s="906">
        <v>3914</v>
      </c>
      <c r="O27" s="902">
        <v>2180</v>
      </c>
      <c r="P27" s="874">
        <v>17.62</v>
      </c>
      <c r="Q27" s="869">
        <v>26150</v>
      </c>
      <c r="R27" s="904">
        <v>1307</v>
      </c>
      <c r="S27" s="875">
        <v>10.07</v>
      </c>
    </row>
    <row r="28" spans="4:19">
      <c r="D28" s="599">
        <v>17</v>
      </c>
      <c r="E28" s="932" t="s">
        <v>253</v>
      </c>
      <c r="F28" s="919">
        <v>419</v>
      </c>
      <c r="G28" s="942">
        <v>400</v>
      </c>
      <c r="H28" s="943">
        <v>19</v>
      </c>
      <c r="I28" s="943">
        <v>29.5</v>
      </c>
      <c r="J28" s="919">
        <v>22</v>
      </c>
      <c r="K28" s="936">
        <v>308.60000000000002</v>
      </c>
      <c r="L28" s="923">
        <v>242.2</v>
      </c>
      <c r="M28" s="871">
        <v>98340</v>
      </c>
      <c r="N28" s="907">
        <v>4694</v>
      </c>
      <c r="O28" s="903">
        <v>2642</v>
      </c>
      <c r="P28" s="876">
        <v>17.850000000000001</v>
      </c>
      <c r="Q28" s="871">
        <v>31500</v>
      </c>
      <c r="R28" s="905">
        <v>1575</v>
      </c>
      <c r="S28" s="877">
        <v>10.1</v>
      </c>
    </row>
    <row r="29" spans="4:19" ht="13.5" thickBot="1">
      <c r="D29" s="599">
        <v>18</v>
      </c>
      <c r="E29" s="933" t="s">
        <v>254</v>
      </c>
      <c r="F29" s="924">
        <v>431</v>
      </c>
      <c r="G29" s="944">
        <v>400</v>
      </c>
      <c r="H29" s="945">
        <v>23</v>
      </c>
      <c r="I29" s="945">
        <v>35.5</v>
      </c>
      <c r="J29" s="924">
        <v>22</v>
      </c>
      <c r="K29" s="937">
        <v>371</v>
      </c>
      <c r="L29" s="926">
        <v>291.2</v>
      </c>
      <c r="M29" s="927">
        <v>121570</v>
      </c>
      <c r="N29" s="946">
        <v>5642</v>
      </c>
      <c r="O29" s="947">
        <v>3217</v>
      </c>
      <c r="P29" s="928">
        <v>18.100000000000001</v>
      </c>
      <c r="Q29" s="927">
        <v>37910</v>
      </c>
      <c r="R29" s="949">
        <v>1896</v>
      </c>
      <c r="S29" s="929">
        <v>10.11</v>
      </c>
    </row>
    <row r="30" spans="4:19">
      <c r="D30" s="599"/>
      <c r="E30" s="39"/>
      <c r="F30" s="39"/>
      <c r="G30" s="39"/>
      <c r="H30" s="51"/>
      <c r="I30" s="51"/>
      <c r="J30" s="39"/>
      <c r="K30" s="52"/>
      <c r="L30" s="51"/>
      <c r="M30" s="39"/>
      <c r="N30" s="53"/>
      <c r="O30" s="39"/>
      <c r="P30" s="52"/>
      <c r="Q30" s="39"/>
      <c r="R30" s="51"/>
      <c r="S30" s="52"/>
    </row>
    <row r="31" spans="4:19">
      <c r="D31" s="599"/>
      <c r="E31" s="39"/>
      <c r="F31" s="39"/>
      <c r="G31" s="39"/>
      <c r="H31" s="51"/>
      <c r="I31" s="51"/>
      <c r="J31" s="39"/>
      <c r="K31" s="52"/>
      <c r="L31" s="51"/>
      <c r="M31" s="39"/>
      <c r="N31" s="53"/>
      <c r="O31" s="39"/>
      <c r="P31" s="52"/>
      <c r="Q31" s="39"/>
      <c r="R31" s="51"/>
      <c r="S31" s="52"/>
    </row>
    <row r="32" spans="4:19">
      <c r="D32" s="599"/>
      <c r="E32" s="39"/>
      <c r="F32" s="39"/>
      <c r="G32" s="39"/>
      <c r="H32" s="51"/>
      <c r="I32" s="51"/>
      <c r="J32" s="39"/>
      <c r="K32" s="52"/>
      <c r="L32" s="51"/>
      <c r="M32" s="39"/>
      <c r="N32" s="53"/>
      <c r="O32" s="39"/>
      <c r="P32" s="52"/>
      <c r="Q32" s="39"/>
      <c r="R32" s="51"/>
      <c r="S32" s="52"/>
    </row>
    <row r="33" spans="4:19">
      <c r="D33" s="599"/>
      <c r="E33" s="39"/>
      <c r="F33" s="39"/>
      <c r="G33" s="39"/>
      <c r="H33" s="51"/>
      <c r="I33" s="51"/>
      <c r="J33" s="39"/>
      <c r="K33" s="52"/>
      <c r="L33" s="51"/>
      <c r="M33" s="39"/>
      <c r="N33" s="53"/>
      <c r="O33" s="39"/>
      <c r="P33" s="52"/>
      <c r="Q33" s="39"/>
      <c r="R33" s="51"/>
      <c r="S33" s="52"/>
    </row>
    <row r="34" spans="4:19">
      <c r="D34" s="599"/>
      <c r="E34" s="39"/>
      <c r="F34" s="39"/>
      <c r="G34" s="39"/>
      <c r="H34" s="51"/>
      <c r="I34" s="51"/>
      <c r="J34" s="39"/>
      <c r="K34" s="52"/>
      <c r="L34" s="51"/>
      <c r="M34" s="39"/>
      <c r="N34" s="53"/>
      <c r="O34" s="39"/>
      <c r="P34" s="52"/>
      <c r="Q34" s="39"/>
      <c r="R34" s="51"/>
      <c r="S34" s="52"/>
    </row>
    <row r="35" spans="4:19">
      <c r="D35" s="599"/>
      <c r="E35" s="39"/>
      <c r="F35" s="39"/>
      <c r="G35" s="39"/>
      <c r="H35" s="51"/>
      <c r="I35" s="51"/>
      <c r="J35" s="39"/>
      <c r="K35" s="52"/>
      <c r="L35" s="51"/>
      <c r="M35" s="39"/>
      <c r="N35" s="53"/>
      <c r="O35" s="39"/>
      <c r="P35" s="52"/>
      <c r="Q35" s="39"/>
      <c r="R35" s="51"/>
      <c r="S35" s="52"/>
    </row>
    <row r="36" spans="4:19">
      <c r="D36" s="599"/>
      <c r="E36" s="39"/>
      <c r="F36" s="39"/>
      <c r="G36" s="39"/>
      <c r="H36" s="51"/>
      <c r="I36" s="51"/>
      <c r="J36" s="39"/>
      <c r="K36" s="52"/>
      <c r="L36" s="51"/>
      <c r="M36" s="39"/>
      <c r="N36" s="53"/>
      <c r="O36" s="39"/>
      <c r="P36" s="52"/>
      <c r="Q36" s="39"/>
      <c r="R36" s="53"/>
      <c r="S36" s="52"/>
    </row>
    <row r="37" spans="4:19">
      <c r="D37" s="599"/>
      <c r="E37" s="39"/>
      <c r="F37" s="39"/>
      <c r="G37" s="39"/>
      <c r="H37" s="51"/>
      <c r="I37" s="51"/>
      <c r="J37" s="39"/>
      <c r="K37" s="52"/>
      <c r="L37" s="51"/>
      <c r="M37" s="39"/>
      <c r="N37" s="53"/>
      <c r="O37" s="39"/>
      <c r="P37" s="52"/>
      <c r="Q37" s="39"/>
      <c r="R37" s="53"/>
      <c r="S37" s="52"/>
    </row>
    <row r="38" spans="4:19">
      <c r="E38" s="39"/>
      <c r="F38" s="39"/>
      <c r="G38" s="39"/>
      <c r="H38" s="51"/>
      <c r="I38" s="51"/>
      <c r="J38" s="39"/>
      <c r="K38" s="52"/>
      <c r="L38" s="51"/>
      <c r="M38" s="39"/>
      <c r="N38" s="51"/>
      <c r="O38" s="53"/>
      <c r="P38" s="52"/>
      <c r="Q38" s="51"/>
      <c r="R38" s="51"/>
      <c r="S38" s="52"/>
    </row>
    <row r="39" spans="4:19" hidden="1">
      <c r="D39" s="423">
        <v>1</v>
      </c>
      <c r="E39" s="524" t="s">
        <v>167</v>
      </c>
      <c r="O39" s="53"/>
      <c r="P39" s="52"/>
      <c r="Q39" s="51"/>
      <c r="R39" s="51"/>
      <c r="S39" s="52"/>
    </row>
    <row r="40" spans="4:19" hidden="1">
      <c r="D40" s="423">
        <v>2</v>
      </c>
      <c r="E40" s="524" t="s">
        <v>168</v>
      </c>
      <c r="O40" s="53"/>
      <c r="P40" s="52"/>
      <c r="Q40" s="51"/>
      <c r="R40" s="51"/>
      <c r="S40" s="52"/>
    </row>
    <row r="41" spans="4:19" hidden="1">
      <c r="D41" s="423">
        <v>3</v>
      </c>
      <c r="E41" s="524" t="s">
        <v>132</v>
      </c>
      <c r="O41" s="53"/>
      <c r="P41" s="52"/>
      <c r="Q41" s="51"/>
      <c r="R41" s="51"/>
      <c r="S41" s="52"/>
    </row>
    <row r="42" spans="4:19" hidden="1">
      <c r="D42" s="423">
        <v>4</v>
      </c>
      <c r="E42" s="524" t="s">
        <v>133</v>
      </c>
      <c r="O42" s="53"/>
      <c r="P42" s="52"/>
      <c r="Q42" s="51"/>
      <c r="R42" s="51"/>
      <c r="S42" s="52"/>
    </row>
    <row r="43" spans="4:19" ht="13.5" hidden="1" thickBot="1">
      <c r="D43" s="423">
        <v>5</v>
      </c>
      <c r="E43" s="141" t="s">
        <v>1561</v>
      </c>
      <c r="O43" s="53"/>
      <c r="P43" s="52"/>
      <c r="Q43" s="51"/>
      <c r="R43" s="51"/>
      <c r="S43" s="52"/>
    </row>
    <row r="44" spans="4:19" ht="13.5" hidden="1" thickBot="1">
      <c r="D44" s="423">
        <v>6</v>
      </c>
      <c r="E44" s="141" t="s">
        <v>208</v>
      </c>
      <c r="M44" s="1067">
        <v>1</v>
      </c>
      <c r="N44" s="603" t="s">
        <v>159</v>
      </c>
      <c r="O44" s="53"/>
      <c r="P44" s="52"/>
      <c r="Q44" s="51"/>
      <c r="R44" s="51"/>
      <c r="S44" s="52"/>
    </row>
    <row r="45" spans="4:19" ht="15" hidden="1" thickBot="1">
      <c r="D45" s="423">
        <v>7</v>
      </c>
      <c r="E45" s="141" t="s">
        <v>1995</v>
      </c>
      <c r="M45" s="1068">
        <v>2</v>
      </c>
      <c r="N45" s="604" t="s">
        <v>135</v>
      </c>
      <c r="O45" s="53"/>
      <c r="P45" s="52"/>
      <c r="Q45" s="53"/>
      <c r="R45" s="51"/>
      <c r="S45" s="52"/>
    </row>
    <row r="46" spans="4:19" hidden="1">
      <c r="D46" s="423">
        <v>8</v>
      </c>
      <c r="E46" s="141" t="s">
        <v>1994</v>
      </c>
      <c r="O46" s="53"/>
      <c r="P46" s="52"/>
      <c r="Q46" s="53"/>
      <c r="R46" s="51"/>
      <c r="S46" s="52"/>
    </row>
    <row r="47" spans="4:19" ht="14.25" hidden="1">
      <c r="D47" s="423">
        <v>9</v>
      </c>
      <c r="E47" s="141" t="s">
        <v>1997</v>
      </c>
      <c r="O47" s="53"/>
      <c r="P47" s="52"/>
      <c r="Q47" s="53"/>
      <c r="R47" s="51"/>
      <c r="S47" s="52"/>
    </row>
    <row r="48" spans="4:19" ht="14.25" hidden="1">
      <c r="D48" s="423">
        <v>10</v>
      </c>
      <c r="E48" s="141" t="s">
        <v>1998</v>
      </c>
      <c r="O48" s="53"/>
      <c r="P48" s="52"/>
      <c r="Q48" s="53"/>
      <c r="R48" s="51"/>
      <c r="S48" s="52"/>
    </row>
    <row r="49" spans="4:19" hidden="1">
      <c r="D49" s="423">
        <v>11</v>
      </c>
      <c r="E49" s="141" t="s">
        <v>136</v>
      </c>
      <c r="O49" s="53"/>
      <c r="P49" s="52"/>
      <c r="Q49" s="53"/>
      <c r="R49" s="51"/>
      <c r="S49" s="52"/>
    </row>
    <row r="50" spans="4:19" hidden="1">
      <c r="D50" s="423">
        <v>12</v>
      </c>
      <c r="E50" s="141" t="s">
        <v>1568</v>
      </c>
    </row>
    <row r="51" spans="4:19" ht="14.25" hidden="1">
      <c r="D51" s="423">
        <v>13</v>
      </c>
      <c r="E51" s="141" t="s">
        <v>1999</v>
      </c>
    </row>
    <row r="52" spans="4:19" ht="14.25" hidden="1">
      <c r="D52" s="423">
        <v>14</v>
      </c>
      <c r="E52" s="141" t="s">
        <v>2000</v>
      </c>
    </row>
    <row r="53" spans="4:19" hidden="1">
      <c r="D53" s="423">
        <v>15</v>
      </c>
      <c r="E53" s="141" t="s">
        <v>2001</v>
      </c>
    </row>
    <row r="54" spans="4:19" hidden="1"/>
    <row r="55" spans="4:19" hidden="1"/>
  </sheetData>
  <pageMargins left="0.75" right="0.75" top="1" bottom="1" header="0.5" footer="0.5"/>
  <pageSetup paperSize="9" orientation="portrait" horizontalDpi="300" verticalDpi="0" copies="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1">
              <controlPr defaultSize="0" print="0" autoFill="0" autoLine="0" autoPict="0" macro="[0]!Мак1_для_листа9">
                <anchor moveWithCells="1">
                  <from>
                    <xdr:col>14</xdr:col>
                    <xdr:colOff>57150</xdr:colOff>
                    <xdr:row>2</xdr:row>
                    <xdr:rowOff>57150</xdr:rowOff>
                  </from>
                  <to>
                    <xdr:col>20</xdr:col>
                    <xdr:colOff>133350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Drop Down 2">
              <controlPr defaultSize="0" print="0" autoFill="0" autoLine="0" autoPict="0" macro="[0]!Мак2_для_листа9">
                <anchor moveWithCells="1">
                  <from>
                    <xdr:col>14</xdr:col>
                    <xdr:colOff>66675</xdr:colOff>
                    <xdr:row>3</xdr:row>
                    <xdr:rowOff>133350</xdr:rowOff>
                  </from>
                  <to>
                    <xdr:col>15</xdr:col>
                    <xdr:colOff>266700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6" name="Button 6">
              <controlPr defaultSize="0" print="0" autoFill="0" autoLine="0" autoPict="0" macro="[0]!Вначало">
                <anchor moveWithCells="1">
                  <from>
                    <xdr:col>9</xdr:col>
                    <xdr:colOff>95250</xdr:colOff>
                    <xdr:row>0</xdr:row>
                    <xdr:rowOff>57150</xdr:rowOff>
                  </from>
                  <to>
                    <xdr:col>16</xdr:col>
                    <xdr:colOff>152400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2"/>
  <dimension ref="B1:U50"/>
  <sheetViews>
    <sheetView workbookViewId="0">
      <pane ySplit="11" topLeftCell="A12" activePane="bottomLeft" state="frozenSplit"/>
      <selection pane="bottomLeft" activeCell="AA9" sqref="AA9"/>
    </sheetView>
  </sheetViews>
  <sheetFormatPr defaultRowHeight="12.75"/>
  <cols>
    <col min="1" max="1" width="6" customWidth="1"/>
    <col min="2" max="2" width="6.28515625" customWidth="1"/>
    <col min="3" max="3" width="6.140625" customWidth="1"/>
    <col min="4" max="4" width="2.85546875" customWidth="1"/>
    <col min="5" max="5" width="6.140625" customWidth="1"/>
    <col min="6" max="7" width="5.42578125" customWidth="1"/>
    <col min="8" max="8" width="4.7109375" customWidth="1"/>
    <col min="9" max="9" width="4.42578125" customWidth="1"/>
    <col min="10" max="10" width="4.140625" customWidth="1"/>
    <col min="11" max="11" width="7.5703125" customWidth="1"/>
    <col min="12" max="12" width="6.28515625" customWidth="1"/>
    <col min="13" max="13" width="7" customWidth="1"/>
    <col min="14" max="14" width="7.42578125" customWidth="1"/>
    <col min="15" max="16" width="5.42578125" customWidth="1"/>
    <col min="17" max="17" width="6.42578125" customWidth="1"/>
    <col min="18" max="18" width="6.28515625" customWidth="1"/>
    <col min="19" max="19" width="5.42578125" customWidth="1"/>
    <col min="20" max="20" width="5.140625" customWidth="1"/>
    <col min="21" max="21" width="5.42578125" customWidth="1"/>
  </cols>
  <sheetData>
    <row r="1" spans="2:21" ht="24" customHeight="1">
      <c r="J1" s="911"/>
      <c r="K1" s="911"/>
    </row>
    <row r="2" spans="2:21" ht="13.5" thickBot="1">
      <c r="L2" s="41" t="s">
        <v>1924</v>
      </c>
      <c r="O2" s="72"/>
      <c r="P2" s="72"/>
      <c r="Q2" s="72"/>
      <c r="R2" s="72"/>
      <c r="S2" s="72"/>
      <c r="T2" s="72"/>
      <c r="U2" s="72"/>
    </row>
    <row r="3" spans="2:21" ht="13.5" thickBot="1">
      <c r="G3" s="1163"/>
      <c r="H3" s="1164"/>
      <c r="I3" s="1164"/>
      <c r="J3" s="1164"/>
      <c r="K3" s="1159">
        <v>20</v>
      </c>
      <c r="L3" s="1160">
        <v>3</v>
      </c>
      <c r="M3" s="1165">
        <f>K3*L3</f>
        <v>60</v>
      </c>
      <c r="N3" s="1166" t="s">
        <v>1483</v>
      </c>
      <c r="O3" s="1070"/>
      <c r="P3" s="1071"/>
      <c r="Q3" s="1071"/>
      <c r="R3" s="1071"/>
      <c r="S3" s="1071"/>
      <c r="T3" s="1071"/>
      <c r="U3" s="1073"/>
    </row>
    <row r="4" spans="2:21" ht="13.5" thickBot="1">
      <c r="G4" s="343"/>
      <c r="H4" s="1167"/>
      <c r="I4" s="1167"/>
      <c r="J4" s="1167"/>
      <c r="K4" s="1101">
        <v>830</v>
      </c>
      <c r="L4" s="1168">
        <f>L3</f>
        <v>3</v>
      </c>
      <c r="M4" s="1169">
        <f>IF(K4=0,0,K4/L4)</f>
        <v>276.66666666666669</v>
      </c>
      <c r="N4" s="1170" t="s">
        <v>1926</v>
      </c>
      <c r="O4" s="362"/>
      <c r="P4" s="363"/>
      <c r="Q4" s="363"/>
      <c r="R4" s="363"/>
      <c r="S4" s="363"/>
      <c r="T4" s="363"/>
      <c r="U4" s="1013"/>
    </row>
    <row r="5" spans="2:21" ht="13.5" thickBot="1">
      <c r="B5" s="2"/>
      <c r="C5" s="2"/>
      <c r="D5" s="2"/>
      <c r="G5" s="1171"/>
      <c r="H5" s="1168"/>
      <c r="I5" s="1168"/>
      <c r="J5" s="1172" t="s">
        <v>1486</v>
      </c>
      <c r="K5" s="1168"/>
      <c r="L5" s="1069">
        <v>82.8</v>
      </c>
      <c r="M5" s="1168"/>
      <c r="N5" s="1173" t="s">
        <v>110</v>
      </c>
      <c r="O5" s="444"/>
      <c r="P5" s="445"/>
      <c r="Q5" s="445"/>
      <c r="R5" s="445"/>
      <c r="S5" s="445"/>
      <c r="T5" s="445"/>
      <c r="U5" s="1013"/>
    </row>
    <row r="6" spans="2:21" ht="13.5" thickBot="1">
      <c r="B6" s="2"/>
      <c r="C6" s="2"/>
      <c r="D6" s="2"/>
      <c r="G6" s="1174"/>
      <c r="H6" s="1175"/>
      <c r="I6" s="1175"/>
      <c r="J6" s="1176" t="s">
        <v>1488</v>
      </c>
      <c r="K6" s="1175"/>
      <c r="L6" s="1179" t="s">
        <v>262</v>
      </c>
      <c r="M6" s="1177"/>
      <c r="N6" s="1180" t="str">
        <f>CHOOSE(M40,E9,F11,G11,H11,I11,J11,K11,L11,M11,N11,O11,P11,Q11,R11,S11)</f>
        <v>№</v>
      </c>
      <c r="O6" s="1107"/>
      <c r="P6" s="1084"/>
      <c r="Q6" s="1084"/>
      <c r="R6" s="1084"/>
      <c r="S6" s="1084"/>
      <c r="T6" s="1084"/>
      <c r="U6" s="1178"/>
    </row>
    <row r="7" spans="2:21">
      <c r="B7" s="2"/>
      <c r="C7" s="2"/>
      <c r="D7" s="2"/>
      <c r="G7" s="1"/>
      <c r="H7" s="1"/>
      <c r="I7" s="1"/>
      <c r="J7" s="1"/>
      <c r="K7" s="1"/>
      <c r="L7" s="1"/>
      <c r="M7" s="807" t="s">
        <v>169</v>
      </c>
      <c r="N7" s="1"/>
      <c r="O7" s="1"/>
      <c r="P7" s="1"/>
      <c r="Q7" s="1"/>
      <c r="R7" s="1"/>
      <c r="S7" s="1"/>
      <c r="T7" s="1"/>
    </row>
    <row r="8" spans="2:21" ht="13.5" thickBot="1">
      <c r="B8" s="2"/>
      <c r="C8" s="2"/>
      <c r="D8" s="2"/>
      <c r="G8" s="1"/>
      <c r="H8" s="1"/>
      <c r="I8" s="1"/>
      <c r="J8" s="1"/>
      <c r="K8" s="1"/>
      <c r="L8" s="1"/>
      <c r="M8" s="807" t="s">
        <v>255</v>
      </c>
      <c r="N8" s="1"/>
      <c r="O8" s="1"/>
      <c r="P8" s="1"/>
      <c r="Q8" s="1"/>
      <c r="R8" s="1"/>
      <c r="S8" s="1"/>
      <c r="T8" s="1"/>
    </row>
    <row r="9" spans="2:21" ht="24.75">
      <c r="B9" s="3"/>
      <c r="C9" s="3"/>
      <c r="D9" s="3"/>
      <c r="E9" s="49" t="s">
        <v>1544</v>
      </c>
      <c r="F9" s="18"/>
      <c r="G9" s="19"/>
      <c r="H9" s="19"/>
      <c r="I9" s="19"/>
      <c r="J9" s="20"/>
      <c r="K9" s="6" t="s">
        <v>112</v>
      </c>
      <c r="L9" s="6" t="s">
        <v>1491</v>
      </c>
      <c r="M9" s="4" t="s">
        <v>113</v>
      </c>
      <c r="N9" s="21" t="s">
        <v>114</v>
      </c>
      <c r="O9" s="21" t="s">
        <v>115</v>
      </c>
      <c r="P9" s="21" t="s">
        <v>116</v>
      </c>
      <c r="Q9" s="4" t="s">
        <v>117</v>
      </c>
      <c r="R9" s="21" t="s">
        <v>118</v>
      </c>
      <c r="S9" s="5" t="s">
        <v>118</v>
      </c>
      <c r="T9" s="54"/>
    </row>
    <row r="10" spans="2:21" s="17" customFormat="1" ht="18.75">
      <c r="E10" s="50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1533</v>
      </c>
      <c r="K10" s="23" t="s">
        <v>1531</v>
      </c>
      <c r="L10" s="23" t="s">
        <v>1530</v>
      </c>
      <c r="M10" s="23" t="s">
        <v>1940</v>
      </c>
      <c r="N10" s="26" t="s">
        <v>122</v>
      </c>
      <c r="O10" s="26" t="s">
        <v>124</v>
      </c>
      <c r="P10" s="26" t="s">
        <v>123</v>
      </c>
      <c r="Q10" s="23" t="s">
        <v>1943</v>
      </c>
      <c r="R10" s="26" t="s">
        <v>125</v>
      </c>
      <c r="S10" s="56" t="s">
        <v>1945</v>
      </c>
      <c r="T10" s="55"/>
    </row>
    <row r="11" spans="2:21" s="8" customFormat="1" ht="15" thickBot="1">
      <c r="D11" s="599" t="s">
        <v>1953</v>
      </c>
      <c r="E11" s="25"/>
      <c r="F11" s="12" t="s">
        <v>1545</v>
      </c>
      <c r="G11" s="27" t="s">
        <v>1545</v>
      </c>
      <c r="H11" s="27" t="s">
        <v>1545</v>
      </c>
      <c r="I11" s="27" t="s">
        <v>1545</v>
      </c>
      <c r="J11" s="27" t="s">
        <v>1545</v>
      </c>
      <c r="K11" s="12" t="s">
        <v>1954</v>
      </c>
      <c r="L11" s="28" t="s">
        <v>1483</v>
      </c>
      <c r="M11" s="12" t="s">
        <v>1956</v>
      </c>
      <c r="N11" s="27" t="s">
        <v>127</v>
      </c>
      <c r="O11" s="27" t="s">
        <v>127</v>
      </c>
      <c r="P11" s="27" t="s">
        <v>1549</v>
      </c>
      <c r="Q11" s="12" t="s">
        <v>1956</v>
      </c>
      <c r="R11" s="27" t="s">
        <v>127</v>
      </c>
      <c r="S11" s="57" t="s">
        <v>1549</v>
      </c>
      <c r="T11" s="44"/>
    </row>
    <row r="12" spans="2:21">
      <c r="D12" s="599">
        <v>1</v>
      </c>
      <c r="E12" s="883" t="s">
        <v>256</v>
      </c>
      <c r="F12" s="950">
        <v>239</v>
      </c>
      <c r="G12" s="965">
        <v>115</v>
      </c>
      <c r="H12" s="894">
        <v>5.5</v>
      </c>
      <c r="I12" s="894">
        <v>9.3000000000000007</v>
      </c>
      <c r="J12" s="950">
        <v>15</v>
      </c>
      <c r="K12" s="961">
        <v>35.450000000000003</v>
      </c>
      <c r="L12" s="951">
        <v>27.8</v>
      </c>
      <c r="M12" s="957">
        <v>3535</v>
      </c>
      <c r="N12" s="910">
        <v>295.8</v>
      </c>
      <c r="O12" s="910">
        <v>166.6</v>
      </c>
      <c r="P12" s="958">
        <v>9.99</v>
      </c>
      <c r="Q12" s="964">
        <v>236.8</v>
      </c>
      <c r="R12" s="910">
        <v>41.2</v>
      </c>
      <c r="S12" s="959">
        <v>2.58</v>
      </c>
      <c r="T12" s="39"/>
    </row>
    <row r="13" spans="2:21">
      <c r="D13" s="599">
        <v>2</v>
      </c>
      <c r="E13" s="884" t="s">
        <v>257</v>
      </c>
      <c r="F13" s="952">
        <v>269</v>
      </c>
      <c r="G13" s="966">
        <v>125</v>
      </c>
      <c r="H13" s="896">
        <v>5.8</v>
      </c>
      <c r="I13" s="896">
        <v>9.5</v>
      </c>
      <c r="J13" s="952">
        <v>15</v>
      </c>
      <c r="K13" s="888">
        <v>40.68</v>
      </c>
      <c r="L13" s="862">
        <v>31.9</v>
      </c>
      <c r="M13" s="878">
        <v>5068</v>
      </c>
      <c r="N13" s="904">
        <v>376.8</v>
      </c>
      <c r="O13" s="904">
        <v>212.7</v>
      </c>
      <c r="P13" s="874">
        <v>11.16</v>
      </c>
      <c r="Q13" s="891">
        <v>310.3</v>
      </c>
      <c r="R13" s="904">
        <v>49.7</v>
      </c>
      <c r="S13" s="875">
        <v>2.76</v>
      </c>
      <c r="T13" s="39"/>
    </row>
    <row r="14" spans="2:21">
      <c r="D14" s="599">
        <v>3</v>
      </c>
      <c r="E14" s="885" t="s">
        <v>258</v>
      </c>
      <c r="F14" s="953">
        <v>360</v>
      </c>
      <c r="G14" s="967">
        <v>145</v>
      </c>
      <c r="H14" s="898">
        <v>7.2</v>
      </c>
      <c r="I14" s="898">
        <v>12.3</v>
      </c>
      <c r="J14" s="953">
        <v>18</v>
      </c>
      <c r="K14" s="889">
        <v>62.6</v>
      </c>
      <c r="L14" s="863">
        <v>49.1</v>
      </c>
      <c r="M14" s="879">
        <v>13800</v>
      </c>
      <c r="N14" s="905">
        <v>766.4</v>
      </c>
      <c r="O14" s="905">
        <v>434.1</v>
      </c>
      <c r="P14" s="876">
        <v>14.84</v>
      </c>
      <c r="Q14" s="892">
        <v>627.6</v>
      </c>
      <c r="R14" s="905">
        <v>86.6</v>
      </c>
      <c r="S14" s="877">
        <v>3.17</v>
      </c>
      <c r="T14" s="39"/>
    </row>
    <row r="15" spans="2:21">
      <c r="D15" s="599">
        <v>4</v>
      </c>
      <c r="E15" s="884" t="s">
        <v>259</v>
      </c>
      <c r="F15" s="856">
        <v>349</v>
      </c>
      <c r="G15" s="895">
        <v>127</v>
      </c>
      <c r="H15" s="896">
        <v>5.8</v>
      </c>
      <c r="I15" s="896">
        <v>8.5</v>
      </c>
      <c r="J15" s="856">
        <v>15</v>
      </c>
      <c r="K15" s="884">
        <v>42.78</v>
      </c>
      <c r="L15" s="858">
        <v>33.6</v>
      </c>
      <c r="M15" s="869">
        <v>8540</v>
      </c>
      <c r="N15" s="902">
        <v>489.4</v>
      </c>
      <c r="O15" s="902">
        <v>279.39999999999998</v>
      </c>
      <c r="P15" s="874">
        <v>14.13</v>
      </c>
      <c r="Q15" s="869">
        <v>291.5</v>
      </c>
      <c r="R15" s="904">
        <v>45.9</v>
      </c>
      <c r="S15" s="870">
        <v>2.61</v>
      </c>
      <c r="T15" s="39"/>
    </row>
    <row r="16" spans="2:21">
      <c r="D16" s="599">
        <v>5</v>
      </c>
      <c r="E16" s="885" t="s">
        <v>260</v>
      </c>
      <c r="F16" s="859">
        <v>399</v>
      </c>
      <c r="G16" s="897">
        <v>139</v>
      </c>
      <c r="H16" s="898">
        <v>6.2</v>
      </c>
      <c r="I16" s="898">
        <v>9</v>
      </c>
      <c r="J16" s="859">
        <v>15</v>
      </c>
      <c r="K16" s="885">
        <v>50.58</v>
      </c>
      <c r="L16" s="861">
        <v>39.700000000000003</v>
      </c>
      <c r="M16" s="871">
        <v>13050</v>
      </c>
      <c r="N16" s="903">
        <v>654.20000000000005</v>
      </c>
      <c r="O16" s="903">
        <v>374.5</v>
      </c>
      <c r="P16" s="876">
        <v>16.059999999999999</v>
      </c>
      <c r="Q16" s="871">
        <v>404.4</v>
      </c>
      <c r="R16" s="905">
        <v>58.2</v>
      </c>
      <c r="S16" s="873">
        <v>2.83</v>
      </c>
      <c r="T16" s="39"/>
    </row>
    <row r="17" spans="4:19">
      <c r="D17" s="599">
        <v>6</v>
      </c>
      <c r="E17" s="884" t="s">
        <v>261</v>
      </c>
      <c r="F17" s="856">
        <v>450</v>
      </c>
      <c r="G17" s="895">
        <v>152</v>
      </c>
      <c r="H17" s="896">
        <v>7.4</v>
      </c>
      <c r="I17" s="896">
        <v>11</v>
      </c>
      <c r="J17" s="856">
        <v>15</v>
      </c>
      <c r="K17" s="888">
        <v>67.05</v>
      </c>
      <c r="L17" s="862">
        <v>52.6</v>
      </c>
      <c r="M17" s="869">
        <v>21810</v>
      </c>
      <c r="N17" s="906">
        <v>969</v>
      </c>
      <c r="O17" s="902">
        <v>555.79999999999995</v>
      </c>
      <c r="P17" s="874">
        <v>18.04</v>
      </c>
      <c r="Q17" s="869">
        <v>646.20000000000005</v>
      </c>
      <c r="R17" s="904">
        <v>85</v>
      </c>
      <c r="S17" s="875">
        <v>3.1</v>
      </c>
    </row>
    <row r="18" spans="4:19">
      <c r="D18" s="599">
        <v>7</v>
      </c>
      <c r="E18" s="885" t="s">
        <v>262</v>
      </c>
      <c r="F18" s="859">
        <v>450</v>
      </c>
      <c r="G18" s="897">
        <v>180</v>
      </c>
      <c r="H18" s="898">
        <v>7.6</v>
      </c>
      <c r="I18" s="898">
        <v>13.3</v>
      </c>
      <c r="J18" s="859">
        <v>18</v>
      </c>
      <c r="K18" s="889">
        <v>82.8</v>
      </c>
      <c r="L18" s="863">
        <v>65</v>
      </c>
      <c r="M18" s="871">
        <v>28840</v>
      </c>
      <c r="N18" s="907">
        <v>1280</v>
      </c>
      <c r="O18" s="903">
        <v>722</v>
      </c>
      <c r="P18" s="876">
        <v>18.7</v>
      </c>
      <c r="Q18" s="871">
        <v>1300</v>
      </c>
      <c r="R18" s="905">
        <v>144</v>
      </c>
      <c r="S18" s="877">
        <v>3.96</v>
      </c>
    </row>
    <row r="19" spans="4:19">
      <c r="D19" s="599">
        <v>8</v>
      </c>
      <c r="E19" s="884" t="s">
        <v>263</v>
      </c>
      <c r="F19" s="857">
        <v>300.60000000000002</v>
      </c>
      <c r="G19" s="896">
        <v>201.9</v>
      </c>
      <c r="H19" s="896">
        <v>9.4</v>
      </c>
      <c r="I19" s="896">
        <v>16</v>
      </c>
      <c r="J19" s="856">
        <v>18</v>
      </c>
      <c r="K19" s="888">
        <v>92.6</v>
      </c>
      <c r="L19" s="862">
        <v>72.7</v>
      </c>
      <c r="M19" s="869">
        <v>15000</v>
      </c>
      <c r="N19" s="906">
        <v>1000</v>
      </c>
      <c r="O19" s="902">
        <v>563</v>
      </c>
      <c r="P19" s="874">
        <v>12.8</v>
      </c>
      <c r="Q19" s="869">
        <v>2200</v>
      </c>
      <c r="R19" s="904">
        <v>218</v>
      </c>
      <c r="S19" s="875">
        <v>4.87</v>
      </c>
    </row>
    <row r="20" spans="4:19">
      <c r="D20" s="599">
        <v>9</v>
      </c>
      <c r="E20" s="885" t="s">
        <v>264</v>
      </c>
      <c r="F20" s="860">
        <v>397.6</v>
      </c>
      <c r="G20" s="898">
        <v>302</v>
      </c>
      <c r="H20" s="898">
        <v>11.5</v>
      </c>
      <c r="I20" s="898">
        <v>18.7</v>
      </c>
      <c r="J20" s="859">
        <v>22</v>
      </c>
      <c r="K20" s="962">
        <v>159</v>
      </c>
      <c r="L20" s="863">
        <v>124</v>
      </c>
      <c r="M20" s="871">
        <v>45330</v>
      </c>
      <c r="N20" s="907">
        <v>2330</v>
      </c>
      <c r="O20" s="903">
        <v>1290</v>
      </c>
      <c r="P20" s="876">
        <v>17.100000000000001</v>
      </c>
      <c r="Q20" s="871">
        <v>8590</v>
      </c>
      <c r="R20" s="905">
        <v>569</v>
      </c>
      <c r="S20" s="877">
        <v>7.36</v>
      </c>
    </row>
    <row r="21" spans="4:19" ht="13.5" thickBot="1">
      <c r="D21" s="599">
        <v>10</v>
      </c>
      <c r="E21" s="960" t="s">
        <v>265</v>
      </c>
      <c r="F21" s="954">
        <v>496.2</v>
      </c>
      <c r="G21" s="968">
        <v>303.8</v>
      </c>
      <c r="H21" s="968">
        <v>14.2</v>
      </c>
      <c r="I21" s="968">
        <v>21</v>
      </c>
      <c r="J21" s="955">
        <v>26</v>
      </c>
      <c r="K21" s="963">
        <v>198</v>
      </c>
      <c r="L21" s="956">
        <v>155</v>
      </c>
      <c r="M21" s="927">
        <v>86010</v>
      </c>
      <c r="N21" s="946">
        <v>3470</v>
      </c>
      <c r="O21" s="947">
        <v>1950</v>
      </c>
      <c r="P21" s="928">
        <v>20.8</v>
      </c>
      <c r="Q21" s="927">
        <v>9830</v>
      </c>
      <c r="R21" s="949">
        <v>647</v>
      </c>
      <c r="S21" s="929">
        <v>7.05</v>
      </c>
    </row>
    <row r="22" spans="4:19">
      <c r="D22" s="599"/>
      <c r="E22" s="39"/>
      <c r="F22" s="39"/>
      <c r="G22" s="39"/>
      <c r="H22" s="51"/>
      <c r="I22" s="51"/>
      <c r="J22" s="39"/>
      <c r="K22" s="52"/>
      <c r="L22" s="51"/>
      <c r="M22" s="39"/>
      <c r="N22" s="53"/>
      <c r="O22" s="39"/>
      <c r="P22" s="52"/>
      <c r="Q22" s="39"/>
      <c r="R22" s="51"/>
      <c r="S22" s="52"/>
    </row>
    <row r="23" spans="4:19">
      <c r="D23" s="599"/>
      <c r="E23" s="39"/>
      <c r="F23" s="39"/>
      <c r="G23" s="39"/>
      <c r="H23" s="51"/>
      <c r="I23" s="51"/>
      <c r="J23" s="39"/>
      <c r="K23" s="52"/>
      <c r="L23" s="51"/>
      <c r="M23" s="39"/>
      <c r="N23" s="53"/>
      <c r="O23" s="39"/>
      <c r="P23" s="52"/>
      <c r="Q23" s="39"/>
      <c r="R23" s="51"/>
      <c r="S23" s="52"/>
    </row>
    <row r="24" spans="4:19">
      <c r="D24" s="599"/>
      <c r="E24" s="39"/>
      <c r="F24" s="39"/>
      <c r="G24" s="39"/>
      <c r="H24" s="51"/>
      <c r="I24" s="51"/>
      <c r="J24" s="39"/>
      <c r="K24" s="52"/>
      <c r="L24" s="51"/>
      <c r="M24" s="39"/>
      <c r="N24" s="53"/>
      <c r="O24" s="39"/>
      <c r="P24" s="52"/>
      <c r="Q24" s="39"/>
      <c r="R24" s="51"/>
      <c r="S24" s="52"/>
    </row>
    <row r="25" spans="4:19">
      <c r="D25" s="599"/>
      <c r="E25" s="39"/>
      <c r="F25" s="39"/>
      <c r="G25" s="39"/>
      <c r="H25" s="51"/>
      <c r="I25" s="51"/>
      <c r="J25" s="39"/>
      <c r="K25" s="52"/>
      <c r="L25" s="51"/>
      <c r="M25" s="39"/>
      <c r="N25" s="53"/>
      <c r="O25" s="39"/>
      <c r="P25" s="52"/>
      <c r="Q25" s="39"/>
      <c r="R25" s="51"/>
      <c r="S25" s="52"/>
    </row>
    <row r="26" spans="4:19">
      <c r="D26" s="599"/>
      <c r="E26" s="39"/>
      <c r="F26" s="39"/>
      <c r="G26" s="39"/>
      <c r="H26" s="51"/>
      <c r="I26" s="51"/>
      <c r="J26" s="39"/>
      <c r="K26" s="52"/>
      <c r="L26" s="51"/>
      <c r="M26" s="39"/>
      <c r="N26" s="53"/>
      <c r="O26" s="39"/>
      <c r="P26" s="52"/>
      <c r="Q26" s="39"/>
      <c r="R26" s="51"/>
      <c r="S26" s="52"/>
    </row>
    <row r="27" spans="4:19">
      <c r="D27" s="599"/>
      <c r="E27" s="39"/>
      <c r="F27" s="39"/>
      <c r="G27" s="39"/>
      <c r="H27" s="51"/>
      <c r="I27" s="51"/>
      <c r="J27" s="39"/>
      <c r="K27" s="52"/>
      <c r="L27" s="51"/>
      <c r="M27" s="39"/>
      <c r="N27" s="53"/>
      <c r="O27" s="39"/>
      <c r="P27" s="52"/>
      <c r="Q27" s="39"/>
      <c r="R27" s="51"/>
      <c r="S27" s="52"/>
    </row>
    <row r="28" spans="4:19">
      <c r="D28" s="599"/>
      <c r="E28" s="39"/>
      <c r="F28" s="39"/>
      <c r="G28" s="39"/>
      <c r="H28" s="51"/>
      <c r="I28" s="51"/>
      <c r="J28" s="39"/>
      <c r="K28" s="52"/>
      <c r="L28" s="51"/>
      <c r="M28" s="39"/>
      <c r="N28" s="53"/>
      <c r="O28" s="39"/>
      <c r="P28" s="52"/>
      <c r="Q28" s="39"/>
      <c r="R28" s="51"/>
      <c r="S28" s="52"/>
    </row>
    <row r="29" spans="4:19">
      <c r="D29" s="599"/>
      <c r="E29" s="39"/>
      <c r="F29" s="39"/>
      <c r="G29" s="39"/>
      <c r="H29" s="51"/>
      <c r="I29" s="51"/>
      <c r="J29" s="39"/>
      <c r="K29" s="52"/>
      <c r="L29" s="51"/>
      <c r="M29" s="39"/>
      <c r="N29" s="53"/>
      <c r="O29" s="39"/>
      <c r="P29" s="52"/>
      <c r="Q29" s="39"/>
      <c r="R29" s="51"/>
      <c r="S29" s="52"/>
    </row>
    <row r="30" spans="4:19">
      <c r="D30" s="599"/>
      <c r="E30" s="39"/>
      <c r="F30" s="39"/>
      <c r="G30" s="39"/>
      <c r="H30" s="51"/>
      <c r="I30" s="51"/>
      <c r="J30" s="39"/>
      <c r="K30" s="52"/>
      <c r="L30" s="51"/>
      <c r="M30" s="39"/>
      <c r="N30" s="53"/>
      <c r="O30" s="39"/>
      <c r="P30" s="52"/>
      <c r="Q30" s="39"/>
      <c r="R30" s="51"/>
      <c r="S30" s="52"/>
    </row>
    <row r="31" spans="4:19">
      <c r="D31" s="599"/>
      <c r="E31" s="39"/>
      <c r="F31" s="39"/>
      <c r="G31" s="39"/>
      <c r="H31" s="51"/>
      <c r="I31" s="51"/>
      <c r="J31" s="39"/>
      <c r="K31" s="52"/>
      <c r="L31" s="51"/>
      <c r="M31" s="39"/>
      <c r="N31" s="53"/>
      <c r="O31" s="39"/>
      <c r="P31" s="52"/>
      <c r="Q31" s="39"/>
      <c r="R31" s="51"/>
      <c r="S31" s="52"/>
    </row>
    <row r="32" spans="4:19">
      <c r="D32" s="599"/>
      <c r="E32" s="39"/>
      <c r="F32" s="39"/>
      <c r="G32" s="39"/>
      <c r="H32" s="51"/>
      <c r="I32" s="51"/>
      <c r="J32" s="39"/>
      <c r="K32" s="52"/>
      <c r="L32" s="51"/>
      <c r="M32" s="39"/>
      <c r="N32" s="53"/>
      <c r="O32" s="39"/>
      <c r="P32" s="52"/>
      <c r="Q32" s="39"/>
      <c r="R32" s="53"/>
      <c r="S32" s="52"/>
    </row>
    <row r="33" spans="4:19">
      <c r="D33" s="599"/>
      <c r="E33" s="39"/>
      <c r="F33" s="39"/>
      <c r="G33" s="39"/>
      <c r="H33" s="51"/>
      <c r="I33" s="51"/>
      <c r="J33" s="39"/>
      <c r="K33" s="52"/>
      <c r="L33" s="51"/>
      <c r="M33" s="39"/>
      <c r="N33" s="53"/>
      <c r="O33" s="39"/>
      <c r="P33" s="52"/>
      <c r="Q33" s="39"/>
      <c r="R33" s="53"/>
      <c r="S33" s="52"/>
    </row>
    <row r="34" spans="4:19">
      <c r="E34" s="39"/>
      <c r="F34" s="39"/>
      <c r="G34" s="39"/>
      <c r="H34" s="51"/>
      <c r="I34" s="51"/>
      <c r="J34" s="39"/>
      <c r="K34" s="52"/>
      <c r="L34" s="51"/>
      <c r="M34" s="39"/>
      <c r="N34" s="51"/>
      <c r="O34" s="53"/>
      <c r="P34" s="52"/>
      <c r="Q34" s="51"/>
      <c r="R34" s="51"/>
      <c r="S34" s="52"/>
    </row>
    <row r="35" spans="4:19" hidden="1">
      <c r="D35" s="423">
        <v>1</v>
      </c>
      <c r="E35" s="524" t="s">
        <v>167</v>
      </c>
      <c r="O35" s="53"/>
      <c r="P35" s="52"/>
      <c r="Q35" s="51"/>
      <c r="R35" s="51"/>
      <c r="S35" s="52"/>
    </row>
    <row r="36" spans="4:19" hidden="1">
      <c r="D36" s="423">
        <v>2</v>
      </c>
      <c r="E36" s="524" t="s">
        <v>168</v>
      </c>
      <c r="O36" s="53"/>
      <c r="P36" s="52"/>
      <c r="Q36" s="51"/>
      <c r="R36" s="51"/>
      <c r="S36" s="52"/>
    </row>
    <row r="37" spans="4:19" hidden="1">
      <c r="D37" s="423">
        <v>3</v>
      </c>
      <c r="E37" s="524" t="s">
        <v>132</v>
      </c>
      <c r="O37" s="53"/>
      <c r="P37" s="52"/>
      <c r="Q37" s="51"/>
      <c r="R37" s="51"/>
      <c r="S37" s="52"/>
    </row>
    <row r="38" spans="4:19" hidden="1">
      <c r="D38" s="423">
        <v>4</v>
      </c>
      <c r="E38" s="524" t="s">
        <v>133</v>
      </c>
      <c r="O38" s="53"/>
      <c r="P38" s="52"/>
      <c r="Q38" s="51"/>
      <c r="R38" s="51"/>
      <c r="S38" s="52"/>
    </row>
    <row r="39" spans="4:19" ht="13.5" hidden="1" thickBot="1">
      <c r="D39" s="423">
        <v>5</v>
      </c>
      <c r="E39" s="141" t="s">
        <v>1561</v>
      </c>
      <c r="O39" s="53"/>
      <c r="P39" s="52"/>
      <c r="Q39" s="51"/>
      <c r="R39" s="51"/>
      <c r="S39" s="52"/>
    </row>
    <row r="40" spans="4:19" ht="13.5" hidden="1" thickBot="1">
      <c r="D40" s="423">
        <v>6</v>
      </c>
      <c r="E40" s="141" t="s">
        <v>208</v>
      </c>
      <c r="M40" s="1067">
        <v>1</v>
      </c>
      <c r="N40" s="603" t="s">
        <v>159</v>
      </c>
      <c r="O40" s="53"/>
      <c r="P40" s="52"/>
      <c r="Q40" s="51"/>
      <c r="R40" s="51"/>
      <c r="S40" s="52"/>
    </row>
    <row r="41" spans="4:19" ht="15" hidden="1" thickBot="1">
      <c r="D41" s="423">
        <v>7</v>
      </c>
      <c r="E41" s="141" t="s">
        <v>1995</v>
      </c>
      <c r="M41" s="1068">
        <v>7</v>
      </c>
      <c r="N41" s="604" t="s">
        <v>135</v>
      </c>
      <c r="O41" s="53"/>
      <c r="P41" s="52"/>
      <c r="Q41" s="53"/>
      <c r="R41" s="51"/>
      <c r="S41" s="52"/>
    </row>
    <row r="42" spans="4:19" hidden="1">
      <c r="D42" s="423">
        <v>8</v>
      </c>
      <c r="E42" s="141" t="s">
        <v>1994</v>
      </c>
      <c r="O42" s="53"/>
      <c r="P42" s="52"/>
      <c r="Q42" s="53"/>
      <c r="R42" s="51"/>
      <c r="S42" s="52"/>
    </row>
    <row r="43" spans="4:19" ht="14.25" hidden="1">
      <c r="D43" s="423">
        <v>9</v>
      </c>
      <c r="E43" s="141" t="s">
        <v>1997</v>
      </c>
      <c r="O43" s="53"/>
      <c r="P43" s="52"/>
      <c r="Q43" s="53"/>
      <c r="R43" s="51"/>
      <c r="S43" s="52"/>
    </row>
    <row r="44" spans="4:19" ht="14.25" hidden="1">
      <c r="D44" s="423">
        <v>10</v>
      </c>
      <c r="E44" s="141" t="s">
        <v>1998</v>
      </c>
      <c r="O44" s="53"/>
      <c r="P44" s="52"/>
      <c r="Q44" s="53"/>
      <c r="R44" s="51"/>
      <c r="S44" s="52"/>
    </row>
    <row r="45" spans="4:19" hidden="1">
      <c r="D45" s="423">
        <v>11</v>
      </c>
      <c r="E45" s="141" t="s">
        <v>136</v>
      </c>
    </row>
    <row r="46" spans="4:19" hidden="1">
      <c r="D46" s="423">
        <v>12</v>
      </c>
      <c r="E46" s="141" t="s">
        <v>1568</v>
      </c>
    </row>
    <row r="47" spans="4:19" ht="14.25" hidden="1">
      <c r="D47" s="423">
        <v>13</v>
      </c>
      <c r="E47" s="141" t="s">
        <v>1999</v>
      </c>
    </row>
    <row r="48" spans="4:19" ht="14.25" hidden="1">
      <c r="D48" s="423">
        <v>14</v>
      </c>
      <c r="E48" s="141" t="s">
        <v>2000</v>
      </c>
    </row>
    <row r="49" spans="4:5" hidden="1">
      <c r="D49" s="423">
        <v>15</v>
      </c>
      <c r="E49" s="141" t="s">
        <v>2001</v>
      </c>
    </row>
    <row r="50" spans="4:5" hidden="1">
      <c r="D50" s="423"/>
      <c r="E50" s="141"/>
    </row>
  </sheetData>
  <pageMargins left="0.75" right="0.75" top="1" bottom="1" header="0.5" footer="0.5"/>
  <pageSetup paperSize="9" orientation="portrait" horizontalDpi="300" verticalDpi="240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Drop Down 1">
              <controlPr defaultSize="0" print="0" autoFill="0" autoLine="0" autoPict="0" macro="[0]!Мак1_для_листа10">
                <anchor moveWithCells="1">
                  <from>
                    <xdr:col>14</xdr:col>
                    <xdr:colOff>47625</xdr:colOff>
                    <xdr:row>2</xdr:row>
                    <xdr:rowOff>38100</xdr:rowOff>
                  </from>
                  <to>
                    <xdr:col>20</xdr:col>
                    <xdr:colOff>190500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Drop Down 2">
              <controlPr defaultSize="0" print="0" autoFill="0" autoLine="0" autoPict="0" macro="[0]!Мак2_для_листа10">
                <anchor moveWithCells="1">
                  <from>
                    <xdr:col>14</xdr:col>
                    <xdr:colOff>57150</xdr:colOff>
                    <xdr:row>3</xdr:row>
                    <xdr:rowOff>133350</xdr:rowOff>
                  </from>
                  <to>
                    <xdr:col>16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6" name="Button 6">
              <controlPr defaultSize="0" print="0" autoFill="0" autoLine="0" autoPict="0" macro="[0]!Вначало">
                <anchor moveWithCells="1">
                  <from>
                    <xdr:col>8</xdr:col>
                    <xdr:colOff>142875</xdr:colOff>
                    <xdr:row>0</xdr:row>
                    <xdr:rowOff>66675</xdr:rowOff>
                  </from>
                  <to>
                    <xdr:col>16</xdr:col>
                    <xdr:colOff>19050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3"/>
  <dimension ref="B1:U54"/>
  <sheetViews>
    <sheetView workbookViewId="0">
      <pane ySplit="11" topLeftCell="A12" activePane="bottomLeft" state="frozenSplit"/>
      <selection pane="bottomLeft" activeCell="J13" sqref="J13"/>
    </sheetView>
  </sheetViews>
  <sheetFormatPr defaultRowHeight="12.75"/>
  <cols>
    <col min="1" max="1" width="5.7109375" customWidth="1"/>
    <col min="2" max="2" width="5.5703125" customWidth="1"/>
    <col min="3" max="3" width="5.28515625" customWidth="1"/>
    <col min="4" max="4" width="4.85546875" customWidth="1"/>
    <col min="5" max="5" width="6.140625" customWidth="1"/>
    <col min="6" max="7" width="5.42578125" customWidth="1"/>
    <col min="8" max="8" width="4.7109375" customWidth="1"/>
    <col min="9" max="10" width="4.42578125" customWidth="1"/>
    <col min="11" max="11" width="6.140625" customWidth="1"/>
    <col min="12" max="12" width="7.5703125" customWidth="1"/>
    <col min="13" max="13" width="6.28515625" customWidth="1"/>
    <col min="14" max="14" width="7" customWidth="1"/>
    <col min="15" max="15" width="7.42578125" customWidth="1"/>
    <col min="16" max="17" width="5.42578125" customWidth="1"/>
    <col min="18" max="18" width="6.42578125" customWidth="1"/>
    <col min="19" max="19" width="6.28515625" customWidth="1"/>
    <col min="20" max="20" width="5.42578125" customWidth="1"/>
    <col min="21" max="21" width="5.140625" customWidth="1"/>
  </cols>
  <sheetData>
    <row r="1" spans="2:21" ht="18.75" customHeight="1"/>
    <row r="2" spans="2:21" ht="13.5" thickBot="1">
      <c r="L2" s="41" t="s">
        <v>1924</v>
      </c>
    </row>
    <row r="3" spans="2:21" ht="13.5" thickBot="1">
      <c r="G3" s="1070"/>
      <c r="H3" s="1071"/>
      <c r="I3" s="1071"/>
      <c r="J3" s="1071"/>
      <c r="K3" s="1186">
        <v>13.5</v>
      </c>
      <c r="L3" s="1160">
        <v>3</v>
      </c>
      <c r="M3" s="1181">
        <f>K3*L3</f>
        <v>40.5</v>
      </c>
      <c r="N3" s="1182" t="s">
        <v>1483</v>
      </c>
      <c r="O3" s="1086"/>
      <c r="P3" s="1087"/>
      <c r="Q3" s="1087"/>
      <c r="R3" s="1087"/>
      <c r="S3" s="1087"/>
      <c r="T3" s="1087"/>
      <c r="U3" s="1089"/>
    </row>
    <row r="4" spans="2:21" ht="13.5" thickBot="1">
      <c r="G4" s="362"/>
      <c r="H4" s="363"/>
      <c r="I4" s="363"/>
      <c r="J4" s="363"/>
      <c r="K4" s="1187">
        <v>1500</v>
      </c>
      <c r="L4" s="445">
        <f>L3</f>
        <v>3</v>
      </c>
      <c r="M4" s="1076">
        <f>IF(K4=0,0,K4/L4)</f>
        <v>500</v>
      </c>
      <c r="N4" s="1077" t="s">
        <v>1926</v>
      </c>
      <c r="O4" s="393"/>
      <c r="P4" s="394"/>
      <c r="Q4" s="394"/>
      <c r="R4" s="394"/>
      <c r="S4" s="394"/>
      <c r="T4" s="394"/>
      <c r="U4" s="336"/>
    </row>
    <row r="5" spans="2:21" ht="13.5" thickBot="1">
      <c r="B5" s="2"/>
      <c r="C5" s="2"/>
      <c r="D5" s="2"/>
      <c r="G5" s="444"/>
      <c r="H5" s="445"/>
      <c r="I5" s="445"/>
      <c r="J5" s="364" t="s">
        <v>1486</v>
      </c>
      <c r="K5" s="1183"/>
      <c r="L5" s="1069">
        <v>35.6</v>
      </c>
      <c r="M5" s="445"/>
      <c r="N5" s="1078" t="s">
        <v>110</v>
      </c>
      <c r="O5" s="730"/>
      <c r="P5" s="728"/>
      <c r="Q5" s="728"/>
      <c r="R5" s="728"/>
      <c r="S5" s="728"/>
      <c r="T5" s="728"/>
      <c r="U5" s="731"/>
    </row>
    <row r="6" spans="2:21" ht="13.5" thickBot="1">
      <c r="B6" s="2"/>
      <c r="C6" s="2"/>
      <c r="D6" s="2"/>
      <c r="G6" s="1184"/>
      <c r="H6" s="1081"/>
      <c r="I6" s="1081"/>
      <c r="J6" s="1082" t="s">
        <v>1488</v>
      </c>
      <c r="K6" s="1185"/>
      <c r="L6" s="1112">
        <v>35.6</v>
      </c>
      <c r="M6" s="1083"/>
      <c r="N6" s="1113" t="str">
        <f>CHOOSE(M40,E9,F11,G11,H11,I11,J11,K11,L11,M11,N11,O11,P11,Q11,R11,S11,T11,U11)</f>
        <v>см2</v>
      </c>
      <c r="O6" s="730"/>
      <c r="P6" s="728"/>
      <c r="Q6" s="728"/>
      <c r="R6" s="728"/>
      <c r="S6" s="728"/>
      <c r="T6" s="728"/>
      <c r="U6" s="731"/>
    </row>
    <row r="7" spans="2:21" ht="9.75" customHeight="1" thickBot="1">
      <c r="B7" s="2"/>
      <c r="C7" s="2"/>
      <c r="D7" s="2"/>
      <c r="G7" s="1107"/>
      <c r="H7" s="1084"/>
      <c r="I7" s="1084"/>
      <c r="J7" s="1084"/>
      <c r="K7" s="1084"/>
      <c r="L7" s="1084"/>
      <c r="M7" s="1084"/>
      <c r="N7" s="1085"/>
      <c r="O7" s="732"/>
      <c r="P7" s="733"/>
      <c r="Q7" s="733"/>
      <c r="R7" s="733"/>
      <c r="S7" s="733"/>
      <c r="T7" s="733"/>
      <c r="U7" s="734"/>
    </row>
    <row r="8" spans="2:21" ht="16.5" customHeight="1" thickBot="1">
      <c r="B8" s="2"/>
      <c r="C8" s="2"/>
      <c r="D8" s="2"/>
      <c r="G8" s="1"/>
      <c r="H8" s="1"/>
      <c r="I8" s="1"/>
      <c r="J8" s="1"/>
      <c r="K8" s="1"/>
      <c r="L8" s="1"/>
      <c r="M8" s="807" t="s">
        <v>266</v>
      </c>
      <c r="N8" s="1"/>
      <c r="O8" s="1"/>
      <c r="P8" s="1"/>
      <c r="Q8" s="1"/>
      <c r="R8" s="1"/>
      <c r="S8" s="1"/>
      <c r="T8" s="1"/>
      <c r="U8" s="1"/>
    </row>
    <row r="9" spans="2:21" ht="24.75">
      <c r="B9" s="3"/>
      <c r="C9" s="3"/>
      <c r="D9" s="3"/>
      <c r="E9" s="49" t="s">
        <v>1544</v>
      </c>
      <c r="F9" s="18"/>
      <c r="G9" s="19"/>
      <c r="H9" s="19"/>
      <c r="I9" s="19"/>
      <c r="J9" s="19"/>
      <c r="K9" s="20"/>
      <c r="L9" s="6" t="s">
        <v>112</v>
      </c>
      <c r="M9" s="6" t="s">
        <v>1491</v>
      </c>
      <c r="N9" s="4" t="s">
        <v>113</v>
      </c>
      <c r="O9" s="21" t="s">
        <v>114</v>
      </c>
      <c r="P9" s="21" t="s">
        <v>115</v>
      </c>
      <c r="Q9" s="21" t="s">
        <v>116</v>
      </c>
      <c r="R9" s="4" t="s">
        <v>117</v>
      </c>
      <c r="S9" s="21" t="s">
        <v>118</v>
      </c>
      <c r="T9" s="5" t="s">
        <v>118</v>
      </c>
      <c r="U9" s="54"/>
    </row>
    <row r="10" spans="2:21" s="17" customFormat="1" ht="18.75">
      <c r="E10" s="50" t="s">
        <v>119</v>
      </c>
      <c r="F10" s="23" t="s">
        <v>120</v>
      </c>
      <c r="G10" s="26" t="s">
        <v>1528</v>
      </c>
      <c r="H10" s="26" t="s">
        <v>121</v>
      </c>
      <c r="I10" s="26" t="s">
        <v>1529</v>
      </c>
      <c r="J10" s="26" t="s">
        <v>1532</v>
      </c>
      <c r="K10" s="26" t="s">
        <v>1533</v>
      </c>
      <c r="L10" s="23" t="s">
        <v>1531</v>
      </c>
      <c r="M10" s="23" t="s">
        <v>1530</v>
      </c>
      <c r="N10" s="23" t="s">
        <v>1940</v>
      </c>
      <c r="O10" s="26" t="s">
        <v>122</v>
      </c>
      <c r="P10" s="26" t="s">
        <v>124</v>
      </c>
      <c r="Q10" s="26" t="s">
        <v>123</v>
      </c>
      <c r="R10" s="23" t="s">
        <v>1943</v>
      </c>
      <c r="S10" s="26" t="s">
        <v>125</v>
      </c>
      <c r="T10" s="56" t="s">
        <v>1945</v>
      </c>
      <c r="U10" s="55"/>
    </row>
    <row r="11" spans="2:21" s="8" customFormat="1" ht="15" thickBot="1">
      <c r="D11" s="599" t="s">
        <v>1953</v>
      </c>
      <c r="E11" s="742"/>
      <c r="F11" s="743" t="s">
        <v>1545</v>
      </c>
      <c r="G11" s="744" t="s">
        <v>1545</v>
      </c>
      <c r="H11" s="744" t="s">
        <v>1545</v>
      </c>
      <c r="I11" s="744" t="s">
        <v>1545</v>
      </c>
      <c r="J11" s="744" t="s">
        <v>1545</v>
      </c>
      <c r="K11" s="744" t="s">
        <v>1545</v>
      </c>
      <c r="L11" s="743" t="s">
        <v>1954</v>
      </c>
      <c r="M11" s="747" t="s">
        <v>1483</v>
      </c>
      <c r="N11" s="12" t="s">
        <v>1956</v>
      </c>
      <c r="O11" s="27" t="s">
        <v>127</v>
      </c>
      <c r="P11" s="27" t="s">
        <v>127</v>
      </c>
      <c r="Q11" s="27" t="s">
        <v>1549</v>
      </c>
      <c r="R11" s="12" t="s">
        <v>1956</v>
      </c>
      <c r="S11" s="27" t="s">
        <v>127</v>
      </c>
      <c r="T11" s="57" t="s">
        <v>1549</v>
      </c>
      <c r="U11" s="44"/>
    </row>
    <row r="12" spans="2:21">
      <c r="D12" s="599">
        <v>1</v>
      </c>
      <c r="E12" s="985" t="s">
        <v>267</v>
      </c>
      <c r="F12" s="969">
        <v>140</v>
      </c>
      <c r="G12" s="998">
        <v>80</v>
      </c>
      <c r="H12" s="939">
        <v>5.5</v>
      </c>
      <c r="I12" s="939">
        <v>9.1</v>
      </c>
      <c r="J12" s="939">
        <v>7.5</v>
      </c>
      <c r="K12" s="914">
        <v>3.8</v>
      </c>
      <c r="L12" s="989">
        <v>21.5</v>
      </c>
      <c r="M12" s="970">
        <v>16.899999999999999</v>
      </c>
      <c r="N12" s="996">
        <v>712</v>
      </c>
      <c r="O12" s="1001">
        <v>102</v>
      </c>
      <c r="P12" s="1002">
        <v>58.4</v>
      </c>
      <c r="Q12" s="997">
        <v>5.75</v>
      </c>
      <c r="R12" s="993">
        <v>64.8</v>
      </c>
      <c r="S12" s="1002">
        <v>16.2</v>
      </c>
      <c r="T12" s="994">
        <v>1.74</v>
      </c>
      <c r="U12" s="39"/>
    </row>
    <row r="13" spans="2:21">
      <c r="D13" s="599">
        <v>2</v>
      </c>
      <c r="E13" s="986" t="s">
        <v>163</v>
      </c>
      <c r="F13" s="971">
        <v>200</v>
      </c>
      <c r="G13" s="999">
        <v>100</v>
      </c>
      <c r="H13" s="941">
        <v>7</v>
      </c>
      <c r="I13" s="941">
        <v>11.4</v>
      </c>
      <c r="J13" s="941">
        <v>9</v>
      </c>
      <c r="K13" s="917">
        <v>4.5</v>
      </c>
      <c r="L13" s="990">
        <v>35.6</v>
      </c>
      <c r="M13" s="922">
        <v>27.9</v>
      </c>
      <c r="N13" s="995">
        <v>2370</v>
      </c>
      <c r="O13" s="1003">
        <v>237</v>
      </c>
      <c r="P13" s="1004">
        <v>136</v>
      </c>
      <c r="Q13" s="977">
        <v>8.16</v>
      </c>
      <c r="R13" s="995">
        <v>159</v>
      </c>
      <c r="S13" s="1004">
        <v>31.8</v>
      </c>
      <c r="T13" s="981">
        <v>2.11</v>
      </c>
      <c r="U13" s="39"/>
    </row>
    <row r="14" spans="2:21">
      <c r="D14" s="599">
        <v>3</v>
      </c>
      <c r="E14" s="987" t="s">
        <v>268</v>
      </c>
      <c r="F14" s="972">
        <v>200</v>
      </c>
      <c r="G14" s="1000">
        <v>102</v>
      </c>
      <c r="H14" s="943">
        <v>9</v>
      </c>
      <c r="I14" s="943">
        <v>11.4</v>
      </c>
      <c r="J14" s="943">
        <v>9</v>
      </c>
      <c r="K14" s="920">
        <v>4.5</v>
      </c>
      <c r="L14" s="991">
        <v>39.6</v>
      </c>
      <c r="M14" s="923">
        <v>31.1</v>
      </c>
      <c r="N14" s="973">
        <v>2500</v>
      </c>
      <c r="O14" s="1005">
        <v>250</v>
      </c>
      <c r="P14" s="1006">
        <v>146</v>
      </c>
      <c r="Q14" s="974">
        <v>7.95</v>
      </c>
      <c r="R14" s="973">
        <v>170</v>
      </c>
      <c r="S14" s="1006">
        <v>33.299999999999997</v>
      </c>
      <c r="T14" s="975">
        <v>2.0699999999999998</v>
      </c>
      <c r="U14" s="39"/>
    </row>
    <row r="15" spans="2:21">
      <c r="D15" s="599">
        <v>4</v>
      </c>
      <c r="E15" s="986" t="s">
        <v>269</v>
      </c>
      <c r="F15" s="916">
        <v>220</v>
      </c>
      <c r="G15" s="940">
        <v>110</v>
      </c>
      <c r="H15" s="941">
        <v>7.5</v>
      </c>
      <c r="I15" s="941">
        <v>12.3</v>
      </c>
      <c r="J15" s="941">
        <v>9.5</v>
      </c>
      <c r="K15" s="917">
        <v>4.8</v>
      </c>
      <c r="L15" s="990">
        <v>42.1</v>
      </c>
      <c r="M15" s="918">
        <v>33.1</v>
      </c>
      <c r="N15" s="976">
        <v>3400</v>
      </c>
      <c r="O15" s="1003">
        <v>310</v>
      </c>
      <c r="P15" s="1007">
        <v>178</v>
      </c>
      <c r="Q15" s="977">
        <v>9</v>
      </c>
      <c r="R15" s="976">
        <v>228</v>
      </c>
      <c r="S15" s="1004">
        <v>41.5</v>
      </c>
      <c r="T15" s="978">
        <v>2.3199999999999998</v>
      </c>
      <c r="U15" s="39"/>
    </row>
    <row r="16" spans="2:21">
      <c r="D16" s="599">
        <v>5</v>
      </c>
      <c r="E16" s="987" t="s">
        <v>270</v>
      </c>
      <c r="F16" s="919">
        <v>270</v>
      </c>
      <c r="G16" s="942">
        <v>122</v>
      </c>
      <c r="H16" s="943">
        <v>8.5</v>
      </c>
      <c r="I16" s="943">
        <v>13.7</v>
      </c>
      <c r="J16" s="943">
        <v>10.5</v>
      </c>
      <c r="K16" s="920">
        <v>5.3</v>
      </c>
      <c r="L16" s="991">
        <v>54.5</v>
      </c>
      <c r="M16" s="921">
        <v>42.8</v>
      </c>
      <c r="N16" s="979">
        <v>6550</v>
      </c>
      <c r="O16" s="1005">
        <v>485</v>
      </c>
      <c r="P16" s="1008">
        <v>279</v>
      </c>
      <c r="Q16" s="974">
        <v>11</v>
      </c>
      <c r="R16" s="979">
        <v>346</v>
      </c>
      <c r="S16" s="1006">
        <v>56.7</v>
      </c>
      <c r="T16" s="980">
        <v>2.52</v>
      </c>
      <c r="U16" s="39"/>
    </row>
    <row r="17" spans="4:20">
      <c r="D17" s="599">
        <v>6</v>
      </c>
      <c r="E17" s="986" t="s">
        <v>271</v>
      </c>
      <c r="F17" s="916">
        <v>270</v>
      </c>
      <c r="G17" s="940">
        <v>124</v>
      </c>
      <c r="H17" s="941">
        <v>10.5</v>
      </c>
      <c r="I17" s="941">
        <v>13.7</v>
      </c>
      <c r="J17" s="941">
        <v>10.5</v>
      </c>
      <c r="K17" s="917">
        <v>5.3</v>
      </c>
      <c r="L17" s="990">
        <v>59.9</v>
      </c>
      <c r="M17" s="922">
        <v>47</v>
      </c>
      <c r="N17" s="976">
        <v>6870</v>
      </c>
      <c r="O17" s="1003">
        <v>507</v>
      </c>
      <c r="P17" s="1007">
        <v>297</v>
      </c>
      <c r="Q17" s="977">
        <v>10.7</v>
      </c>
      <c r="R17" s="976">
        <v>366</v>
      </c>
      <c r="S17" s="1004">
        <v>59</v>
      </c>
      <c r="T17" s="981">
        <v>2.4700000000000002</v>
      </c>
    </row>
    <row r="18" spans="4:20">
      <c r="D18" s="599">
        <v>7</v>
      </c>
      <c r="E18" s="987" t="s">
        <v>272</v>
      </c>
      <c r="F18" s="919">
        <v>360</v>
      </c>
      <c r="G18" s="942">
        <v>140</v>
      </c>
      <c r="H18" s="943">
        <v>14</v>
      </c>
      <c r="I18" s="943">
        <v>15.8</v>
      </c>
      <c r="J18" s="943">
        <v>12</v>
      </c>
      <c r="K18" s="920">
        <v>6</v>
      </c>
      <c r="L18" s="991">
        <v>90.9</v>
      </c>
      <c r="M18" s="923">
        <v>71.3</v>
      </c>
      <c r="N18" s="979">
        <v>17360</v>
      </c>
      <c r="O18" s="1005">
        <v>964</v>
      </c>
      <c r="P18" s="1008">
        <v>574</v>
      </c>
      <c r="Q18" s="974">
        <v>13.8</v>
      </c>
      <c r="R18" s="979">
        <v>618</v>
      </c>
      <c r="S18" s="1006">
        <v>88.3</v>
      </c>
      <c r="T18" s="975">
        <v>2.61</v>
      </c>
    </row>
    <row r="19" spans="4:20">
      <c r="D19" s="599">
        <v>8</v>
      </c>
      <c r="E19" s="986" t="s">
        <v>273</v>
      </c>
      <c r="F19" s="916">
        <v>180</v>
      </c>
      <c r="G19" s="940">
        <v>90</v>
      </c>
      <c r="H19" s="941">
        <v>7</v>
      </c>
      <c r="I19" s="941">
        <v>12</v>
      </c>
      <c r="J19" s="941">
        <v>9</v>
      </c>
      <c r="K19" s="917">
        <v>3.5</v>
      </c>
      <c r="L19" s="990">
        <v>32.9</v>
      </c>
      <c r="M19" s="922">
        <v>25.8</v>
      </c>
      <c r="N19" s="976">
        <v>1760</v>
      </c>
      <c r="O19" s="1003">
        <v>196</v>
      </c>
      <c r="P19" s="1007">
        <v>113</v>
      </c>
      <c r="Q19" s="977">
        <v>7.32</v>
      </c>
      <c r="R19" s="976">
        <v>130</v>
      </c>
      <c r="S19" s="1004">
        <v>28.9</v>
      </c>
      <c r="T19" s="981">
        <v>1.99</v>
      </c>
    </row>
    <row r="20" spans="4:20">
      <c r="D20" s="599">
        <v>9</v>
      </c>
      <c r="E20" s="987" t="s">
        <v>274</v>
      </c>
      <c r="F20" s="919">
        <v>240</v>
      </c>
      <c r="G20" s="942">
        <v>110</v>
      </c>
      <c r="H20" s="943">
        <v>8.1999999999999993</v>
      </c>
      <c r="I20" s="943">
        <v>14</v>
      </c>
      <c r="J20" s="943">
        <v>10.5</v>
      </c>
      <c r="K20" s="920">
        <v>4</v>
      </c>
      <c r="L20" s="991">
        <v>48.7</v>
      </c>
      <c r="M20" s="923">
        <v>38.299999999999997</v>
      </c>
      <c r="N20" s="979">
        <v>4640</v>
      </c>
      <c r="O20" s="1005">
        <v>387</v>
      </c>
      <c r="P20" s="1008">
        <v>223</v>
      </c>
      <c r="Q20" s="974">
        <v>9.75</v>
      </c>
      <c r="R20" s="979">
        <v>276</v>
      </c>
      <c r="S20" s="1006">
        <v>50.2</v>
      </c>
      <c r="T20" s="975">
        <v>2.38</v>
      </c>
    </row>
    <row r="21" spans="4:20">
      <c r="D21" s="599">
        <v>10</v>
      </c>
      <c r="E21" s="986" t="s">
        <v>275</v>
      </c>
      <c r="F21" s="916">
        <v>300</v>
      </c>
      <c r="G21" s="940">
        <v>130</v>
      </c>
      <c r="H21" s="941">
        <v>9</v>
      </c>
      <c r="I21" s="941">
        <v>15</v>
      </c>
      <c r="J21" s="941">
        <v>12</v>
      </c>
      <c r="K21" s="917">
        <v>6</v>
      </c>
      <c r="L21" s="990">
        <v>64</v>
      </c>
      <c r="M21" s="922">
        <v>50.2</v>
      </c>
      <c r="N21" s="976">
        <v>9500</v>
      </c>
      <c r="O21" s="1003">
        <v>633</v>
      </c>
      <c r="P21" s="1007">
        <v>364</v>
      </c>
      <c r="Q21" s="977">
        <v>12.2</v>
      </c>
      <c r="R21" s="976">
        <v>480</v>
      </c>
      <c r="S21" s="1004">
        <v>73.900000000000006</v>
      </c>
      <c r="T21" s="981">
        <v>2.74</v>
      </c>
    </row>
    <row r="22" spans="4:20">
      <c r="D22" s="599">
        <v>11</v>
      </c>
      <c r="E22" s="987" t="s">
        <v>276</v>
      </c>
      <c r="F22" s="919">
        <v>360</v>
      </c>
      <c r="G22" s="942">
        <v>130</v>
      </c>
      <c r="H22" s="943">
        <v>9.5</v>
      </c>
      <c r="I22" s="943">
        <v>16</v>
      </c>
      <c r="J22" s="943">
        <v>14</v>
      </c>
      <c r="K22" s="920">
        <v>6</v>
      </c>
      <c r="L22" s="991">
        <v>73.8</v>
      </c>
      <c r="M22" s="923">
        <v>57.9</v>
      </c>
      <c r="N22" s="979">
        <v>15340</v>
      </c>
      <c r="O22" s="1005">
        <v>852</v>
      </c>
      <c r="P22" s="1008">
        <v>493</v>
      </c>
      <c r="Q22" s="974">
        <v>14.4</v>
      </c>
      <c r="R22" s="979">
        <v>518</v>
      </c>
      <c r="S22" s="1006">
        <v>79.7</v>
      </c>
      <c r="T22" s="975">
        <v>2.65</v>
      </c>
    </row>
    <row r="23" spans="4:20" ht="13.5" thickBot="1">
      <c r="D23" s="599">
        <v>12</v>
      </c>
      <c r="E23" s="988" t="s">
        <v>277</v>
      </c>
      <c r="F23" s="924">
        <v>450</v>
      </c>
      <c r="G23" s="944">
        <v>150</v>
      </c>
      <c r="H23" s="945">
        <v>10.5</v>
      </c>
      <c r="I23" s="945">
        <v>18</v>
      </c>
      <c r="J23" s="945">
        <v>16</v>
      </c>
      <c r="K23" s="925">
        <v>7</v>
      </c>
      <c r="L23" s="992">
        <v>98.8</v>
      </c>
      <c r="M23" s="926">
        <v>77.599999999999994</v>
      </c>
      <c r="N23" s="982">
        <v>31900</v>
      </c>
      <c r="O23" s="1009">
        <v>1420</v>
      </c>
      <c r="P23" s="1010">
        <v>821</v>
      </c>
      <c r="Q23" s="983">
        <v>18</v>
      </c>
      <c r="R23" s="982">
        <v>892</v>
      </c>
      <c r="S23" s="1011">
        <v>119</v>
      </c>
      <c r="T23" s="984">
        <v>3</v>
      </c>
    </row>
    <row r="24" spans="4:20">
      <c r="D24" s="599"/>
      <c r="E24" s="39"/>
      <c r="F24" s="39"/>
      <c r="G24" s="39"/>
      <c r="H24" s="51"/>
      <c r="I24" s="51"/>
      <c r="J24" s="51"/>
      <c r="K24" s="39"/>
      <c r="L24" s="52"/>
      <c r="M24" s="51"/>
      <c r="N24" s="39"/>
      <c r="O24" s="53"/>
      <c r="P24" s="39"/>
      <c r="Q24" s="52"/>
      <c r="R24" s="39"/>
      <c r="S24" s="51"/>
      <c r="T24" s="52"/>
    </row>
    <row r="25" spans="4:20">
      <c r="D25" s="599"/>
      <c r="E25" s="39"/>
      <c r="F25" s="39"/>
      <c r="G25" s="39"/>
      <c r="H25" s="51"/>
      <c r="I25" s="51"/>
      <c r="J25" s="51"/>
      <c r="K25" s="39"/>
      <c r="L25" s="52"/>
      <c r="M25" s="51"/>
      <c r="N25" s="39"/>
      <c r="O25" s="53"/>
      <c r="P25" s="39"/>
      <c r="Q25" s="52"/>
      <c r="R25" s="39"/>
      <c r="S25" s="51"/>
      <c r="T25" s="52"/>
    </row>
    <row r="26" spans="4:20">
      <c r="D26" s="599"/>
      <c r="E26" s="39"/>
      <c r="F26" s="39"/>
      <c r="G26" s="39"/>
      <c r="H26" s="51"/>
      <c r="I26" s="51"/>
      <c r="J26" s="51"/>
      <c r="K26" s="39"/>
      <c r="L26" s="52"/>
      <c r="M26" s="51"/>
      <c r="N26" s="39"/>
      <c r="O26" s="53"/>
      <c r="P26" s="39"/>
      <c r="Q26" s="52"/>
      <c r="R26" s="39"/>
      <c r="S26" s="51"/>
      <c r="T26" s="52"/>
    </row>
    <row r="27" spans="4:20">
      <c r="D27" s="599"/>
      <c r="E27" s="39"/>
      <c r="F27" s="39"/>
      <c r="G27" s="39"/>
      <c r="H27" s="51"/>
      <c r="I27" s="51"/>
      <c r="J27" s="51"/>
      <c r="K27" s="39"/>
      <c r="L27" s="52"/>
      <c r="M27" s="51"/>
      <c r="N27" s="39"/>
      <c r="O27" s="53"/>
      <c r="P27" s="39"/>
      <c r="Q27" s="52"/>
      <c r="R27" s="39"/>
      <c r="S27" s="51"/>
      <c r="T27" s="52"/>
    </row>
    <row r="28" spans="4:20">
      <c r="D28" s="599"/>
      <c r="E28" s="39"/>
      <c r="F28" s="39"/>
      <c r="G28" s="39"/>
      <c r="H28" s="51"/>
      <c r="I28" s="51"/>
      <c r="J28" s="51"/>
      <c r="K28" s="39"/>
      <c r="L28" s="52"/>
      <c r="M28" s="51"/>
      <c r="N28" s="39"/>
      <c r="O28" s="53"/>
      <c r="P28" s="39"/>
      <c r="Q28" s="52"/>
      <c r="R28" s="39"/>
      <c r="S28" s="51"/>
      <c r="T28" s="52"/>
    </row>
    <row r="29" spans="4:20">
      <c r="D29" s="599"/>
      <c r="E29" s="39"/>
      <c r="F29" s="39"/>
      <c r="G29" s="39"/>
      <c r="H29" s="51"/>
      <c r="I29" s="51"/>
      <c r="J29" s="51"/>
      <c r="K29" s="39"/>
      <c r="L29" s="52"/>
      <c r="M29" s="51"/>
      <c r="N29" s="39"/>
      <c r="O29" s="53"/>
      <c r="P29" s="39"/>
      <c r="Q29" s="52"/>
      <c r="R29" s="39"/>
      <c r="S29" s="51"/>
      <c r="T29" s="52"/>
    </row>
    <row r="30" spans="4:20">
      <c r="D30" s="599"/>
      <c r="E30" s="39"/>
      <c r="F30" s="39"/>
      <c r="G30" s="39"/>
      <c r="H30" s="51"/>
      <c r="I30" s="51"/>
      <c r="J30" s="51"/>
      <c r="K30" s="39"/>
      <c r="L30" s="52"/>
      <c r="M30" s="51"/>
      <c r="N30" s="39"/>
      <c r="O30" s="53"/>
      <c r="P30" s="39"/>
      <c r="Q30" s="52"/>
      <c r="R30" s="39"/>
      <c r="S30" s="51"/>
      <c r="T30" s="52"/>
    </row>
    <row r="31" spans="4:20">
      <c r="D31" s="599"/>
      <c r="E31" s="39"/>
      <c r="F31" s="39"/>
      <c r="G31" s="39"/>
      <c r="H31" s="51"/>
      <c r="I31" s="51"/>
      <c r="J31" s="51"/>
      <c r="K31" s="39"/>
      <c r="L31" s="52"/>
      <c r="M31" s="51"/>
      <c r="N31" s="39"/>
      <c r="O31" s="53"/>
      <c r="P31" s="39"/>
      <c r="Q31" s="52"/>
      <c r="R31" s="39"/>
      <c r="S31" s="51"/>
      <c r="T31" s="52"/>
    </row>
    <row r="32" spans="4:20">
      <c r="D32" s="599"/>
      <c r="E32" s="39"/>
      <c r="F32" s="39"/>
      <c r="G32" s="39"/>
      <c r="H32" s="51"/>
      <c r="I32" s="51"/>
      <c r="J32" s="51"/>
      <c r="K32" s="39"/>
      <c r="L32" s="52"/>
      <c r="M32" s="51"/>
      <c r="N32" s="39"/>
      <c r="O32" s="53"/>
      <c r="P32" s="39"/>
      <c r="Q32" s="52"/>
      <c r="R32" s="39"/>
      <c r="S32" s="51"/>
      <c r="T32" s="52"/>
    </row>
    <row r="33" spans="4:20">
      <c r="D33" s="599"/>
      <c r="E33" s="39"/>
      <c r="F33" s="39"/>
      <c r="G33" s="39"/>
      <c r="H33" s="51"/>
      <c r="I33" s="51"/>
      <c r="J33" s="51"/>
      <c r="K33" s="39"/>
      <c r="L33" s="52"/>
      <c r="M33" s="51"/>
      <c r="N33" s="39"/>
      <c r="O33" s="53"/>
      <c r="P33" s="39"/>
      <c r="Q33" s="52"/>
      <c r="R33" s="39"/>
      <c r="S33" s="51"/>
      <c r="T33" s="52"/>
    </row>
    <row r="34" spans="4:20">
      <c r="D34" s="599"/>
      <c r="E34" s="39"/>
      <c r="F34" s="39"/>
      <c r="G34" s="39"/>
      <c r="H34" s="51"/>
      <c r="I34" s="51"/>
      <c r="J34" s="51"/>
      <c r="K34" s="39"/>
      <c r="L34" s="52"/>
      <c r="M34" s="51"/>
      <c r="N34" s="39"/>
      <c r="O34" s="53"/>
      <c r="P34" s="39"/>
      <c r="Q34" s="52"/>
      <c r="R34" s="39"/>
      <c r="S34" s="51"/>
      <c r="T34" s="52"/>
    </row>
    <row r="35" spans="4:20" hidden="1">
      <c r="D35" s="423">
        <v>1</v>
      </c>
      <c r="E35" s="524" t="s">
        <v>167</v>
      </c>
      <c r="O35" s="53"/>
      <c r="P35" s="39"/>
      <c r="Q35" s="52"/>
      <c r="R35" s="39"/>
      <c r="S35" s="51"/>
      <c r="T35" s="52"/>
    </row>
    <row r="36" spans="4:20" hidden="1">
      <c r="D36" s="423">
        <v>2</v>
      </c>
      <c r="E36" s="524" t="s">
        <v>168</v>
      </c>
      <c r="O36" s="53"/>
      <c r="P36" s="39"/>
      <c r="Q36" s="52"/>
      <c r="R36" s="39"/>
      <c r="S36" s="53"/>
      <c r="T36" s="52"/>
    </row>
    <row r="37" spans="4:20" hidden="1">
      <c r="D37" s="423">
        <v>3</v>
      </c>
      <c r="E37" s="524" t="s">
        <v>132</v>
      </c>
      <c r="O37" s="53"/>
      <c r="P37" s="39"/>
      <c r="Q37" s="52"/>
      <c r="R37" s="39"/>
      <c r="S37" s="53"/>
      <c r="T37" s="52"/>
    </row>
    <row r="38" spans="4:20" hidden="1">
      <c r="D38" s="423">
        <v>4</v>
      </c>
      <c r="E38" s="524" t="s">
        <v>133</v>
      </c>
      <c r="O38" s="51"/>
      <c r="P38" s="53"/>
      <c r="Q38" s="52"/>
      <c r="R38" s="51"/>
      <c r="S38" s="51"/>
      <c r="T38" s="52"/>
    </row>
    <row r="39" spans="4:20" ht="13.5" hidden="1" thickBot="1">
      <c r="D39" s="423">
        <v>5</v>
      </c>
      <c r="E39" s="141" t="s">
        <v>1561</v>
      </c>
      <c r="O39" s="51"/>
      <c r="P39" s="53"/>
      <c r="Q39" s="52"/>
      <c r="R39" s="51"/>
      <c r="S39" s="51"/>
      <c r="T39" s="52"/>
    </row>
    <row r="40" spans="4:20" ht="13.5" hidden="1" thickBot="1">
      <c r="D40" s="423">
        <v>6</v>
      </c>
      <c r="E40" s="141" t="s">
        <v>1564</v>
      </c>
      <c r="M40" s="1067">
        <v>8</v>
      </c>
      <c r="N40" s="603" t="s">
        <v>159</v>
      </c>
      <c r="O40" s="51"/>
      <c r="P40" s="53"/>
      <c r="Q40" s="52"/>
      <c r="R40" s="51"/>
      <c r="S40" s="51"/>
      <c r="T40" s="52"/>
    </row>
    <row r="41" spans="4:20" ht="13.5" hidden="1" thickBot="1">
      <c r="D41" s="423">
        <v>7</v>
      </c>
      <c r="E41" s="141" t="s">
        <v>134</v>
      </c>
      <c r="M41" s="1068">
        <v>2</v>
      </c>
      <c r="N41" s="604" t="s">
        <v>135</v>
      </c>
      <c r="O41" s="51"/>
      <c r="P41" s="53"/>
      <c r="Q41" s="52"/>
      <c r="R41" s="51"/>
      <c r="S41" s="51"/>
      <c r="T41" s="52"/>
    </row>
    <row r="42" spans="4:20" ht="14.25" hidden="1">
      <c r="D42" s="423">
        <v>8</v>
      </c>
      <c r="E42" s="141" t="s">
        <v>1995</v>
      </c>
      <c r="O42" s="51"/>
      <c r="P42" s="53"/>
      <c r="Q42" s="52"/>
      <c r="R42" s="51"/>
      <c r="S42" s="51"/>
      <c r="T42" s="52"/>
    </row>
    <row r="43" spans="4:20" hidden="1">
      <c r="D43" s="423">
        <v>9</v>
      </c>
      <c r="E43" s="141" t="s">
        <v>1994</v>
      </c>
      <c r="O43" s="51"/>
      <c r="P43" s="53"/>
      <c r="Q43" s="52"/>
      <c r="R43" s="51"/>
      <c r="S43" s="51"/>
      <c r="T43" s="52"/>
    </row>
    <row r="44" spans="4:20" ht="14.25" hidden="1">
      <c r="D44" s="423">
        <v>10</v>
      </c>
      <c r="E44" s="141" t="s">
        <v>1997</v>
      </c>
      <c r="O44" s="51"/>
      <c r="P44" s="53"/>
      <c r="Q44" s="52"/>
      <c r="R44" s="51"/>
      <c r="S44" s="51"/>
      <c r="T44" s="52"/>
    </row>
    <row r="45" spans="4:20" ht="14.25" hidden="1">
      <c r="D45" s="423">
        <v>11</v>
      </c>
      <c r="E45" s="141" t="s">
        <v>1998</v>
      </c>
      <c r="O45" s="51"/>
      <c r="P45" s="53"/>
      <c r="Q45" s="52"/>
      <c r="R45" s="53"/>
      <c r="S45" s="51"/>
      <c r="T45" s="52"/>
    </row>
    <row r="46" spans="4:20" hidden="1">
      <c r="D46" s="423">
        <v>12</v>
      </c>
      <c r="E46" s="141" t="s">
        <v>136</v>
      </c>
      <c r="O46" s="51"/>
      <c r="P46" s="53"/>
      <c r="Q46" s="52"/>
      <c r="R46" s="53"/>
      <c r="S46" s="51"/>
      <c r="T46" s="52"/>
    </row>
    <row r="47" spans="4:20" hidden="1">
      <c r="D47" s="423">
        <v>13</v>
      </c>
      <c r="E47" s="141" t="s">
        <v>1568</v>
      </c>
      <c r="O47" s="51"/>
      <c r="P47" s="53"/>
      <c r="Q47" s="52"/>
      <c r="R47" s="53"/>
      <c r="S47" s="51"/>
      <c r="T47" s="52"/>
    </row>
    <row r="48" spans="4:20" ht="14.25" hidden="1">
      <c r="D48" s="423">
        <v>14</v>
      </c>
      <c r="E48" s="141" t="s">
        <v>1999</v>
      </c>
      <c r="O48" s="51"/>
      <c r="P48" s="53"/>
      <c r="Q48" s="52"/>
      <c r="R48" s="53"/>
      <c r="S48" s="51"/>
      <c r="T48" s="52"/>
    </row>
    <row r="49" spans="4:5" ht="14.25" hidden="1">
      <c r="D49" s="423">
        <v>15</v>
      </c>
      <c r="E49" s="141" t="s">
        <v>2000</v>
      </c>
    </row>
    <row r="50" spans="4:5" hidden="1">
      <c r="D50" s="423">
        <v>16</v>
      </c>
      <c r="E50" s="141" t="s">
        <v>2001</v>
      </c>
    </row>
    <row r="51" spans="4:5" hidden="1"/>
    <row r="52" spans="4:5" hidden="1"/>
    <row r="53" spans="4:5" hidden="1"/>
    <row r="54" spans="4:5" hidden="1"/>
  </sheetData>
  <pageMargins left="0.75" right="0.75" top="1" bottom="1" header="0.5" footer="0.5"/>
  <pageSetup paperSize="9" orientation="portrait" horizontalDpi="300" verticalDpi="240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print="0" autoFill="0" autoLine="0" autoPict="0" macro="[0]!Мак1_для_листа11">
                <anchor moveWithCells="1">
                  <from>
                    <xdr:col>14</xdr:col>
                    <xdr:colOff>57150</xdr:colOff>
                    <xdr:row>3</xdr:row>
                    <xdr:rowOff>0</xdr:rowOff>
                  </from>
                  <to>
                    <xdr:col>20</xdr:col>
                    <xdr:colOff>66675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Drop Down 2">
              <controlPr defaultSize="0" print="0" autoFill="0" autoLine="0" autoPict="0" macro="[0]!Мак2_для_листа11">
                <anchor moveWithCells="1">
                  <from>
                    <xdr:col>14</xdr:col>
                    <xdr:colOff>66675</xdr:colOff>
                    <xdr:row>4</xdr:row>
                    <xdr:rowOff>76200</xdr:rowOff>
                  </from>
                  <to>
                    <xdr:col>16</xdr:col>
                    <xdr:colOff>200025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6" name="Button 6">
              <controlPr defaultSize="0" print="0" autoFill="0" autoLine="0" autoPict="0" macro="[0]!Вначало">
                <anchor moveWithCells="1">
                  <from>
                    <xdr:col>9</xdr:col>
                    <xdr:colOff>142875</xdr:colOff>
                    <xdr:row>0</xdr:row>
                    <xdr:rowOff>57150</xdr:rowOff>
                  </from>
                  <to>
                    <xdr:col>16</xdr:col>
                    <xdr:colOff>95250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14"/>
  <dimension ref="A1:BQ224"/>
  <sheetViews>
    <sheetView workbookViewId="0">
      <selection activeCell="C22" sqref="C22"/>
    </sheetView>
  </sheetViews>
  <sheetFormatPr defaultRowHeight="12.75"/>
  <cols>
    <col min="1" max="1" width="5.5703125" customWidth="1"/>
    <col min="2" max="2" width="6.7109375" customWidth="1"/>
    <col min="3" max="3" width="3" customWidth="1"/>
    <col min="5" max="5" width="1.42578125" customWidth="1"/>
    <col min="6" max="19" width="5" customWidth="1"/>
    <col min="20" max="20" width="6" customWidth="1"/>
    <col min="21" max="22" width="5" customWidth="1"/>
    <col min="23" max="23" width="10.42578125" customWidth="1"/>
    <col min="24" max="24" width="5" customWidth="1"/>
    <col min="25" max="25" width="5.28515625" customWidth="1"/>
    <col min="26" max="26" width="5.7109375" customWidth="1"/>
    <col min="27" max="27" width="5.42578125" customWidth="1"/>
    <col min="28" max="28" width="3.28515625" customWidth="1"/>
    <col min="29" max="29" width="5" customWidth="1"/>
    <col min="30" max="30" width="4.5703125" customWidth="1"/>
    <col min="31" max="32" width="3.140625" customWidth="1"/>
    <col min="33" max="33" width="15.5703125" customWidth="1"/>
    <col min="34" max="34" width="3.28515625" customWidth="1"/>
    <col min="35" max="35" width="3.140625" customWidth="1"/>
    <col min="36" max="36" width="5.140625" customWidth="1"/>
    <col min="37" max="38" width="3.140625" customWidth="1"/>
    <col min="39" max="39" width="2.85546875" customWidth="1"/>
    <col min="40" max="40" width="3.42578125" customWidth="1"/>
    <col min="41" max="41" width="2.42578125" customWidth="1"/>
    <col min="42" max="43" width="3.42578125" customWidth="1"/>
    <col min="44" max="44" width="5" customWidth="1"/>
    <col min="45" max="45" width="7.140625" customWidth="1"/>
    <col min="46" max="46" width="5" customWidth="1"/>
    <col min="47" max="47" width="7.140625" customWidth="1"/>
    <col min="48" max="48" width="4.5703125" customWidth="1"/>
    <col min="49" max="49" width="3.5703125" customWidth="1"/>
    <col min="50" max="58" width="5" customWidth="1"/>
    <col min="59" max="68" width="6" customWidth="1"/>
  </cols>
  <sheetData>
    <row r="1" spans="1:69" ht="15" thickBot="1">
      <c r="W1" s="163">
        <f>O2*1000*1000/1000^3*7850</f>
        <v>431.75</v>
      </c>
      <c r="X1" t="s">
        <v>278</v>
      </c>
      <c r="AZ1" s="60">
        <f ca="1">AU18</f>
        <v>0</v>
      </c>
    </row>
    <row r="2" spans="1:69" ht="15" thickBot="1">
      <c r="O2" s="149">
        <f>VLOOKUP(B10,C5:D80,2,FALSE)</f>
        <v>55</v>
      </c>
      <c r="Q2" s="43">
        <f ca="1">VLOOKUP(AD8,AI5:AJ27,2,FALSE)</f>
        <v>1400</v>
      </c>
      <c r="T2" s="162">
        <f ca="1">VLOOKUP(AU2,AT4:AU22,2,FALSE)</f>
        <v>3500</v>
      </c>
      <c r="W2" s="164">
        <f ca="1">O2*Q2*T2/1000^3*7850</f>
        <v>2115.5750000000003</v>
      </c>
      <c r="X2" s="60" t="s">
        <v>279</v>
      </c>
      <c r="AA2" s="165">
        <f ca="1">Q2*T2/1000^2</f>
        <v>4.9000000000000004</v>
      </c>
      <c r="AB2" t="s">
        <v>280</v>
      </c>
      <c r="AO2" s="148" t="str">
        <f>VLOOKUP(B10,AF5:AH80,3,FALSE)</f>
        <v>O</v>
      </c>
      <c r="AS2" s="147" t="str">
        <f>VLOOKUP(AD10,AR4:AS224,2,FALSE)</f>
        <v>Dlina14</v>
      </c>
      <c r="AU2" s="1192">
        <v>4</v>
      </c>
      <c r="AX2" s="61" t="s">
        <v>281</v>
      </c>
      <c r="AY2" s="152"/>
      <c r="AZ2" s="152"/>
      <c r="BA2" s="152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2"/>
      <c r="BM2" s="152"/>
      <c r="BN2" s="152"/>
      <c r="BO2" s="152"/>
      <c r="BP2" s="161"/>
    </row>
    <row r="3" spans="1:69" ht="16.5" thickBot="1">
      <c r="U3" s="168" t="s">
        <v>282</v>
      </c>
      <c r="V3" s="167">
        <v>50</v>
      </c>
      <c r="W3" s="166">
        <f>W1*V3</f>
        <v>21587.5</v>
      </c>
      <c r="X3" t="s">
        <v>283</v>
      </c>
      <c r="AG3" s="147" t="str">
        <f>VLOOKUP(B10,AF5:AH80,2,FALSE)</f>
        <v>Shirina420_1600</v>
      </c>
      <c r="AO3" s="69"/>
      <c r="AW3">
        <v>1</v>
      </c>
      <c r="AX3" s="106">
        <v>2</v>
      </c>
      <c r="AY3">
        <v>3</v>
      </c>
      <c r="AZ3">
        <v>4</v>
      </c>
      <c r="BA3">
        <v>5</v>
      </c>
      <c r="BB3">
        <v>6</v>
      </c>
      <c r="BC3">
        <v>7</v>
      </c>
      <c r="BD3">
        <v>8</v>
      </c>
      <c r="BE3">
        <v>9</v>
      </c>
      <c r="BF3">
        <v>10</v>
      </c>
      <c r="BG3">
        <v>11</v>
      </c>
      <c r="BH3">
        <v>12</v>
      </c>
      <c r="BI3">
        <v>13</v>
      </c>
      <c r="BJ3">
        <v>14</v>
      </c>
      <c r="BK3">
        <v>15</v>
      </c>
      <c r="BL3">
        <v>16</v>
      </c>
      <c r="BM3">
        <v>17</v>
      </c>
      <c r="BN3">
        <v>18</v>
      </c>
      <c r="BO3">
        <v>19</v>
      </c>
      <c r="BP3">
        <v>20</v>
      </c>
    </row>
    <row r="4" spans="1:69" ht="13.5" thickBot="1">
      <c r="A4" s="61"/>
      <c r="B4" s="152"/>
      <c r="C4" s="152"/>
      <c r="D4" s="66" t="s">
        <v>284</v>
      </c>
      <c r="F4" s="160" t="s">
        <v>285</v>
      </c>
      <c r="G4" s="152"/>
      <c r="H4" s="152"/>
      <c r="I4" s="152"/>
      <c r="J4" s="152"/>
      <c r="K4" s="152"/>
      <c r="L4" s="152"/>
      <c r="M4" s="152"/>
      <c r="W4" s="46">
        <f>0.78522042646277*10000</f>
        <v>7852.2042646277005</v>
      </c>
      <c r="AM4" s="69"/>
      <c r="AR4" s="143" t="s">
        <v>286</v>
      </c>
      <c r="AS4" s="144" t="s">
        <v>287</v>
      </c>
      <c r="AT4" s="143">
        <v>1</v>
      </c>
      <c r="AU4" s="144">
        <f t="array" aca="1" ref="AU4:AU22" ca="1">TRANSPOSE(INDIRECT(AS2))</f>
        <v>2500</v>
      </c>
      <c r="AW4">
        <v>1</v>
      </c>
      <c r="AX4" s="143">
        <v>1200</v>
      </c>
      <c r="AY4" s="150">
        <v>0</v>
      </c>
      <c r="AZ4" s="150">
        <v>0</v>
      </c>
      <c r="BA4" s="150">
        <v>0</v>
      </c>
      <c r="BB4" s="150">
        <v>0</v>
      </c>
      <c r="BC4" s="150">
        <v>0</v>
      </c>
      <c r="BD4" s="150">
        <v>0</v>
      </c>
      <c r="BE4" s="150">
        <v>0</v>
      </c>
      <c r="BF4" s="150">
        <v>0</v>
      </c>
      <c r="BG4" s="150">
        <v>0</v>
      </c>
      <c r="BH4" s="150">
        <v>0</v>
      </c>
      <c r="BI4" s="150">
        <v>0</v>
      </c>
      <c r="BJ4" s="150">
        <v>0</v>
      </c>
      <c r="BK4" s="150">
        <v>0</v>
      </c>
      <c r="BL4" s="150">
        <v>0</v>
      </c>
      <c r="BM4" s="150">
        <v>0</v>
      </c>
      <c r="BN4" s="150">
        <v>0</v>
      </c>
      <c r="BO4" s="150">
        <v>0</v>
      </c>
      <c r="BP4" s="144">
        <v>0</v>
      </c>
      <c r="BQ4">
        <v>0</v>
      </c>
    </row>
    <row r="5" spans="1:69">
      <c r="A5" s="143"/>
      <c r="B5" s="150"/>
      <c r="C5" s="150">
        <v>1</v>
      </c>
      <c r="D5" s="153">
        <v>0.5</v>
      </c>
      <c r="F5" s="143">
        <v>600</v>
      </c>
      <c r="G5" s="150">
        <v>650</v>
      </c>
      <c r="H5" s="150">
        <v>700</v>
      </c>
      <c r="I5" s="150">
        <v>710</v>
      </c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44"/>
      <c r="AC5" s="34"/>
      <c r="AD5" s="34"/>
      <c r="AF5" s="143">
        <v>1</v>
      </c>
      <c r="AG5" s="150" t="s">
        <v>288</v>
      </c>
      <c r="AH5" s="144" t="s">
        <v>289</v>
      </c>
      <c r="AI5" s="143">
        <v>1</v>
      </c>
      <c r="AJ5" s="144">
        <f t="array" aca="1" ref="AJ5:AJ27" ca="1">TRANSPOSE(INDIRECT(AG3))</f>
        <v>1250</v>
      </c>
      <c r="AR5" s="106" t="s">
        <v>290</v>
      </c>
      <c r="AS5" s="99" t="s">
        <v>291</v>
      </c>
      <c r="AT5" s="106">
        <v>2</v>
      </c>
      <c r="AU5" s="99">
        <f ca="1"/>
        <v>2800</v>
      </c>
      <c r="AW5">
        <v>2</v>
      </c>
      <c r="AX5" s="106">
        <v>1400</v>
      </c>
      <c r="AY5" s="34">
        <v>0</v>
      </c>
      <c r="AZ5" s="34">
        <v>0</v>
      </c>
      <c r="BA5" s="34">
        <v>0</v>
      </c>
      <c r="BB5" s="34">
        <v>0</v>
      </c>
      <c r="BC5" s="34">
        <v>0</v>
      </c>
      <c r="BD5" s="34">
        <v>0</v>
      </c>
      <c r="BE5" s="34">
        <v>0</v>
      </c>
      <c r="BF5" s="34">
        <v>0</v>
      </c>
      <c r="BG5" s="34">
        <v>0</v>
      </c>
      <c r="BH5" s="34">
        <v>0</v>
      </c>
      <c r="BI5" s="34">
        <v>0</v>
      </c>
      <c r="BJ5" s="34">
        <v>0</v>
      </c>
      <c r="BK5" s="34">
        <v>0</v>
      </c>
      <c r="BL5" s="34">
        <v>0</v>
      </c>
      <c r="BM5" s="34">
        <v>0</v>
      </c>
      <c r="BN5" s="34">
        <v>0</v>
      </c>
      <c r="BO5" s="34">
        <v>0</v>
      </c>
      <c r="BP5" s="99">
        <v>0</v>
      </c>
      <c r="BQ5">
        <v>0</v>
      </c>
    </row>
    <row r="6" spans="1:69">
      <c r="A6" s="106"/>
      <c r="B6" s="34"/>
      <c r="C6" s="34">
        <v>2</v>
      </c>
      <c r="D6" s="154">
        <v>0.55000000000000004</v>
      </c>
      <c r="F6" s="106">
        <v>600</v>
      </c>
      <c r="G6" s="34">
        <v>650</v>
      </c>
      <c r="H6" s="34">
        <v>700</v>
      </c>
      <c r="I6" s="34">
        <v>710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99"/>
      <c r="AF6" s="106">
        <v>2</v>
      </c>
      <c r="AG6" s="34" t="s">
        <v>288</v>
      </c>
      <c r="AH6" s="99" t="s">
        <v>289</v>
      </c>
      <c r="AI6" s="106">
        <v>2</v>
      </c>
      <c r="AJ6" s="99">
        <f ca="1"/>
        <v>1400</v>
      </c>
      <c r="AR6" s="106" t="s">
        <v>292</v>
      </c>
      <c r="AS6" s="99" t="s">
        <v>293</v>
      </c>
      <c r="AT6" s="106">
        <v>3</v>
      </c>
      <c r="AU6" s="99">
        <f ca="1"/>
        <v>3000</v>
      </c>
      <c r="AW6">
        <v>3</v>
      </c>
      <c r="AX6" s="106">
        <v>1420</v>
      </c>
      <c r="AY6" s="34">
        <v>0</v>
      </c>
      <c r="AZ6" s="34">
        <v>0</v>
      </c>
      <c r="BA6" s="34">
        <v>0</v>
      </c>
      <c r="BB6" s="34">
        <v>0</v>
      </c>
      <c r="BC6" s="34">
        <v>0</v>
      </c>
      <c r="BD6" s="34">
        <v>0</v>
      </c>
      <c r="BE6" s="34">
        <v>0</v>
      </c>
      <c r="BF6" s="34">
        <v>0</v>
      </c>
      <c r="BG6" s="34">
        <v>0</v>
      </c>
      <c r="BH6" s="34">
        <v>0</v>
      </c>
      <c r="BI6" s="34">
        <v>0</v>
      </c>
      <c r="BJ6" s="34">
        <v>0</v>
      </c>
      <c r="BK6" s="34">
        <v>0</v>
      </c>
      <c r="BL6" s="34">
        <v>0</v>
      </c>
      <c r="BM6" s="34">
        <v>0</v>
      </c>
      <c r="BN6" s="34">
        <v>0</v>
      </c>
      <c r="BO6" s="34">
        <v>0</v>
      </c>
      <c r="BP6" s="99">
        <v>0</v>
      </c>
      <c r="BQ6">
        <v>0</v>
      </c>
    </row>
    <row r="7" spans="1:69" ht="13.5" customHeight="1" thickBot="1">
      <c r="A7" s="116">
        <v>1</v>
      </c>
      <c r="B7" s="117"/>
      <c r="C7" s="117">
        <v>3</v>
      </c>
      <c r="D7" s="155">
        <v>0.6</v>
      </c>
      <c r="E7" s="117"/>
      <c r="F7" s="116">
        <v>600</v>
      </c>
      <c r="G7" s="117">
        <v>650</v>
      </c>
      <c r="H7" s="117">
        <v>700</v>
      </c>
      <c r="I7" s="117">
        <v>710</v>
      </c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99"/>
      <c r="AF7" s="116">
        <v>3</v>
      </c>
      <c r="AG7" s="117" t="s">
        <v>288</v>
      </c>
      <c r="AH7" s="105" t="s">
        <v>289</v>
      </c>
      <c r="AI7" s="106">
        <v>3</v>
      </c>
      <c r="AJ7" s="99">
        <f ca="1"/>
        <v>1420</v>
      </c>
      <c r="AR7" s="116" t="s">
        <v>294</v>
      </c>
      <c r="AS7" s="105" t="s">
        <v>293</v>
      </c>
      <c r="AT7" s="106">
        <v>4</v>
      </c>
      <c r="AU7" s="99">
        <f ca="1"/>
        <v>3500</v>
      </c>
      <c r="AW7">
        <v>4</v>
      </c>
      <c r="AX7" s="106">
        <v>1500</v>
      </c>
      <c r="AY7" s="34">
        <v>0</v>
      </c>
      <c r="AZ7" s="34">
        <v>0</v>
      </c>
      <c r="BA7" s="34">
        <v>0</v>
      </c>
      <c r="BB7" s="34">
        <v>0</v>
      </c>
      <c r="BC7" s="34">
        <v>0</v>
      </c>
      <c r="BD7" s="34">
        <v>0</v>
      </c>
      <c r="BE7" s="34">
        <v>0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34">
        <v>0</v>
      </c>
      <c r="BL7" s="34">
        <v>0</v>
      </c>
      <c r="BM7" s="34">
        <v>0</v>
      </c>
      <c r="BN7" s="34">
        <v>0</v>
      </c>
      <c r="BO7" s="34">
        <v>0</v>
      </c>
      <c r="BP7" s="99">
        <v>0</v>
      </c>
      <c r="BQ7">
        <v>0</v>
      </c>
    </row>
    <row r="8" spans="1:69">
      <c r="A8" s="106"/>
      <c r="B8" s="34"/>
      <c r="C8" s="34">
        <v>4</v>
      </c>
      <c r="D8" s="154">
        <v>0.65</v>
      </c>
      <c r="F8" s="106">
        <v>600</v>
      </c>
      <c r="G8" s="34">
        <v>650</v>
      </c>
      <c r="H8" s="34">
        <v>700</v>
      </c>
      <c r="I8" s="34">
        <v>710</v>
      </c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99"/>
      <c r="AD8" s="1189">
        <v>2</v>
      </c>
      <c r="AF8" s="106">
        <v>4</v>
      </c>
      <c r="AG8" s="34" t="s">
        <v>295</v>
      </c>
      <c r="AH8" s="99" t="s">
        <v>1939</v>
      </c>
      <c r="AI8" s="106">
        <v>4</v>
      </c>
      <c r="AJ8" s="99">
        <f ca="1"/>
        <v>1500</v>
      </c>
      <c r="AR8" s="106" t="s">
        <v>296</v>
      </c>
      <c r="AS8" s="99" t="s">
        <v>297</v>
      </c>
      <c r="AT8" s="106">
        <v>5</v>
      </c>
      <c r="AU8" s="99">
        <f ca="1"/>
        <v>4000</v>
      </c>
      <c r="AW8">
        <v>5</v>
      </c>
      <c r="AX8" s="106">
        <v>1600</v>
      </c>
      <c r="AY8" s="34">
        <v>0</v>
      </c>
      <c r="AZ8" s="34">
        <v>0</v>
      </c>
      <c r="BA8" s="34">
        <v>0</v>
      </c>
      <c r="BB8" s="34">
        <v>0</v>
      </c>
      <c r="BC8" s="34">
        <v>0</v>
      </c>
      <c r="BD8" s="34">
        <v>0</v>
      </c>
      <c r="BE8" s="34">
        <v>0</v>
      </c>
      <c r="BF8" s="34">
        <v>0</v>
      </c>
      <c r="BG8" s="34">
        <v>0</v>
      </c>
      <c r="BH8" s="34">
        <v>0</v>
      </c>
      <c r="BI8" s="34">
        <v>0</v>
      </c>
      <c r="BJ8" s="34">
        <v>0</v>
      </c>
      <c r="BK8" s="34">
        <v>0</v>
      </c>
      <c r="BL8" s="34">
        <v>0</v>
      </c>
      <c r="BM8" s="34">
        <v>0</v>
      </c>
      <c r="BN8" s="34">
        <v>0</v>
      </c>
      <c r="BO8" s="34">
        <v>0</v>
      </c>
      <c r="BP8" s="99">
        <v>0</v>
      </c>
      <c r="BQ8">
        <v>0</v>
      </c>
    </row>
    <row r="9" spans="1:69">
      <c r="A9" s="106"/>
      <c r="B9" s="34"/>
      <c r="C9" s="34">
        <v>5</v>
      </c>
      <c r="D9" s="154">
        <v>0.7</v>
      </c>
      <c r="F9" s="106">
        <v>600</v>
      </c>
      <c r="G9" s="34">
        <v>650</v>
      </c>
      <c r="H9" s="34">
        <v>700</v>
      </c>
      <c r="I9" s="34">
        <v>710</v>
      </c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99"/>
      <c r="AD9" s="1190"/>
      <c r="AF9" s="106">
        <v>5</v>
      </c>
      <c r="AG9" s="34" t="s">
        <v>295</v>
      </c>
      <c r="AH9" s="99" t="s">
        <v>1939</v>
      </c>
      <c r="AI9" s="106">
        <v>5</v>
      </c>
      <c r="AJ9" s="99">
        <f ca="1"/>
        <v>1600</v>
      </c>
      <c r="AR9" s="106" t="s">
        <v>298</v>
      </c>
      <c r="AS9" s="99" t="s">
        <v>297</v>
      </c>
      <c r="AT9" s="106">
        <v>6</v>
      </c>
      <c r="AU9" s="99">
        <f ca="1"/>
        <v>4500</v>
      </c>
      <c r="AW9">
        <v>6</v>
      </c>
      <c r="AX9" s="106">
        <v>1700</v>
      </c>
      <c r="AY9" s="34">
        <v>0</v>
      </c>
      <c r="AZ9" s="34">
        <v>0</v>
      </c>
      <c r="BA9" s="34">
        <v>0</v>
      </c>
      <c r="BB9" s="34">
        <v>0</v>
      </c>
      <c r="BC9" s="34">
        <v>0</v>
      </c>
      <c r="BD9" s="34">
        <v>0</v>
      </c>
      <c r="BE9" s="34">
        <v>0</v>
      </c>
      <c r="BF9" s="34">
        <v>0</v>
      </c>
      <c r="BG9" s="34">
        <v>0</v>
      </c>
      <c r="BH9" s="34">
        <v>0</v>
      </c>
      <c r="BI9" s="34">
        <v>0</v>
      </c>
      <c r="BJ9" s="34">
        <v>0</v>
      </c>
      <c r="BK9" s="34">
        <v>0</v>
      </c>
      <c r="BL9" s="34">
        <v>0</v>
      </c>
      <c r="BM9" s="34">
        <v>0</v>
      </c>
      <c r="BN9" s="34">
        <v>0</v>
      </c>
      <c r="BO9" s="34">
        <v>0</v>
      </c>
      <c r="BP9" s="99">
        <v>0</v>
      </c>
      <c r="BQ9">
        <v>0</v>
      </c>
    </row>
    <row r="10" spans="1:69" ht="13.5" thickBot="1">
      <c r="A10" s="116">
        <v>2</v>
      </c>
      <c r="B10" s="1188">
        <v>59</v>
      </c>
      <c r="C10" s="117">
        <v>6</v>
      </c>
      <c r="D10" s="155">
        <v>0.75</v>
      </c>
      <c r="E10" s="117"/>
      <c r="F10" s="116">
        <v>600</v>
      </c>
      <c r="G10" s="117">
        <v>650</v>
      </c>
      <c r="H10" s="117">
        <v>700</v>
      </c>
      <c r="I10" s="117">
        <v>710</v>
      </c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99"/>
      <c r="AD10" s="1191" t="str">
        <f>AO2&amp;AD8</f>
        <v>O2</v>
      </c>
      <c r="AF10" s="116">
        <v>6</v>
      </c>
      <c r="AG10" s="117" t="s">
        <v>295</v>
      </c>
      <c r="AH10" s="105" t="s">
        <v>1939</v>
      </c>
      <c r="AI10" s="106">
        <v>6</v>
      </c>
      <c r="AJ10" s="99">
        <f ca="1"/>
        <v>1700</v>
      </c>
      <c r="AR10" s="106" t="s">
        <v>299</v>
      </c>
      <c r="AS10" s="99" t="s">
        <v>293</v>
      </c>
      <c r="AT10" s="106">
        <v>7</v>
      </c>
      <c r="AU10" s="99">
        <f ca="1"/>
        <v>5000</v>
      </c>
      <c r="AW10">
        <v>7</v>
      </c>
      <c r="AX10" s="106">
        <v>1800</v>
      </c>
      <c r="AY10" s="34">
        <v>0</v>
      </c>
      <c r="AZ10" s="34">
        <v>0</v>
      </c>
      <c r="BA10" s="34">
        <v>0</v>
      </c>
      <c r="BB10" s="34">
        <v>0</v>
      </c>
      <c r="BC10" s="34">
        <v>0</v>
      </c>
      <c r="BD10" s="34">
        <v>0</v>
      </c>
      <c r="BE10" s="34">
        <v>0</v>
      </c>
      <c r="BF10" s="34">
        <v>0</v>
      </c>
      <c r="BG10" s="34">
        <v>0</v>
      </c>
      <c r="BH10" s="34">
        <v>0</v>
      </c>
      <c r="BI10" s="34">
        <v>0</v>
      </c>
      <c r="BJ10" s="34">
        <v>0</v>
      </c>
      <c r="BK10" s="34">
        <v>0</v>
      </c>
      <c r="BL10" s="34">
        <v>0</v>
      </c>
      <c r="BM10" s="34">
        <v>0</v>
      </c>
      <c r="BN10" s="34">
        <v>0</v>
      </c>
      <c r="BO10" s="34">
        <v>0</v>
      </c>
      <c r="BP10" s="99">
        <v>0</v>
      </c>
      <c r="BQ10">
        <v>0</v>
      </c>
    </row>
    <row r="11" spans="1:69">
      <c r="A11" s="106"/>
      <c r="B11" s="34"/>
      <c r="C11" s="34">
        <v>7</v>
      </c>
      <c r="D11" s="154">
        <v>0.8</v>
      </c>
      <c r="F11" s="106">
        <v>600</v>
      </c>
      <c r="G11" s="34">
        <v>650</v>
      </c>
      <c r="H11" s="34">
        <v>700</v>
      </c>
      <c r="I11" s="34">
        <v>710</v>
      </c>
      <c r="J11" s="34">
        <v>750</v>
      </c>
      <c r="K11" s="34">
        <v>800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99"/>
      <c r="AF11" s="106">
        <v>7</v>
      </c>
      <c r="AG11" s="34" t="s">
        <v>300</v>
      </c>
      <c r="AH11" s="99" t="s">
        <v>301</v>
      </c>
      <c r="AI11" s="106">
        <v>7</v>
      </c>
      <c r="AJ11" s="99">
        <f ca="1"/>
        <v>1800</v>
      </c>
      <c r="AR11" s="116" t="s">
        <v>302</v>
      </c>
      <c r="AS11" s="105" t="s">
        <v>293</v>
      </c>
      <c r="AT11" s="106">
        <v>8</v>
      </c>
      <c r="AU11" s="99">
        <f ca="1"/>
        <v>5500</v>
      </c>
      <c r="AW11">
        <v>8</v>
      </c>
      <c r="AX11" s="106">
        <v>1900</v>
      </c>
      <c r="AY11" s="34">
        <v>0</v>
      </c>
      <c r="AZ11" s="34">
        <v>0</v>
      </c>
      <c r="BA11" s="34">
        <v>0</v>
      </c>
      <c r="BB11" s="34">
        <v>0</v>
      </c>
      <c r="BC11" s="34">
        <v>0</v>
      </c>
      <c r="BD11" s="34">
        <v>0</v>
      </c>
      <c r="BE11" s="34">
        <v>0</v>
      </c>
      <c r="BF11" s="34">
        <v>0</v>
      </c>
      <c r="BG11" s="34">
        <v>0</v>
      </c>
      <c r="BH11" s="34">
        <v>0</v>
      </c>
      <c r="BI11" s="34">
        <v>0</v>
      </c>
      <c r="BJ11" s="34">
        <v>0</v>
      </c>
      <c r="BK11" s="34">
        <v>0</v>
      </c>
      <c r="BL11" s="34">
        <v>0</v>
      </c>
      <c r="BM11" s="34">
        <v>0</v>
      </c>
      <c r="BN11" s="34">
        <v>0</v>
      </c>
      <c r="BO11" s="34">
        <v>0</v>
      </c>
      <c r="BP11" s="99">
        <v>0</v>
      </c>
      <c r="BQ11">
        <v>0</v>
      </c>
    </row>
    <row r="12" spans="1:69">
      <c r="A12" s="116">
        <v>3</v>
      </c>
      <c r="B12" s="117"/>
      <c r="C12" s="117">
        <v>8</v>
      </c>
      <c r="D12" s="155">
        <v>0.9</v>
      </c>
      <c r="E12" s="117"/>
      <c r="F12" s="116">
        <v>600</v>
      </c>
      <c r="G12" s="117">
        <v>650</v>
      </c>
      <c r="H12" s="117">
        <v>700</v>
      </c>
      <c r="I12" s="117">
        <v>710</v>
      </c>
      <c r="J12" s="117">
        <v>750</v>
      </c>
      <c r="K12" s="117">
        <v>800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99"/>
      <c r="AF12" s="116">
        <v>8</v>
      </c>
      <c r="AG12" s="117" t="s">
        <v>300</v>
      </c>
      <c r="AH12" s="105" t="s">
        <v>301</v>
      </c>
      <c r="AI12" s="106">
        <v>8</v>
      </c>
      <c r="AJ12" s="99">
        <f ca="1"/>
        <v>1900</v>
      </c>
      <c r="AR12" s="106" t="s">
        <v>303</v>
      </c>
      <c r="AS12" s="99" t="s">
        <v>297</v>
      </c>
      <c r="AT12" s="106">
        <v>9</v>
      </c>
      <c r="AU12" s="99">
        <f ca="1"/>
        <v>6000</v>
      </c>
      <c r="AW12">
        <v>9</v>
      </c>
      <c r="AX12" s="106">
        <v>2000</v>
      </c>
      <c r="AY12" s="34">
        <v>0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>
        <v>0</v>
      </c>
      <c r="BO12" s="34">
        <v>0</v>
      </c>
      <c r="BP12" s="99">
        <v>0</v>
      </c>
      <c r="BQ12">
        <v>0</v>
      </c>
    </row>
    <row r="13" spans="1:69">
      <c r="A13" s="116">
        <v>4</v>
      </c>
      <c r="B13" s="117"/>
      <c r="C13" s="117">
        <v>9</v>
      </c>
      <c r="D13" s="155">
        <v>1</v>
      </c>
      <c r="E13" s="117"/>
      <c r="F13" s="116">
        <v>600</v>
      </c>
      <c r="G13" s="117">
        <v>650</v>
      </c>
      <c r="H13" s="117">
        <v>700</v>
      </c>
      <c r="I13" s="117">
        <v>710</v>
      </c>
      <c r="J13" s="117">
        <v>750</v>
      </c>
      <c r="K13" s="117">
        <v>800</v>
      </c>
      <c r="L13" s="117">
        <v>850</v>
      </c>
      <c r="M13" s="117">
        <v>900</v>
      </c>
      <c r="N13" s="117">
        <v>950</v>
      </c>
      <c r="O13" s="117">
        <v>1000</v>
      </c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99"/>
      <c r="AF13" s="116">
        <v>9</v>
      </c>
      <c r="AG13" s="117" t="s">
        <v>304</v>
      </c>
      <c r="AH13" s="105" t="s">
        <v>305</v>
      </c>
      <c r="AI13" s="106">
        <v>9</v>
      </c>
      <c r="AJ13" s="99">
        <f ca="1"/>
        <v>2000</v>
      </c>
      <c r="AO13" s="146"/>
      <c r="AR13" s="106" t="s">
        <v>306</v>
      </c>
      <c r="AS13" s="99" t="s">
        <v>297</v>
      </c>
      <c r="AT13" s="106">
        <v>10</v>
      </c>
      <c r="AU13" s="99">
        <f ca="1"/>
        <v>6500</v>
      </c>
      <c r="AW13">
        <v>10</v>
      </c>
      <c r="AX13" s="106">
        <v>2000</v>
      </c>
      <c r="AY13" s="34">
        <v>2200</v>
      </c>
      <c r="AZ13" s="34">
        <v>2500</v>
      </c>
      <c r="BA13" s="34">
        <v>2800</v>
      </c>
      <c r="BB13" s="34">
        <v>3000</v>
      </c>
      <c r="BC13" s="34">
        <v>3500</v>
      </c>
      <c r="BD13" s="34">
        <v>4000</v>
      </c>
      <c r="BE13" s="34">
        <v>4500</v>
      </c>
      <c r="BF13" s="34">
        <v>5000</v>
      </c>
      <c r="BG13" s="34">
        <v>5500</v>
      </c>
      <c r="BH13" s="34">
        <v>6000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>
        <v>0</v>
      </c>
      <c r="BO13" s="34">
        <v>0</v>
      </c>
      <c r="BP13" s="99">
        <v>0</v>
      </c>
      <c r="BQ13">
        <v>0</v>
      </c>
    </row>
    <row r="14" spans="1:69">
      <c r="A14" s="106"/>
      <c r="B14" s="34"/>
      <c r="C14" s="34">
        <v>10</v>
      </c>
      <c r="D14" s="154">
        <v>1.2</v>
      </c>
      <c r="F14" s="106">
        <v>600</v>
      </c>
      <c r="G14" s="34">
        <v>650</v>
      </c>
      <c r="H14" s="34">
        <v>700</v>
      </c>
      <c r="I14" s="34">
        <v>710</v>
      </c>
      <c r="J14" s="34">
        <v>750</v>
      </c>
      <c r="K14" s="34">
        <v>800</v>
      </c>
      <c r="L14" s="34">
        <v>850</v>
      </c>
      <c r="M14" s="34">
        <v>900</v>
      </c>
      <c r="N14" s="34">
        <v>950</v>
      </c>
      <c r="O14" s="34">
        <v>1000</v>
      </c>
      <c r="P14" s="34">
        <v>1100</v>
      </c>
      <c r="Q14" s="34">
        <v>1250</v>
      </c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99"/>
      <c r="AF14" s="106">
        <v>10</v>
      </c>
      <c r="AG14" s="34" t="s">
        <v>307</v>
      </c>
      <c r="AH14" s="99" t="s">
        <v>308</v>
      </c>
      <c r="AI14" s="106">
        <v>10</v>
      </c>
      <c r="AJ14" s="99">
        <f ca="1"/>
        <v>2100</v>
      </c>
      <c r="AO14" s="146"/>
      <c r="AR14" s="106" t="s">
        <v>309</v>
      </c>
      <c r="AS14" s="99" t="s">
        <v>293</v>
      </c>
      <c r="AT14" s="106">
        <v>11</v>
      </c>
      <c r="AU14" s="99">
        <f ca="1"/>
        <v>7000</v>
      </c>
      <c r="AW14">
        <v>11</v>
      </c>
      <c r="AX14" s="116">
        <v>2000</v>
      </c>
      <c r="AY14" s="117">
        <v>2200</v>
      </c>
      <c r="AZ14" s="117">
        <v>2500</v>
      </c>
      <c r="BA14" s="117">
        <v>2800</v>
      </c>
      <c r="BB14" s="117">
        <v>3000</v>
      </c>
      <c r="BC14" s="117">
        <v>3500</v>
      </c>
      <c r="BD14" s="117">
        <v>4000</v>
      </c>
      <c r="BE14" s="117">
        <v>4500</v>
      </c>
      <c r="BF14" s="117">
        <v>5000</v>
      </c>
      <c r="BG14" s="117">
        <v>5500</v>
      </c>
      <c r="BH14" s="117">
        <v>6000</v>
      </c>
      <c r="BI14" s="117">
        <v>6500</v>
      </c>
      <c r="BJ14" s="117">
        <v>7000</v>
      </c>
      <c r="BK14" s="117">
        <v>7500</v>
      </c>
      <c r="BL14" s="117">
        <v>8000</v>
      </c>
      <c r="BM14" s="117">
        <v>9000</v>
      </c>
      <c r="BN14" s="117">
        <v>10000</v>
      </c>
      <c r="BO14" s="117">
        <v>11000</v>
      </c>
      <c r="BP14" s="105">
        <v>12000</v>
      </c>
      <c r="BQ14">
        <v>0</v>
      </c>
    </row>
    <row r="15" spans="1:69">
      <c r="A15" s="106"/>
      <c r="B15" s="34"/>
      <c r="C15" s="34">
        <v>11</v>
      </c>
      <c r="D15" s="154">
        <v>1.3</v>
      </c>
      <c r="F15" s="106">
        <v>600</v>
      </c>
      <c r="G15" s="34">
        <v>650</v>
      </c>
      <c r="H15" s="34">
        <v>700</v>
      </c>
      <c r="I15" s="34">
        <v>710</v>
      </c>
      <c r="J15" s="34">
        <v>750</v>
      </c>
      <c r="K15" s="34">
        <v>800</v>
      </c>
      <c r="L15" s="34">
        <v>850</v>
      </c>
      <c r="M15" s="34">
        <v>900</v>
      </c>
      <c r="N15" s="34">
        <v>950</v>
      </c>
      <c r="O15" s="34">
        <v>1000</v>
      </c>
      <c r="P15" s="34">
        <v>1100</v>
      </c>
      <c r="Q15" s="34">
        <v>1250</v>
      </c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99"/>
      <c r="AF15" s="106">
        <v>11</v>
      </c>
      <c r="AG15" s="34" t="s">
        <v>307</v>
      </c>
      <c r="AH15" s="99" t="s">
        <v>308</v>
      </c>
      <c r="AI15" s="106">
        <v>11</v>
      </c>
      <c r="AJ15" s="99">
        <f ca="1"/>
        <v>2200</v>
      </c>
      <c r="AO15" s="146"/>
      <c r="AR15" s="106" t="s">
        <v>310</v>
      </c>
      <c r="AS15" s="99" t="s">
        <v>293</v>
      </c>
      <c r="AT15" s="106">
        <v>12</v>
      </c>
      <c r="AU15" s="99">
        <f ca="1"/>
        <v>7500</v>
      </c>
      <c r="AW15">
        <v>12</v>
      </c>
      <c r="AX15" s="106">
        <v>2500</v>
      </c>
      <c r="AY15" s="34">
        <v>2800</v>
      </c>
      <c r="AZ15" s="34">
        <v>3000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99">
        <v>0</v>
      </c>
      <c r="BQ15">
        <v>0</v>
      </c>
    </row>
    <row r="16" spans="1:69">
      <c r="A16" s="116">
        <v>5</v>
      </c>
      <c r="B16" s="117"/>
      <c r="C16" s="117">
        <v>12</v>
      </c>
      <c r="D16" s="155">
        <v>1.4</v>
      </c>
      <c r="E16" s="117"/>
      <c r="F16" s="116">
        <v>600</v>
      </c>
      <c r="G16" s="117">
        <v>650</v>
      </c>
      <c r="H16" s="117">
        <v>700</v>
      </c>
      <c r="I16" s="117">
        <v>710</v>
      </c>
      <c r="J16" s="117">
        <v>750</v>
      </c>
      <c r="K16" s="117">
        <v>800</v>
      </c>
      <c r="L16" s="117">
        <v>850</v>
      </c>
      <c r="M16" s="117">
        <v>900</v>
      </c>
      <c r="N16" s="117">
        <v>950</v>
      </c>
      <c r="O16" s="117">
        <v>1000</v>
      </c>
      <c r="P16" s="117">
        <v>1100</v>
      </c>
      <c r="Q16" s="117">
        <v>1250</v>
      </c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99"/>
      <c r="AF16" s="116">
        <v>12</v>
      </c>
      <c r="AG16" s="117" t="s">
        <v>307</v>
      </c>
      <c r="AH16" s="105" t="s">
        <v>308</v>
      </c>
      <c r="AI16" s="106">
        <v>12</v>
      </c>
      <c r="AJ16" s="99">
        <f ca="1"/>
        <v>2300</v>
      </c>
      <c r="AO16" s="146"/>
      <c r="AR16" s="106" t="s">
        <v>311</v>
      </c>
      <c r="AS16" s="99" t="s">
        <v>312</v>
      </c>
      <c r="AT16" s="106">
        <v>13</v>
      </c>
      <c r="AU16" s="99">
        <f ca="1"/>
        <v>8000</v>
      </c>
      <c r="AW16">
        <v>13</v>
      </c>
      <c r="AX16" s="106">
        <v>2500</v>
      </c>
      <c r="AY16" s="34">
        <v>2800</v>
      </c>
      <c r="AZ16" s="34">
        <v>3000</v>
      </c>
      <c r="BA16" s="34">
        <v>3500</v>
      </c>
      <c r="BB16" s="34">
        <v>4000</v>
      </c>
      <c r="BC16" s="34">
        <v>4500</v>
      </c>
      <c r="BD16" s="34">
        <v>5000</v>
      </c>
      <c r="BE16" s="34">
        <v>5500</v>
      </c>
      <c r="BF16" s="34">
        <v>6000</v>
      </c>
      <c r="BG16" s="34">
        <v>6500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>
        <v>0</v>
      </c>
      <c r="BO16" s="34">
        <v>0</v>
      </c>
      <c r="BP16" s="99">
        <v>0</v>
      </c>
      <c r="BQ16">
        <v>0</v>
      </c>
    </row>
    <row r="17" spans="1:69">
      <c r="A17" s="106"/>
      <c r="B17" s="34"/>
      <c r="C17" s="34">
        <v>13</v>
      </c>
      <c r="D17" s="154">
        <v>1.5</v>
      </c>
      <c r="F17" s="106">
        <v>600</v>
      </c>
      <c r="G17" s="34">
        <v>650</v>
      </c>
      <c r="H17" s="34">
        <v>700</v>
      </c>
      <c r="I17" s="34">
        <v>710</v>
      </c>
      <c r="J17" s="34">
        <v>750</v>
      </c>
      <c r="K17" s="34">
        <v>800</v>
      </c>
      <c r="L17" s="34">
        <v>850</v>
      </c>
      <c r="M17" s="34">
        <v>900</v>
      </c>
      <c r="N17" s="34">
        <v>950</v>
      </c>
      <c r="O17" s="34">
        <v>1000</v>
      </c>
      <c r="P17" s="34">
        <v>1100</v>
      </c>
      <c r="Q17" s="34">
        <v>1250</v>
      </c>
      <c r="R17" s="34">
        <v>1400</v>
      </c>
      <c r="S17" s="34">
        <v>1420</v>
      </c>
      <c r="T17" s="34">
        <v>1500</v>
      </c>
      <c r="U17" s="34"/>
      <c r="V17" s="34"/>
      <c r="W17" s="34"/>
      <c r="X17" s="34"/>
      <c r="Y17" s="34"/>
      <c r="Z17" s="34"/>
      <c r="AA17" s="34"/>
      <c r="AB17" s="99"/>
      <c r="AF17" s="106">
        <v>13</v>
      </c>
      <c r="AG17" s="34" t="s">
        <v>313</v>
      </c>
      <c r="AH17" s="99" t="s">
        <v>1531</v>
      </c>
      <c r="AI17" s="106">
        <v>13</v>
      </c>
      <c r="AJ17" s="99">
        <f ca="1"/>
        <v>2400</v>
      </c>
      <c r="AO17" s="146"/>
      <c r="AR17" s="116" t="s">
        <v>314</v>
      </c>
      <c r="AS17" s="105" t="s">
        <v>312</v>
      </c>
      <c r="AT17" s="106">
        <v>14</v>
      </c>
      <c r="AU17" s="99">
        <f ca="1"/>
        <v>9000</v>
      </c>
      <c r="AW17">
        <v>14</v>
      </c>
      <c r="AX17" s="106">
        <v>2500</v>
      </c>
      <c r="AY17" s="34">
        <v>2800</v>
      </c>
      <c r="AZ17" s="34">
        <v>3000</v>
      </c>
      <c r="BA17" s="34">
        <v>3500</v>
      </c>
      <c r="BB17" s="34">
        <v>4000</v>
      </c>
      <c r="BC17" s="34">
        <v>4500</v>
      </c>
      <c r="BD17" s="34">
        <v>5000</v>
      </c>
      <c r="BE17" s="34">
        <v>5500</v>
      </c>
      <c r="BF17" s="34">
        <v>6000</v>
      </c>
      <c r="BG17" s="34">
        <v>6500</v>
      </c>
      <c r="BH17" s="34">
        <v>7000</v>
      </c>
      <c r="BI17" s="34">
        <v>7500</v>
      </c>
      <c r="BJ17" s="34">
        <v>8000</v>
      </c>
      <c r="BK17" s="34">
        <v>9000</v>
      </c>
      <c r="BL17" s="34">
        <v>0</v>
      </c>
      <c r="BM17" s="34">
        <v>0</v>
      </c>
      <c r="BN17" s="34">
        <v>0</v>
      </c>
      <c r="BO17" s="34">
        <v>0</v>
      </c>
      <c r="BP17" s="99">
        <v>0</v>
      </c>
      <c r="BQ17">
        <v>0</v>
      </c>
    </row>
    <row r="18" spans="1:69">
      <c r="A18" s="106"/>
      <c r="B18" s="34"/>
      <c r="C18" s="34">
        <v>14</v>
      </c>
      <c r="D18" s="154">
        <v>1.6</v>
      </c>
      <c r="F18" s="106">
        <v>600</v>
      </c>
      <c r="G18" s="34">
        <v>650</v>
      </c>
      <c r="H18" s="34">
        <v>700</v>
      </c>
      <c r="I18" s="34">
        <v>710</v>
      </c>
      <c r="J18" s="34">
        <v>750</v>
      </c>
      <c r="K18" s="34">
        <v>800</v>
      </c>
      <c r="L18" s="34">
        <v>850</v>
      </c>
      <c r="M18" s="34">
        <v>900</v>
      </c>
      <c r="N18" s="34">
        <v>950</v>
      </c>
      <c r="O18" s="34">
        <v>1000</v>
      </c>
      <c r="P18" s="34">
        <v>1100</v>
      </c>
      <c r="Q18" s="34">
        <v>1250</v>
      </c>
      <c r="R18" s="34">
        <v>1400</v>
      </c>
      <c r="S18" s="34">
        <v>1420</v>
      </c>
      <c r="T18" s="34">
        <v>1500</v>
      </c>
      <c r="U18" s="34"/>
      <c r="V18" s="34"/>
      <c r="W18" s="34"/>
      <c r="X18" s="34"/>
      <c r="Y18" s="34"/>
      <c r="Z18" s="34"/>
      <c r="AA18" s="34"/>
      <c r="AB18" s="99"/>
      <c r="AF18" s="106">
        <v>14</v>
      </c>
      <c r="AG18" s="34" t="s">
        <v>313</v>
      </c>
      <c r="AH18" s="99" t="s">
        <v>1531</v>
      </c>
      <c r="AI18" s="106">
        <v>14</v>
      </c>
      <c r="AJ18" s="99">
        <f ca="1"/>
        <v>2500</v>
      </c>
      <c r="AO18" s="146"/>
      <c r="AR18" s="106" t="s">
        <v>315</v>
      </c>
      <c r="AS18" s="99" t="s">
        <v>297</v>
      </c>
      <c r="AT18" s="106">
        <v>15</v>
      </c>
      <c r="AU18" s="99">
        <f ca="1"/>
        <v>0</v>
      </c>
      <c r="AW18">
        <v>15</v>
      </c>
      <c r="AX18" s="116">
        <v>2500</v>
      </c>
      <c r="AY18" s="117">
        <v>2800</v>
      </c>
      <c r="AZ18" s="117">
        <v>3000</v>
      </c>
      <c r="BA18" s="117">
        <v>3500</v>
      </c>
      <c r="BB18" s="117">
        <v>4000</v>
      </c>
      <c r="BC18" s="117">
        <v>4500</v>
      </c>
      <c r="BD18" s="117">
        <v>5000</v>
      </c>
      <c r="BE18" s="117">
        <v>5500</v>
      </c>
      <c r="BF18" s="117">
        <v>6000</v>
      </c>
      <c r="BG18" s="117">
        <v>6500</v>
      </c>
      <c r="BH18" s="117">
        <v>7000</v>
      </c>
      <c r="BI18" s="117">
        <v>7500</v>
      </c>
      <c r="BJ18" s="117">
        <v>8000</v>
      </c>
      <c r="BK18" s="117">
        <v>9000</v>
      </c>
      <c r="BL18" s="117">
        <v>10000</v>
      </c>
      <c r="BM18" s="117">
        <v>11000</v>
      </c>
      <c r="BN18" s="117">
        <v>12000</v>
      </c>
      <c r="BO18" s="117">
        <v>0</v>
      </c>
      <c r="BP18" s="105">
        <v>0</v>
      </c>
      <c r="BQ18">
        <v>0</v>
      </c>
    </row>
    <row r="19" spans="1:69">
      <c r="A19" s="116">
        <v>6</v>
      </c>
      <c r="B19" s="117"/>
      <c r="C19" s="117">
        <v>15</v>
      </c>
      <c r="D19" s="155">
        <v>1.8</v>
      </c>
      <c r="E19" s="117"/>
      <c r="F19" s="116">
        <v>600</v>
      </c>
      <c r="G19" s="117">
        <v>650</v>
      </c>
      <c r="H19" s="117">
        <v>700</v>
      </c>
      <c r="I19" s="117">
        <v>710</v>
      </c>
      <c r="J19" s="117">
        <v>750</v>
      </c>
      <c r="K19" s="117">
        <v>800</v>
      </c>
      <c r="L19" s="117">
        <v>850</v>
      </c>
      <c r="M19" s="117">
        <v>900</v>
      </c>
      <c r="N19" s="117">
        <v>950</v>
      </c>
      <c r="O19" s="117">
        <v>1000</v>
      </c>
      <c r="P19" s="117">
        <v>1100</v>
      </c>
      <c r="Q19" s="117">
        <v>1250</v>
      </c>
      <c r="R19" s="117">
        <v>1400</v>
      </c>
      <c r="S19" s="117">
        <v>1420</v>
      </c>
      <c r="T19" s="117">
        <v>1500</v>
      </c>
      <c r="U19" s="34"/>
      <c r="V19" s="34"/>
      <c r="W19" s="34"/>
      <c r="X19" s="34"/>
      <c r="Y19" s="34"/>
      <c r="Z19" s="34"/>
      <c r="AA19" s="34"/>
      <c r="AB19" s="99"/>
      <c r="AF19" s="116">
        <v>15</v>
      </c>
      <c r="AG19" s="117" t="s">
        <v>313</v>
      </c>
      <c r="AH19" s="105" t="s">
        <v>1531</v>
      </c>
      <c r="AI19" s="106">
        <v>15</v>
      </c>
      <c r="AJ19" s="99">
        <f ca="1"/>
        <v>2600</v>
      </c>
      <c r="AO19" s="146"/>
      <c r="AR19" s="106" t="s">
        <v>316</v>
      </c>
      <c r="AS19" s="99" t="s">
        <v>297</v>
      </c>
      <c r="AT19" s="106">
        <v>16</v>
      </c>
      <c r="AU19" s="99">
        <f ca="1"/>
        <v>0</v>
      </c>
      <c r="AW19">
        <v>16</v>
      </c>
      <c r="AX19" s="106">
        <v>3000</v>
      </c>
      <c r="AY19" s="34">
        <v>3500</v>
      </c>
      <c r="AZ19" s="34">
        <v>4000</v>
      </c>
      <c r="BA19" s="34">
        <v>4500</v>
      </c>
      <c r="BB19" s="34">
        <v>5000</v>
      </c>
      <c r="BC19" s="34">
        <v>5500</v>
      </c>
      <c r="BD19" s="34">
        <v>6000</v>
      </c>
      <c r="BE19" s="34">
        <v>6500</v>
      </c>
      <c r="BF19" s="34">
        <v>7000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0</v>
      </c>
      <c r="BN19" s="34">
        <v>0</v>
      </c>
      <c r="BO19" s="34">
        <v>0</v>
      </c>
      <c r="BP19" s="99">
        <v>0</v>
      </c>
      <c r="BQ19">
        <v>0</v>
      </c>
    </row>
    <row r="20" spans="1:69">
      <c r="A20" s="106"/>
      <c r="B20" s="34"/>
      <c r="C20" s="34">
        <v>16</v>
      </c>
      <c r="D20" s="154">
        <v>2</v>
      </c>
      <c r="F20" s="106">
        <v>600</v>
      </c>
      <c r="G20" s="34">
        <v>650</v>
      </c>
      <c r="H20" s="34">
        <v>700</v>
      </c>
      <c r="I20" s="34">
        <v>710</v>
      </c>
      <c r="J20" s="34">
        <v>750</v>
      </c>
      <c r="K20" s="34">
        <v>800</v>
      </c>
      <c r="L20" s="34">
        <v>850</v>
      </c>
      <c r="M20" s="34">
        <v>900</v>
      </c>
      <c r="N20" s="34">
        <v>950</v>
      </c>
      <c r="O20" s="34">
        <v>1000</v>
      </c>
      <c r="P20" s="34">
        <v>1100</v>
      </c>
      <c r="Q20" s="34">
        <v>1250</v>
      </c>
      <c r="R20" s="34">
        <v>1400</v>
      </c>
      <c r="S20" s="34">
        <v>1420</v>
      </c>
      <c r="T20" s="34">
        <v>1500</v>
      </c>
      <c r="U20" s="34"/>
      <c r="V20" s="34"/>
      <c r="W20" s="34"/>
      <c r="X20" s="34"/>
      <c r="Y20" s="34"/>
      <c r="Z20" s="34"/>
      <c r="AA20" s="34"/>
      <c r="AB20" s="99"/>
      <c r="AF20" s="106">
        <v>16</v>
      </c>
      <c r="AG20" s="34" t="s">
        <v>317</v>
      </c>
      <c r="AH20" s="99" t="s">
        <v>318</v>
      </c>
      <c r="AI20" s="106">
        <v>16</v>
      </c>
      <c r="AJ20" s="99">
        <f ca="1"/>
        <v>2700</v>
      </c>
      <c r="AR20" s="106" t="s">
        <v>319</v>
      </c>
      <c r="AS20" s="99" t="s">
        <v>293</v>
      </c>
      <c r="AT20" s="106">
        <v>17</v>
      </c>
      <c r="AU20" s="99">
        <f ca="1"/>
        <v>0</v>
      </c>
      <c r="AW20">
        <v>17</v>
      </c>
      <c r="AX20" s="106">
        <v>3000</v>
      </c>
      <c r="AY20" s="34">
        <v>3500</v>
      </c>
      <c r="AZ20" s="34">
        <v>4000</v>
      </c>
      <c r="BA20" s="34">
        <v>4500</v>
      </c>
      <c r="BB20" s="34">
        <v>5000</v>
      </c>
      <c r="BC20" s="34">
        <v>5500</v>
      </c>
      <c r="BD20" s="34">
        <v>6000</v>
      </c>
      <c r="BE20" s="34">
        <v>6500</v>
      </c>
      <c r="BF20" s="34">
        <v>7000</v>
      </c>
      <c r="BG20" s="34">
        <v>7500</v>
      </c>
      <c r="BH20" s="34">
        <v>8000</v>
      </c>
      <c r="BI20" s="34">
        <v>0</v>
      </c>
      <c r="BJ20" s="34">
        <v>0</v>
      </c>
      <c r="BK20" s="34">
        <v>0</v>
      </c>
      <c r="BL20" s="34">
        <v>0</v>
      </c>
      <c r="BM20" s="34">
        <v>0</v>
      </c>
      <c r="BN20" s="34">
        <v>0</v>
      </c>
      <c r="BO20" s="34">
        <v>0</v>
      </c>
      <c r="BP20" s="99">
        <v>0</v>
      </c>
      <c r="BQ20">
        <v>0</v>
      </c>
    </row>
    <row r="21" spans="1:69">
      <c r="A21" s="106"/>
      <c r="B21" s="34"/>
      <c r="C21" s="34">
        <v>17</v>
      </c>
      <c r="D21" s="154">
        <v>2.2000000000000002</v>
      </c>
      <c r="F21" s="106">
        <v>600</v>
      </c>
      <c r="G21" s="34">
        <v>650</v>
      </c>
      <c r="H21" s="34">
        <v>700</v>
      </c>
      <c r="I21" s="34">
        <v>710</v>
      </c>
      <c r="J21" s="34">
        <v>750</v>
      </c>
      <c r="K21" s="34">
        <v>800</v>
      </c>
      <c r="L21" s="34">
        <v>850</v>
      </c>
      <c r="M21" s="34">
        <v>900</v>
      </c>
      <c r="N21" s="34">
        <v>950</v>
      </c>
      <c r="O21" s="34">
        <v>1000</v>
      </c>
      <c r="P21" s="34">
        <v>1100</v>
      </c>
      <c r="Q21" s="34">
        <v>1250</v>
      </c>
      <c r="R21" s="34">
        <v>1400</v>
      </c>
      <c r="S21" s="34">
        <v>1420</v>
      </c>
      <c r="T21" s="34">
        <v>1500</v>
      </c>
      <c r="U21" s="34"/>
      <c r="V21" s="34"/>
      <c r="W21" s="34"/>
      <c r="X21" s="34"/>
      <c r="Y21" s="34"/>
      <c r="Z21" s="34"/>
      <c r="AA21" s="34"/>
      <c r="AB21" s="99"/>
      <c r="AF21" s="106">
        <v>17</v>
      </c>
      <c r="AG21" s="34" t="s">
        <v>317</v>
      </c>
      <c r="AH21" s="99" t="s">
        <v>318</v>
      </c>
      <c r="AI21" s="106">
        <v>17</v>
      </c>
      <c r="AJ21" s="99">
        <f ca="1"/>
        <v>2800</v>
      </c>
      <c r="AR21" s="106" t="s">
        <v>320</v>
      </c>
      <c r="AS21" s="99" t="s">
        <v>293</v>
      </c>
      <c r="AT21" s="106">
        <v>18</v>
      </c>
      <c r="AU21" s="99">
        <f ca="1"/>
        <v>0</v>
      </c>
      <c r="AW21">
        <v>18</v>
      </c>
      <c r="AX21" s="106">
        <v>3000</v>
      </c>
      <c r="AY21" s="34">
        <v>3500</v>
      </c>
      <c r="AZ21" s="34">
        <v>4000</v>
      </c>
      <c r="BA21" s="34">
        <v>4500</v>
      </c>
      <c r="BB21" s="34">
        <v>5000</v>
      </c>
      <c r="BC21" s="34">
        <v>5500</v>
      </c>
      <c r="BD21" s="34">
        <v>6000</v>
      </c>
      <c r="BE21" s="34">
        <v>6500</v>
      </c>
      <c r="BF21" s="34">
        <v>7000</v>
      </c>
      <c r="BG21" s="34">
        <v>7500</v>
      </c>
      <c r="BH21" s="34">
        <v>8000</v>
      </c>
      <c r="BI21" s="34">
        <v>9000</v>
      </c>
      <c r="BJ21" s="34">
        <v>0</v>
      </c>
      <c r="BK21" s="34">
        <v>0</v>
      </c>
      <c r="BL21" s="34">
        <v>0</v>
      </c>
      <c r="BM21" s="34">
        <v>0</v>
      </c>
      <c r="BN21" s="34">
        <v>0</v>
      </c>
      <c r="BO21" s="34">
        <v>0</v>
      </c>
      <c r="BP21" s="99">
        <v>0</v>
      </c>
      <c r="BQ21">
        <v>0</v>
      </c>
    </row>
    <row r="22" spans="1:69" ht="13.5" thickBot="1">
      <c r="A22" s="106"/>
      <c r="B22" s="34"/>
      <c r="C22" s="34">
        <v>18</v>
      </c>
      <c r="D22" s="154">
        <v>2.5</v>
      </c>
      <c r="F22" s="106">
        <v>600</v>
      </c>
      <c r="G22" s="34">
        <v>650</v>
      </c>
      <c r="H22" s="34">
        <v>700</v>
      </c>
      <c r="I22" s="34">
        <v>710</v>
      </c>
      <c r="J22" s="34">
        <v>750</v>
      </c>
      <c r="K22" s="34">
        <v>800</v>
      </c>
      <c r="L22" s="34">
        <v>850</v>
      </c>
      <c r="M22" s="34">
        <v>900</v>
      </c>
      <c r="N22" s="34">
        <v>950</v>
      </c>
      <c r="O22" s="34">
        <v>1000</v>
      </c>
      <c r="P22" s="34">
        <v>1100</v>
      </c>
      <c r="Q22" s="34">
        <v>1250</v>
      </c>
      <c r="R22" s="34">
        <v>1400</v>
      </c>
      <c r="S22" s="34">
        <v>1420</v>
      </c>
      <c r="T22" s="34">
        <v>1500</v>
      </c>
      <c r="U22" s="34"/>
      <c r="V22" s="34"/>
      <c r="W22" s="34"/>
      <c r="X22" s="34"/>
      <c r="Y22" s="34"/>
      <c r="Z22" s="34"/>
      <c r="AA22" s="34"/>
      <c r="AB22" s="99"/>
      <c r="AF22" s="106">
        <v>18</v>
      </c>
      <c r="AG22" s="34" t="s">
        <v>317</v>
      </c>
      <c r="AH22" s="99" t="s">
        <v>318</v>
      </c>
      <c r="AI22" s="106">
        <v>18</v>
      </c>
      <c r="AJ22" s="99">
        <f ca="1"/>
        <v>2900</v>
      </c>
      <c r="AR22" s="106" t="s">
        <v>321</v>
      </c>
      <c r="AS22" s="99" t="s">
        <v>312</v>
      </c>
      <c r="AT22" s="145">
        <v>19</v>
      </c>
      <c r="AU22" s="100">
        <f ca="1"/>
        <v>0</v>
      </c>
      <c r="AW22">
        <v>19</v>
      </c>
      <c r="AX22" s="106">
        <v>3000</v>
      </c>
      <c r="AY22" s="34">
        <v>3500</v>
      </c>
      <c r="AZ22" s="34">
        <v>4000</v>
      </c>
      <c r="BA22" s="34">
        <v>4500</v>
      </c>
      <c r="BB22" s="34">
        <v>5000</v>
      </c>
      <c r="BC22" s="34">
        <v>5500</v>
      </c>
      <c r="BD22" s="34">
        <v>6000</v>
      </c>
      <c r="BE22" s="34">
        <v>6500</v>
      </c>
      <c r="BF22" s="34">
        <v>7000</v>
      </c>
      <c r="BG22" s="34">
        <v>7500</v>
      </c>
      <c r="BH22" s="34">
        <v>8000</v>
      </c>
      <c r="BI22" s="34">
        <v>9000</v>
      </c>
      <c r="BJ22" s="34">
        <v>10000</v>
      </c>
      <c r="BK22" s="34">
        <v>0</v>
      </c>
      <c r="BL22" s="34">
        <v>0</v>
      </c>
      <c r="BM22" s="34">
        <v>0</v>
      </c>
      <c r="BN22" s="34">
        <v>0</v>
      </c>
      <c r="BO22" s="34">
        <v>0</v>
      </c>
      <c r="BP22" s="99">
        <v>0</v>
      </c>
      <c r="BQ22">
        <v>0</v>
      </c>
    </row>
    <row r="23" spans="1:69">
      <c r="A23" s="116">
        <v>7</v>
      </c>
      <c r="B23" s="117"/>
      <c r="C23" s="117">
        <v>19</v>
      </c>
      <c r="D23" s="155">
        <v>2.8</v>
      </c>
      <c r="E23" s="117"/>
      <c r="F23" s="116">
        <v>600</v>
      </c>
      <c r="G23" s="117">
        <v>650</v>
      </c>
      <c r="H23" s="117">
        <v>700</v>
      </c>
      <c r="I23" s="117">
        <v>710</v>
      </c>
      <c r="J23" s="117">
        <v>750</v>
      </c>
      <c r="K23" s="117">
        <v>800</v>
      </c>
      <c r="L23" s="117">
        <v>850</v>
      </c>
      <c r="M23" s="117">
        <v>900</v>
      </c>
      <c r="N23" s="117">
        <v>950</v>
      </c>
      <c r="O23" s="117">
        <v>1000</v>
      </c>
      <c r="P23" s="117">
        <v>1100</v>
      </c>
      <c r="Q23" s="117">
        <v>1250</v>
      </c>
      <c r="R23" s="117">
        <v>1400</v>
      </c>
      <c r="S23" s="117">
        <v>1420</v>
      </c>
      <c r="T23" s="117">
        <v>1500</v>
      </c>
      <c r="U23" s="34"/>
      <c r="V23" s="34"/>
      <c r="W23" s="34"/>
      <c r="X23" s="34"/>
      <c r="Y23" s="34"/>
      <c r="Z23" s="34"/>
      <c r="AA23" s="34"/>
      <c r="AB23" s="99"/>
      <c r="AF23" s="116">
        <v>19</v>
      </c>
      <c r="AG23" s="117" t="s">
        <v>317</v>
      </c>
      <c r="AH23" s="99" t="s">
        <v>318</v>
      </c>
      <c r="AI23" s="106">
        <v>19</v>
      </c>
      <c r="AJ23" s="99">
        <f ca="1"/>
        <v>3000</v>
      </c>
      <c r="AR23" s="106" t="s">
        <v>322</v>
      </c>
      <c r="AS23" s="99" t="s">
        <v>323</v>
      </c>
      <c r="AW23">
        <v>20</v>
      </c>
      <c r="AX23" s="106">
        <v>3000</v>
      </c>
      <c r="AY23" s="34">
        <v>3500</v>
      </c>
      <c r="AZ23" s="34">
        <v>4000</v>
      </c>
      <c r="BA23" s="34">
        <v>4500</v>
      </c>
      <c r="BB23" s="34">
        <v>5000</v>
      </c>
      <c r="BC23" s="34">
        <v>5500</v>
      </c>
      <c r="BD23" s="34">
        <v>6000</v>
      </c>
      <c r="BE23" s="34">
        <v>6500</v>
      </c>
      <c r="BF23" s="34">
        <v>7000</v>
      </c>
      <c r="BG23" s="34">
        <v>7500</v>
      </c>
      <c r="BH23" s="34">
        <v>8000</v>
      </c>
      <c r="BI23" s="34">
        <v>9000</v>
      </c>
      <c r="BJ23" s="34">
        <v>10000</v>
      </c>
      <c r="BK23" s="34">
        <v>11000</v>
      </c>
      <c r="BL23" s="34">
        <v>0</v>
      </c>
      <c r="BM23" s="34">
        <v>0</v>
      </c>
      <c r="BN23" s="34">
        <v>0</v>
      </c>
      <c r="BO23" s="34">
        <v>0</v>
      </c>
      <c r="BP23" s="99">
        <v>0</v>
      </c>
      <c r="BQ23">
        <v>0</v>
      </c>
    </row>
    <row r="24" spans="1:69">
      <c r="A24" s="106"/>
      <c r="B24" s="34"/>
      <c r="C24" s="34">
        <v>20</v>
      </c>
      <c r="D24" s="154">
        <v>3</v>
      </c>
      <c r="F24" s="106">
        <v>600</v>
      </c>
      <c r="G24" s="34">
        <v>650</v>
      </c>
      <c r="H24" s="34">
        <v>700</v>
      </c>
      <c r="I24" s="34">
        <v>710</v>
      </c>
      <c r="J24" s="34">
        <v>750</v>
      </c>
      <c r="K24" s="34">
        <v>800</v>
      </c>
      <c r="L24" s="34">
        <v>850</v>
      </c>
      <c r="M24" s="34">
        <v>900</v>
      </c>
      <c r="N24" s="34">
        <v>950</v>
      </c>
      <c r="O24" s="34">
        <v>1000</v>
      </c>
      <c r="P24" s="34">
        <v>1100</v>
      </c>
      <c r="Q24" s="34">
        <v>1250</v>
      </c>
      <c r="R24" s="34">
        <v>1400</v>
      </c>
      <c r="S24" s="34">
        <v>1420</v>
      </c>
      <c r="T24" s="34">
        <v>1500</v>
      </c>
      <c r="U24" s="34">
        <v>1600</v>
      </c>
      <c r="V24" s="34">
        <v>1700</v>
      </c>
      <c r="W24" s="34">
        <v>1800</v>
      </c>
      <c r="X24" s="34"/>
      <c r="Y24" s="34"/>
      <c r="Z24" s="34"/>
      <c r="AA24" s="34"/>
      <c r="AB24" s="99"/>
      <c r="AF24" s="106">
        <v>20</v>
      </c>
      <c r="AG24" s="34" t="s">
        <v>324</v>
      </c>
      <c r="AH24" s="99" t="s">
        <v>325</v>
      </c>
      <c r="AI24" s="106">
        <v>20</v>
      </c>
      <c r="AJ24" s="99">
        <f ca="1"/>
        <v>3200</v>
      </c>
      <c r="AR24" s="106" t="s">
        <v>326</v>
      </c>
      <c r="AS24" s="99" t="s">
        <v>327</v>
      </c>
      <c r="AW24">
        <v>21</v>
      </c>
      <c r="AX24" s="116">
        <v>3000</v>
      </c>
      <c r="AY24" s="117">
        <v>3500</v>
      </c>
      <c r="AZ24" s="117">
        <v>4000</v>
      </c>
      <c r="BA24" s="117">
        <v>4500</v>
      </c>
      <c r="BB24" s="117">
        <v>5000</v>
      </c>
      <c r="BC24" s="117">
        <v>5500</v>
      </c>
      <c r="BD24" s="117">
        <v>6000</v>
      </c>
      <c r="BE24" s="117">
        <v>6500</v>
      </c>
      <c r="BF24" s="117">
        <v>7000</v>
      </c>
      <c r="BG24" s="117">
        <v>7500</v>
      </c>
      <c r="BH24" s="117">
        <v>8000</v>
      </c>
      <c r="BI24" s="117">
        <v>9000</v>
      </c>
      <c r="BJ24" s="117">
        <v>10000</v>
      </c>
      <c r="BK24" s="117">
        <v>11000</v>
      </c>
      <c r="BL24" s="117">
        <v>12000</v>
      </c>
      <c r="BM24" s="117">
        <v>0</v>
      </c>
      <c r="BN24" s="117">
        <v>0</v>
      </c>
      <c r="BO24" s="117">
        <v>0</v>
      </c>
      <c r="BP24" s="105">
        <v>0</v>
      </c>
      <c r="BQ24">
        <v>0</v>
      </c>
    </row>
    <row r="25" spans="1:69">
      <c r="A25" s="106"/>
      <c r="B25" s="34"/>
      <c r="C25" s="34">
        <v>21</v>
      </c>
      <c r="D25" s="154">
        <v>3.2</v>
      </c>
      <c r="F25" s="106">
        <v>600</v>
      </c>
      <c r="G25" s="34">
        <v>650</v>
      </c>
      <c r="H25" s="34">
        <v>700</v>
      </c>
      <c r="I25" s="34">
        <v>710</v>
      </c>
      <c r="J25" s="34">
        <v>750</v>
      </c>
      <c r="K25" s="34">
        <v>800</v>
      </c>
      <c r="L25" s="34">
        <v>850</v>
      </c>
      <c r="M25" s="34">
        <v>900</v>
      </c>
      <c r="N25" s="34">
        <v>950</v>
      </c>
      <c r="O25" s="34">
        <v>1000</v>
      </c>
      <c r="P25" s="34">
        <v>1100</v>
      </c>
      <c r="Q25" s="34">
        <v>1250</v>
      </c>
      <c r="R25" s="34">
        <v>1400</v>
      </c>
      <c r="S25" s="34">
        <v>1420</v>
      </c>
      <c r="T25" s="34">
        <v>1500</v>
      </c>
      <c r="U25" s="34">
        <v>1600</v>
      </c>
      <c r="V25" s="34">
        <v>1700</v>
      </c>
      <c r="W25" s="34">
        <v>1800</v>
      </c>
      <c r="X25" s="34"/>
      <c r="Y25" s="34"/>
      <c r="Z25" s="34"/>
      <c r="AA25" s="34"/>
      <c r="AB25" s="99"/>
      <c r="AF25" s="106">
        <v>21</v>
      </c>
      <c r="AG25" s="34" t="s">
        <v>324</v>
      </c>
      <c r="AH25" s="99" t="s">
        <v>325</v>
      </c>
      <c r="AI25" s="106">
        <v>21</v>
      </c>
      <c r="AJ25" s="99">
        <f ca="1"/>
        <v>3400</v>
      </c>
      <c r="AR25" s="106" t="s">
        <v>328</v>
      </c>
      <c r="AS25" s="99" t="s">
        <v>329</v>
      </c>
      <c r="AW25">
        <v>22</v>
      </c>
      <c r="AX25" s="106">
        <v>3500</v>
      </c>
      <c r="AY25" s="34">
        <v>4000</v>
      </c>
      <c r="AZ25" s="34">
        <v>4500</v>
      </c>
      <c r="BA25" s="34">
        <v>5000</v>
      </c>
      <c r="BB25" s="34">
        <v>5500</v>
      </c>
      <c r="BC25" s="34">
        <v>6000</v>
      </c>
      <c r="BD25" s="34">
        <v>6500</v>
      </c>
      <c r="BE25" s="34">
        <v>7000</v>
      </c>
      <c r="BF25" s="34">
        <v>7500</v>
      </c>
      <c r="BG25" s="34">
        <v>8000</v>
      </c>
      <c r="BH25" s="34">
        <v>9000</v>
      </c>
      <c r="BI25" s="34">
        <v>0</v>
      </c>
      <c r="BJ25" s="34">
        <v>0</v>
      </c>
      <c r="BK25" s="34">
        <v>0</v>
      </c>
      <c r="BL25" s="34">
        <v>0</v>
      </c>
      <c r="BM25" s="34">
        <v>0</v>
      </c>
      <c r="BN25" s="34">
        <v>0</v>
      </c>
      <c r="BO25" s="34">
        <v>0</v>
      </c>
      <c r="BP25" s="99">
        <v>0</v>
      </c>
      <c r="BQ25">
        <v>0</v>
      </c>
    </row>
    <row r="26" spans="1:69">
      <c r="A26" s="106"/>
      <c r="B26" s="34"/>
      <c r="C26" s="34">
        <v>22</v>
      </c>
      <c r="D26" s="154">
        <v>3.5</v>
      </c>
      <c r="F26" s="106">
        <v>600</v>
      </c>
      <c r="G26" s="34">
        <v>650</v>
      </c>
      <c r="H26" s="34">
        <v>700</v>
      </c>
      <c r="I26" s="34">
        <v>710</v>
      </c>
      <c r="J26" s="34">
        <v>750</v>
      </c>
      <c r="K26" s="34">
        <v>800</v>
      </c>
      <c r="L26" s="34">
        <v>850</v>
      </c>
      <c r="M26" s="34">
        <v>900</v>
      </c>
      <c r="N26" s="34">
        <v>950</v>
      </c>
      <c r="O26" s="34">
        <v>1000</v>
      </c>
      <c r="P26" s="34">
        <v>1100</v>
      </c>
      <c r="Q26" s="34">
        <v>1250</v>
      </c>
      <c r="R26" s="34">
        <v>1400</v>
      </c>
      <c r="S26" s="34">
        <v>1420</v>
      </c>
      <c r="T26" s="34">
        <v>1500</v>
      </c>
      <c r="U26" s="34">
        <v>1600</v>
      </c>
      <c r="V26" s="34">
        <v>1700</v>
      </c>
      <c r="W26" s="34">
        <v>1800</v>
      </c>
      <c r="X26" s="34"/>
      <c r="Y26" s="34"/>
      <c r="Z26" s="34"/>
      <c r="AA26" s="34"/>
      <c r="AB26" s="99"/>
      <c r="AF26" s="106">
        <v>22</v>
      </c>
      <c r="AG26" s="34" t="s">
        <v>324</v>
      </c>
      <c r="AH26" s="99" t="s">
        <v>325</v>
      </c>
      <c r="AI26" s="106">
        <v>22</v>
      </c>
      <c r="AJ26" s="99">
        <f ca="1"/>
        <v>3600</v>
      </c>
      <c r="AR26" s="106" t="s">
        <v>330</v>
      </c>
      <c r="AS26" s="99" t="s">
        <v>331</v>
      </c>
      <c r="AW26">
        <v>23</v>
      </c>
      <c r="AX26" s="106">
        <v>3500</v>
      </c>
      <c r="AY26" s="34">
        <v>4000</v>
      </c>
      <c r="AZ26" s="34">
        <v>4500</v>
      </c>
      <c r="BA26" s="34">
        <v>5000</v>
      </c>
      <c r="BB26" s="34">
        <v>5500</v>
      </c>
      <c r="BC26" s="34">
        <v>6000</v>
      </c>
      <c r="BD26" s="34">
        <v>6500</v>
      </c>
      <c r="BE26" s="34">
        <v>7000</v>
      </c>
      <c r="BF26" s="34">
        <v>7500</v>
      </c>
      <c r="BG26" s="34">
        <v>8000</v>
      </c>
      <c r="BH26" s="34">
        <v>9000</v>
      </c>
      <c r="BI26" s="34">
        <v>10000</v>
      </c>
      <c r="BJ26" s="34">
        <v>0</v>
      </c>
      <c r="BK26" s="34">
        <v>0</v>
      </c>
      <c r="BL26" s="34">
        <v>0</v>
      </c>
      <c r="BM26" s="34">
        <v>0</v>
      </c>
      <c r="BN26" s="34">
        <v>0</v>
      </c>
      <c r="BO26" s="34">
        <v>0</v>
      </c>
      <c r="BP26" s="99">
        <v>0</v>
      </c>
      <c r="BQ26">
        <v>0</v>
      </c>
    </row>
    <row r="27" spans="1:69" ht="13.5" thickBot="1">
      <c r="A27" s="106"/>
      <c r="B27" s="34"/>
      <c r="C27" s="34">
        <v>23</v>
      </c>
      <c r="D27" s="154">
        <v>3.8</v>
      </c>
      <c r="F27" s="106">
        <v>600</v>
      </c>
      <c r="G27" s="34">
        <v>650</v>
      </c>
      <c r="H27" s="34">
        <v>700</v>
      </c>
      <c r="I27" s="34">
        <v>710</v>
      </c>
      <c r="J27" s="34">
        <v>750</v>
      </c>
      <c r="K27" s="34">
        <v>800</v>
      </c>
      <c r="L27" s="34">
        <v>850</v>
      </c>
      <c r="M27" s="34">
        <v>900</v>
      </c>
      <c r="N27" s="34">
        <v>950</v>
      </c>
      <c r="O27" s="34">
        <v>1000</v>
      </c>
      <c r="P27" s="34">
        <v>1100</v>
      </c>
      <c r="Q27" s="34">
        <v>1250</v>
      </c>
      <c r="R27" s="34">
        <v>1400</v>
      </c>
      <c r="S27" s="34">
        <v>1420</v>
      </c>
      <c r="T27" s="34">
        <v>1500</v>
      </c>
      <c r="U27" s="34">
        <v>1600</v>
      </c>
      <c r="V27" s="34">
        <v>1700</v>
      </c>
      <c r="W27" s="34">
        <v>1800</v>
      </c>
      <c r="X27" s="34"/>
      <c r="Y27" s="34"/>
      <c r="Z27" s="34"/>
      <c r="AA27" s="34"/>
      <c r="AB27" s="99"/>
      <c r="AF27" s="106">
        <v>23</v>
      </c>
      <c r="AG27" s="34" t="s">
        <v>324</v>
      </c>
      <c r="AH27" s="99" t="s">
        <v>325</v>
      </c>
      <c r="AI27" s="145">
        <v>23</v>
      </c>
      <c r="AJ27" s="100">
        <f ca="1"/>
        <v>3800</v>
      </c>
      <c r="AR27" s="116" t="s">
        <v>332</v>
      </c>
      <c r="AS27" s="105" t="s">
        <v>297</v>
      </c>
      <c r="AW27">
        <v>24</v>
      </c>
      <c r="AX27" s="106">
        <v>3500</v>
      </c>
      <c r="AY27" s="34">
        <v>4000</v>
      </c>
      <c r="AZ27" s="34">
        <v>4500</v>
      </c>
      <c r="BA27" s="34">
        <v>5000</v>
      </c>
      <c r="BB27" s="34">
        <v>5500</v>
      </c>
      <c r="BC27" s="34">
        <v>6000</v>
      </c>
      <c r="BD27" s="34">
        <v>6500</v>
      </c>
      <c r="BE27" s="34">
        <v>7000</v>
      </c>
      <c r="BF27" s="34">
        <v>7500</v>
      </c>
      <c r="BG27" s="34">
        <v>8000</v>
      </c>
      <c r="BH27" s="34">
        <v>9000</v>
      </c>
      <c r="BI27" s="34">
        <v>10000</v>
      </c>
      <c r="BJ27" s="34">
        <v>11000</v>
      </c>
      <c r="BK27" s="34">
        <v>0</v>
      </c>
      <c r="BL27" s="34">
        <v>0</v>
      </c>
      <c r="BM27" s="34">
        <v>0</v>
      </c>
      <c r="BN27" s="34">
        <v>0</v>
      </c>
      <c r="BO27" s="34">
        <v>0</v>
      </c>
      <c r="BP27" s="99">
        <v>0</v>
      </c>
      <c r="BQ27">
        <v>0</v>
      </c>
    </row>
    <row r="28" spans="1:69">
      <c r="A28" s="116">
        <v>8</v>
      </c>
      <c r="B28" s="117"/>
      <c r="C28" s="117">
        <v>24</v>
      </c>
      <c r="D28" s="155">
        <v>3.9</v>
      </c>
      <c r="E28" s="117"/>
      <c r="F28" s="116">
        <v>600</v>
      </c>
      <c r="G28" s="117">
        <v>650</v>
      </c>
      <c r="H28" s="117">
        <v>700</v>
      </c>
      <c r="I28" s="117">
        <v>710</v>
      </c>
      <c r="J28" s="117">
        <v>750</v>
      </c>
      <c r="K28" s="117">
        <v>800</v>
      </c>
      <c r="L28" s="117">
        <v>850</v>
      </c>
      <c r="M28" s="117">
        <v>900</v>
      </c>
      <c r="N28" s="117">
        <v>950</v>
      </c>
      <c r="O28" s="117">
        <v>1000</v>
      </c>
      <c r="P28" s="117">
        <v>1100</v>
      </c>
      <c r="Q28" s="117">
        <v>1250</v>
      </c>
      <c r="R28" s="117">
        <v>1400</v>
      </c>
      <c r="S28" s="117">
        <v>1420</v>
      </c>
      <c r="T28" s="117">
        <v>1500</v>
      </c>
      <c r="U28" s="117">
        <v>1600</v>
      </c>
      <c r="V28" s="117">
        <v>1700</v>
      </c>
      <c r="W28" s="117">
        <v>1800</v>
      </c>
      <c r="X28" s="34"/>
      <c r="Y28" s="34"/>
      <c r="Z28" s="34"/>
      <c r="AA28" s="34"/>
      <c r="AB28" s="99"/>
      <c r="AF28" s="116">
        <v>24</v>
      </c>
      <c r="AG28" s="117" t="s">
        <v>324</v>
      </c>
      <c r="AH28" s="99" t="s">
        <v>325</v>
      </c>
      <c r="AR28" s="106" t="s">
        <v>333</v>
      </c>
      <c r="AS28" s="99" t="s">
        <v>297</v>
      </c>
      <c r="AW28">
        <v>25</v>
      </c>
      <c r="AX28" s="116">
        <v>3500</v>
      </c>
      <c r="AY28" s="117">
        <v>4000</v>
      </c>
      <c r="AZ28" s="117">
        <v>4500</v>
      </c>
      <c r="BA28" s="117">
        <v>5000</v>
      </c>
      <c r="BB28" s="117">
        <v>5500</v>
      </c>
      <c r="BC28" s="117">
        <v>6000</v>
      </c>
      <c r="BD28" s="117">
        <v>6500</v>
      </c>
      <c r="BE28" s="117">
        <v>7000</v>
      </c>
      <c r="BF28" s="117">
        <v>7500</v>
      </c>
      <c r="BG28" s="117">
        <v>8000</v>
      </c>
      <c r="BH28" s="117">
        <v>9000</v>
      </c>
      <c r="BI28" s="117">
        <v>10000</v>
      </c>
      <c r="BJ28" s="117">
        <v>11000</v>
      </c>
      <c r="BK28" s="117">
        <v>12000</v>
      </c>
      <c r="BL28" s="117">
        <v>0</v>
      </c>
      <c r="BM28" s="117">
        <v>0</v>
      </c>
      <c r="BN28" s="117">
        <v>0</v>
      </c>
      <c r="BO28" s="117">
        <v>0</v>
      </c>
      <c r="BP28" s="105">
        <v>0</v>
      </c>
      <c r="BQ28">
        <v>0</v>
      </c>
    </row>
    <row r="29" spans="1:69">
      <c r="A29" s="106"/>
      <c r="B29" s="34"/>
      <c r="C29" s="34">
        <v>25</v>
      </c>
      <c r="D29" s="154">
        <v>4</v>
      </c>
      <c r="F29" s="106">
        <v>700</v>
      </c>
      <c r="G29" s="34">
        <v>710</v>
      </c>
      <c r="H29" s="34">
        <v>750</v>
      </c>
      <c r="I29" s="34">
        <v>800</v>
      </c>
      <c r="J29" s="34">
        <v>850</v>
      </c>
      <c r="K29" s="34">
        <v>900</v>
      </c>
      <c r="L29" s="34">
        <v>950</v>
      </c>
      <c r="M29" s="34">
        <v>1000</v>
      </c>
      <c r="N29" s="34">
        <v>1100</v>
      </c>
      <c r="O29" s="34">
        <v>1250</v>
      </c>
      <c r="P29" s="34">
        <v>1400</v>
      </c>
      <c r="Q29" s="34">
        <v>1420</v>
      </c>
      <c r="R29" s="34">
        <v>1500</v>
      </c>
      <c r="S29" s="34">
        <v>1600</v>
      </c>
      <c r="T29" s="34">
        <v>1700</v>
      </c>
      <c r="U29" s="34">
        <v>1800</v>
      </c>
      <c r="V29" s="34"/>
      <c r="W29" s="34"/>
      <c r="X29" s="34"/>
      <c r="Y29" s="34"/>
      <c r="Z29" s="34"/>
      <c r="AA29" s="34"/>
      <c r="AB29" s="99"/>
      <c r="AF29" s="106">
        <v>25</v>
      </c>
      <c r="AG29" s="34" t="s">
        <v>334</v>
      </c>
      <c r="AH29" s="99" t="s">
        <v>2004</v>
      </c>
      <c r="AR29" s="106" t="s">
        <v>335</v>
      </c>
      <c r="AS29" s="99" t="s">
        <v>297</v>
      </c>
      <c r="AW29">
        <v>26</v>
      </c>
      <c r="AX29" s="106">
        <v>4000</v>
      </c>
      <c r="AY29" s="34">
        <v>4500</v>
      </c>
      <c r="AZ29" s="34">
        <v>5000</v>
      </c>
      <c r="BA29" s="34">
        <v>5500</v>
      </c>
      <c r="BB29" s="34">
        <v>6000</v>
      </c>
      <c r="BC29" s="34">
        <v>6500</v>
      </c>
      <c r="BD29" s="34">
        <v>7000</v>
      </c>
      <c r="BE29" s="34">
        <v>7500</v>
      </c>
      <c r="BF29" s="34">
        <v>8000</v>
      </c>
      <c r="BG29" s="34">
        <v>9000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0</v>
      </c>
      <c r="BN29" s="34">
        <v>0</v>
      </c>
      <c r="BO29" s="34">
        <v>0</v>
      </c>
      <c r="BP29" s="99">
        <v>0</v>
      </c>
      <c r="BQ29">
        <v>0</v>
      </c>
    </row>
    <row r="30" spans="1:69">
      <c r="A30" s="106"/>
      <c r="B30" s="34"/>
      <c r="C30" s="34">
        <v>26</v>
      </c>
      <c r="D30" s="154">
        <v>4.5</v>
      </c>
      <c r="F30" s="106">
        <v>700</v>
      </c>
      <c r="G30" s="34">
        <v>710</v>
      </c>
      <c r="H30" s="34">
        <v>750</v>
      </c>
      <c r="I30" s="34">
        <v>800</v>
      </c>
      <c r="J30" s="34">
        <v>850</v>
      </c>
      <c r="K30" s="34">
        <v>900</v>
      </c>
      <c r="L30" s="34">
        <v>950</v>
      </c>
      <c r="M30" s="34">
        <v>1000</v>
      </c>
      <c r="N30" s="34">
        <v>1100</v>
      </c>
      <c r="O30" s="34">
        <v>1250</v>
      </c>
      <c r="P30" s="34">
        <v>1400</v>
      </c>
      <c r="Q30" s="34">
        <v>1420</v>
      </c>
      <c r="R30" s="34">
        <v>1500</v>
      </c>
      <c r="S30" s="34">
        <v>1600</v>
      </c>
      <c r="T30" s="34">
        <v>1700</v>
      </c>
      <c r="U30" s="34">
        <v>1800</v>
      </c>
      <c r="V30" s="34"/>
      <c r="W30" s="34"/>
      <c r="X30" s="34"/>
      <c r="Y30" s="34"/>
      <c r="Z30" s="34"/>
      <c r="AA30" s="34"/>
      <c r="AB30" s="99"/>
      <c r="AF30" s="106">
        <v>26</v>
      </c>
      <c r="AG30" s="34" t="s">
        <v>334</v>
      </c>
      <c r="AH30" s="99" t="s">
        <v>2004</v>
      </c>
      <c r="AR30" s="106" t="s">
        <v>336</v>
      </c>
      <c r="AS30" s="99" t="s">
        <v>297</v>
      </c>
      <c r="AW30">
        <v>27</v>
      </c>
      <c r="AX30" s="106">
        <v>4000</v>
      </c>
      <c r="AY30" s="34">
        <v>4500</v>
      </c>
      <c r="AZ30" s="34">
        <v>5000</v>
      </c>
      <c r="BA30" s="34">
        <v>5500</v>
      </c>
      <c r="BB30" s="34">
        <v>6000</v>
      </c>
      <c r="BC30" s="34">
        <v>6500</v>
      </c>
      <c r="BD30" s="34">
        <v>7000</v>
      </c>
      <c r="BE30" s="34">
        <v>7500</v>
      </c>
      <c r="BF30" s="34">
        <v>8000</v>
      </c>
      <c r="BG30" s="34">
        <v>9000</v>
      </c>
      <c r="BH30" s="34">
        <v>10000</v>
      </c>
      <c r="BI30" s="34">
        <v>0</v>
      </c>
      <c r="BJ30" s="34">
        <v>0</v>
      </c>
      <c r="BK30" s="34">
        <v>0</v>
      </c>
      <c r="BL30" s="34">
        <v>0</v>
      </c>
      <c r="BM30" s="34">
        <v>0</v>
      </c>
      <c r="BN30" s="34">
        <v>0</v>
      </c>
      <c r="BO30" s="34">
        <v>0</v>
      </c>
      <c r="BP30" s="99">
        <v>0</v>
      </c>
      <c r="BQ30">
        <v>0</v>
      </c>
    </row>
    <row r="31" spans="1:69">
      <c r="A31" s="116">
        <v>9</v>
      </c>
      <c r="B31" s="117"/>
      <c r="C31" s="117">
        <v>27</v>
      </c>
      <c r="D31" s="155">
        <v>5</v>
      </c>
      <c r="E31" s="117"/>
      <c r="F31" s="116">
        <v>700</v>
      </c>
      <c r="G31" s="117">
        <v>710</v>
      </c>
      <c r="H31" s="117">
        <v>750</v>
      </c>
      <c r="I31" s="117">
        <v>800</v>
      </c>
      <c r="J31" s="117">
        <v>850</v>
      </c>
      <c r="K31" s="117">
        <v>900</v>
      </c>
      <c r="L31" s="117">
        <v>950</v>
      </c>
      <c r="M31" s="117">
        <v>1000</v>
      </c>
      <c r="N31" s="117">
        <v>1100</v>
      </c>
      <c r="O31" s="117">
        <v>1250</v>
      </c>
      <c r="P31" s="117">
        <v>1400</v>
      </c>
      <c r="Q31" s="117">
        <v>1420</v>
      </c>
      <c r="R31" s="117">
        <v>1500</v>
      </c>
      <c r="S31" s="117">
        <v>1600</v>
      </c>
      <c r="T31" s="117">
        <v>1700</v>
      </c>
      <c r="U31" s="117">
        <v>1800</v>
      </c>
      <c r="V31" s="34"/>
      <c r="W31" s="34"/>
      <c r="X31" s="34"/>
      <c r="Y31" s="34"/>
      <c r="Z31" s="34"/>
      <c r="AA31" s="34"/>
      <c r="AB31" s="99"/>
      <c r="AF31" s="116">
        <v>27</v>
      </c>
      <c r="AG31" s="117" t="s">
        <v>334</v>
      </c>
      <c r="AH31" s="99" t="s">
        <v>2004</v>
      </c>
      <c r="AR31" s="106" t="s">
        <v>337</v>
      </c>
      <c r="AS31" s="99" t="s">
        <v>297</v>
      </c>
      <c r="AW31">
        <v>28</v>
      </c>
      <c r="AX31" s="106">
        <v>4000</v>
      </c>
      <c r="AY31" s="34">
        <v>4500</v>
      </c>
      <c r="AZ31" s="34">
        <v>5000</v>
      </c>
      <c r="BA31" s="34">
        <v>5500</v>
      </c>
      <c r="BB31" s="34">
        <v>6000</v>
      </c>
      <c r="BC31" s="34">
        <v>6500</v>
      </c>
      <c r="BD31" s="34">
        <v>7000</v>
      </c>
      <c r="BE31" s="34">
        <v>7500</v>
      </c>
      <c r="BF31" s="34">
        <v>8000</v>
      </c>
      <c r="BG31" s="34">
        <v>9000</v>
      </c>
      <c r="BH31" s="34">
        <v>10000</v>
      </c>
      <c r="BI31" s="34">
        <v>11000</v>
      </c>
      <c r="BJ31" s="34">
        <v>0</v>
      </c>
      <c r="BK31" s="34">
        <v>0</v>
      </c>
      <c r="BL31" s="34">
        <v>0</v>
      </c>
      <c r="BM31" s="34">
        <v>0</v>
      </c>
      <c r="BN31" s="34">
        <v>0</v>
      </c>
      <c r="BO31" s="34">
        <v>0</v>
      </c>
      <c r="BP31" s="99">
        <v>0</v>
      </c>
      <c r="BQ31">
        <v>0</v>
      </c>
    </row>
    <row r="32" spans="1:69">
      <c r="A32" s="106"/>
      <c r="B32" s="34"/>
      <c r="C32" s="34">
        <v>28</v>
      </c>
      <c r="D32" s="154">
        <v>6</v>
      </c>
      <c r="F32" s="106">
        <v>700</v>
      </c>
      <c r="G32" s="34">
        <v>710</v>
      </c>
      <c r="H32" s="34">
        <v>750</v>
      </c>
      <c r="I32" s="34">
        <v>800</v>
      </c>
      <c r="J32" s="34">
        <v>850</v>
      </c>
      <c r="K32" s="34">
        <v>900</v>
      </c>
      <c r="L32" s="34">
        <v>950</v>
      </c>
      <c r="M32" s="34">
        <v>1000</v>
      </c>
      <c r="N32" s="34">
        <v>1100</v>
      </c>
      <c r="O32" s="34">
        <v>1250</v>
      </c>
      <c r="P32" s="34">
        <v>1400</v>
      </c>
      <c r="Q32" s="34">
        <v>1420</v>
      </c>
      <c r="R32" s="34">
        <v>1500</v>
      </c>
      <c r="S32" s="34">
        <v>1600</v>
      </c>
      <c r="T32" s="34">
        <v>1700</v>
      </c>
      <c r="U32" s="34">
        <v>1800</v>
      </c>
      <c r="V32" s="34">
        <v>1900</v>
      </c>
      <c r="W32" s="34">
        <v>2000</v>
      </c>
      <c r="X32" s="34"/>
      <c r="Y32" s="34"/>
      <c r="Z32" s="34"/>
      <c r="AA32" s="34"/>
      <c r="AB32" s="99"/>
      <c r="AF32" s="106">
        <v>28</v>
      </c>
      <c r="AG32" s="34" t="s">
        <v>338</v>
      </c>
      <c r="AH32" s="99" t="s">
        <v>339</v>
      </c>
      <c r="AR32" s="106" t="s">
        <v>340</v>
      </c>
      <c r="AS32" s="99" t="s">
        <v>297</v>
      </c>
      <c r="AW32">
        <v>29</v>
      </c>
      <c r="AX32" s="116">
        <v>4000</v>
      </c>
      <c r="AY32" s="117">
        <v>4500</v>
      </c>
      <c r="AZ32" s="117">
        <v>5000</v>
      </c>
      <c r="BA32" s="117">
        <v>5500</v>
      </c>
      <c r="BB32" s="117">
        <v>6000</v>
      </c>
      <c r="BC32" s="117">
        <v>6500</v>
      </c>
      <c r="BD32" s="117">
        <v>7000</v>
      </c>
      <c r="BE32" s="117">
        <v>7500</v>
      </c>
      <c r="BF32" s="117">
        <v>8000</v>
      </c>
      <c r="BG32" s="117">
        <v>9000</v>
      </c>
      <c r="BH32" s="117">
        <v>10000</v>
      </c>
      <c r="BI32" s="117">
        <v>11000</v>
      </c>
      <c r="BJ32" s="117">
        <v>12000</v>
      </c>
      <c r="BK32" s="117">
        <v>0</v>
      </c>
      <c r="BL32" s="117">
        <v>0</v>
      </c>
      <c r="BM32" s="117">
        <v>0</v>
      </c>
      <c r="BN32" s="117">
        <v>0</v>
      </c>
      <c r="BO32" s="117">
        <v>0</v>
      </c>
      <c r="BP32" s="105">
        <v>0</v>
      </c>
      <c r="BQ32">
        <v>0</v>
      </c>
    </row>
    <row r="33" spans="1:69">
      <c r="A33" s="116">
        <v>10</v>
      </c>
      <c r="B33" s="117"/>
      <c r="C33" s="117">
        <v>29</v>
      </c>
      <c r="D33" s="155">
        <v>7</v>
      </c>
      <c r="E33" s="117"/>
      <c r="F33" s="116">
        <v>700</v>
      </c>
      <c r="G33" s="117">
        <v>710</v>
      </c>
      <c r="H33" s="117">
        <v>750</v>
      </c>
      <c r="I33" s="117">
        <v>800</v>
      </c>
      <c r="J33" s="117">
        <v>850</v>
      </c>
      <c r="K33" s="117">
        <v>900</v>
      </c>
      <c r="L33" s="117">
        <v>950</v>
      </c>
      <c r="M33" s="117">
        <v>1000</v>
      </c>
      <c r="N33" s="117">
        <v>1100</v>
      </c>
      <c r="O33" s="117">
        <v>1250</v>
      </c>
      <c r="P33" s="117">
        <v>1400</v>
      </c>
      <c r="Q33" s="117">
        <v>1420</v>
      </c>
      <c r="R33" s="117">
        <v>1500</v>
      </c>
      <c r="S33" s="117">
        <v>1600</v>
      </c>
      <c r="T33" s="117">
        <v>1700</v>
      </c>
      <c r="U33" s="117">
        <v>1800</v>
      </c>
      <c r="V33" s="117">
        <v>1900</v>
      </c>
      <c r="W33" s="117">
        <v>2000</v>
      </c>
      <c r="X33" s="34"/>
      <c r="Y33" s="34"/>
      <c r="Z33" s="34"/>
      <c r="AA33" s="34"/>
      <c r="AB33" s="99"/>
      <c r="AF33" s="116">
        <v>29</v>
      </c>
      <c r="AG33" s="117" t="s">
        <v>338</v>
      </c>
      <c r="AH33" s="99" t="s">
        <v>339</v>
      </c>
      <c r="AR33" s="106" t="s">
        <v>341</v>
      </c>
      <c r="AS33" s="99" t="s">
        <v>297</v>
      </c>
      <c r="AW33">
        <v>30</v>
      </c>
      <c r="AX33" s="106">
        <v>4500</v>
      </c>
      <c r="AY33" s="34">
        <v>5000</v>
      </c>
      <c r="AZ33" s="34">
        <v>5500</v>
      </c>
      <c r="BA33" s="34">
        <v>6000</v>
      </c>
      <c r="BB33" s="34">
        <v>6500</v>
      </c>
      <c r="BC33" s="34">
        <v>7000</v>
      </c>
      <c r="BD33" s="34">
        <v>7500</v>
      </c>
      <c r="BE33" s="34">
        <v>8000</v>
      </c>
      <c r="BF33" s="34">
        <v>9000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>
        <v>0</v>
      </c>
      <c r="BO33" s="34">
        <v>0</v>
      </c>
      <c r="BP33" s="99">
        <v>0</v>
      </c>
      <c r="BQ33">
        <v>0</v>
      </c>
    </row>
    <row r="34" spans="1:69">
      <c r="A34" s="106"/>
      <c r="B34" s="34"/>
      <c r="C34" s="34">
        <v>30</v>
      </c>
      <c r="D34" s="154">
        <v>8</v>
      </c>
      <c r="F34" s="106">
        <v>700</v>
      </c>
      <c r="G34" s="34">
        <v>710</v>
      </c>
      <c r="H34" s="34">
        <v>750</v>
      </c>
      <c r="I34" s="34">
        <v>800</v>
      </c>
      <c r="J34" s="34">
        <v>850</v>
      </c>
      <c r="K34" s="34">
        <v>900</v>
      </c>
      <c r="L34" s="34">
        <v>950</v>
      </c>
      <c r="M34" s="34">
        <v>1000</v>
      </c>
      <c r="N34" s="34">
        <v>1100</v>
      </c>
      <c r="O34" s="34">
        <v>1250</v>
      </c>
      <c r="P34" s="34">
        <v>1400</v>
      </c>
      <c r="Q34" s="34">
        <v>1420</v>
      </c>
      <c r="R34" s="34">
        <v>1500</v>
      </c>
      <c r="S34" s="34">
        <v>1600</v>
      </c>
      <c r="T34" s="34">
        <v>1700</v>
      </c>
      <c r="U34" s="34">
        <v>1800</v>
      </c>
      <c r="V34" s="34">
        <v>1900</v>
      </c>
      <c r="W34" s="34">
        <v>2000</v>
      </c>
      <c r="X34" s="34">
        <v>2100</v>
      </c>
      <c r="Y34" s="34">
        <v>2200</v>
      </c>
      <c r="Z34" s="34">
        <v>2300</v>
      </c>
      <c r="AA34" s="34">
        <v>2400</v>
      </c>
      <c r="AB34" s="99">
        <v>2500</v>
      </c>
      <c r="AF34" s="106">
        <v>30</v>
      </c>
      <c r="AG34" s="34" t="s">
        <v>342</v>
      </c>
      <c r="AH34" s="99" t="s">
        <v>343</v>
      </c>
      <c r="AR34" s="106" t="s">
        <v>344</v>
      </c>
      <c r="AS34" s="99" t="s">
        <v>297</v>
      </c>
      <c r="AW34">
        <v>31</v>
      </c>
      <c r="AX34" s="106">
        <v>4500</v>
      </c>
      <c r="AY34" s="34">
        <v>5000</v>
      </c>
      <c r="AZ34" s="34">
        <v>5500</v>
      </c>
      <c r="BA34" s="34">
        <v>6000</v>
      </c>
      <c r="BB34" s="34">
        <v>6500</v>
      </c>
      <c r="BC34" s="34">
        <v>7000</v>
      </c>
      <c r="BD34" s="34">
        <v>7500</v>
      </c>
      <c r="BE34" s="34">
        <v>8000</v>
      </c>
      <c r="BF34" s="34">
        <v>9000</v>
      </c>
      <c r="BG34" s="34">
        <v>10000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>
        <v>0</v>
      </c>
      <c r="BO34" s="34">
        <v>0</v>
      </c>
      <c r="BP34" s="99">
        <v>0</v>
      </c>
      <c r="BQ34">
        <v>0</v>
      </c>
    </row>
    <row r="35" spans="1:69" ht="13.5" thickBot="1">
      <c r="A35" s="106"/>
      <c r="B35" s="34"/>
      <c r="C35" s="34">
        <v>31</v>
      </c>
      <c r="D35" s="154">
        <v>9</v>
      </c>
      <c r="F35" s="106">
        <v>700</v>
      </c>
      <c r="G35" s="34">
        <v>710</v>
      </c>
      <c r="H35" s="34">
        <v>750</v>
      </c>
      <c r="I35" s="34">
        <v>800</v>
      </c>
      <c r="J35" s="34">
        <v>850</v>
      </c>
      <c r="K35" s="34">
        <v>900</v>
      </c>
      <c r="L35" s="34">
        <v>950</v>
      </c>
      <c r="M35" s="34">
        <v>1000</v>
      </c>
      <c r="N35" s="34">
        <v>1100</v>
      </c>
      <c r="O35" s="34">
        <v>1250</v>
      </c>
      <c r="P35" s="34">
        <v>1400</v>
      </c>
      <c r="Q35" s="34">
        <v>1420</v>
      </c>
      <c r="R35" s="34">
        <v>1500</v>
      </c>
      <c r="S35" s="34">
        <v>1600</v>
      </c>
      <c r="T35" s="34">
        <v>1700</v>
      </c>
      <c r="U35" s="34">
        <v>1800</v>
      </c>
      <c r="V35" s="34">
        <v>1900</v>
      </c>
      <c r="W35" s="34">
        <v>2000</v>
      </c>
      <c r="X35" s="34">
        <v>2100</v>
      </c>
      <c r="Y35" s="34">
        <v>2200</v>
      </c>
      <c r="Z35" s="34">
        <v>2300</v>
      </c>
      <c r="AA35" s="34">
        <v>2400</v>
      </c>
      <c r="AB35" s="99">
        <v>2500</v>
      </c>
      <c r="AF35" s="106">
        <v>31</v>
      </c>
      <c r="AG35" s="34" t="s">
        <v>342</v>
      </c>
      <c r="AH35" s="99" t="s">
        <v>343</v>
      </c>
      <c r="AR35" s="106" t="s">
        <v>345</v>
      </c>
      <c r="AS35" s="99" t="s">
        <v>297</v>
      </c>
      <c r="AW35">
        <v>32</v>
      </c>
      <c r="AX35" s="145">
        <v>4500</v>
      </c>
      <c r="AY35" s="151">
        <v>5000</v>
      </c>
      <c r="AZ35" s="151">
        <v>5500</v>
      </c>
      <c r="BA35" s="151">
        <v>6000</v>
      </c>
      <c r="BB35" s="151">
        <v>6500</v>
      </c>
      <c r="BC35" s="151">
        <v>7000</v>
      </c>
      <c r="BD35" s="151">
        <v>7500</v>
      </c>
      <c r="BE35" s="151">
        <v>8000</v>
      </c>
      <c r="BF35" s="151">
        <v>9000</v>
      </c>
      <c r="BG35" s="151">
        <v>10000</v>
      </c>
      <c r="BH35" s="151">
        <v>11000</v>
      </c>
      <c r="BI35" s="151">
        <v>12000</v>
      </c>
      <c r="BJ35" s="151">
        <v>0</v>
      </c>
      <c r="BK35" s="151">
        <v>0</v>
      </c>
      <c r="BL35" s="151">
        <v>0</v>
      </c>
      <c r="BM35" s="151">
        <v>0</v>
      </c>
      <c r="BN35" s="151">
        <v>0</v>
      </c>
      <c r="BO35" s="151">
        <v>0</v>
      </c>
      <c r="BP35" s="100">
        <v>0</v>
      </c>
      <c r="BQ35">
        <v>0</v>
      </c>
    </row>
    <row r="36" spans="1:69">
      <c r="A36" s="116">
        <v>11</v>
      </c>
      <c r="B36" s="117"/>
      <c r="C36" s="117">
        <v>32</v>
      </c>
      <c r="D36" s="156">
        <v>10</v>
      </c>
      <c r="E36" s="117"/>
      <c r="F36" s="116">
        <v>700</v>
      </c>
      <c r="G36" s="117">
        <v>710</v>
      </c>
      <c r="H36" s="117">
        <v>750</v>
      </c>
      <c r="I36" s="117">
        <v>800</v>
      </c>
      <c r="J36" s="117">
        <v>850</v>
      </c>
      <c r="K36" s="117">
        <v>900</v>
      </c>
      <c r="L36" s="117">
        <v>950</v>
      </c>
      <c r="M36" s="117">
        <v>1000</v>
      </c>
      <c r="N36" s="117">
        <v>1100</v>
      </c>
      <c r="O36" s="117">
        <v>1250</v>
      </c>
      <c r="P36" s="117">
        <v>1400</v>
      </c>
      <c r="Q36" s="117">
        <v>1420</v>
      </c>
      <c r="R36" s="117">
        <v>1500</v>
      </c>
      <c r="S36" s="117">
        <v>1600</v>
      </c>
      <c r="T36" s="117">
        <v>1700</v>
      </c>
      <c r="U36" s="117">
        <v>1800</v>
      </c>
      <c r="V36" s="117">
        <v>1900</v>
      </c>
      <c r="W36" s="117">
        <v>2000</v>
      </c>
      <c r="X36" s="117">
        <v>2100</v>
      </c>
      <c r="Y36" s="117">
        <v>2200</v>
      </c>
      <c r="Z36" s="117">
        <v>2300</v>
      </c>
      <c r="AA36" s="117">
        <v>2400</v>
      </c>
      <c r="AB36" s="105">
        <v>2500</v>
      </c>
      <c r="AF36" s="116">
        <v>32</v>
      </c>
      <c r="AG36" s="117" t="s">
        <v>342</v>
      </c>
      <c r="AH36" s="99" t="s">
        <v>343</v>
      </c>
      <c r="AR36" s="106" t="s">
        <v>346</v>
      </c>
      <c r="AS36" s="99" t="s">
        <v>297</v>
      </c>
    </row>
    <row r="37" spans="1:69">
      <c r="A37" s="106"/>
      <c r="B37" s="34"/>
      <c r="C37" s="34">
        <v>33</v>
      </c>
      <c r="D37" s="157">
        <v>11</v>
      </c>
      <c r="F37" s="106">
        <v>1000</v>
      </c>
      <c r="G37" s="34">
        <v>1100</v>
      </c>
      <c r="H37" s="34">
        <v>1250</v>
      </c>
      <c r="I37" s="34">
        <v>1400</v>
      </c>
      <c r="J37" s="34">
        <v>1420</v>
      </c>
      <c r="K37" s="34">
        <v>1500</v>
      </c>
      <c r="L37" s="34">
        <v>1600</v>
      </c>
      <c r="M37" s="34">
        <v>1700</v>
      </c>
      <c r="N37" s="34">
        <v>1800</v>
      </c>
      <c r="O37" s="34">
        <v>1900</v>
      </c>
      <c r="P37" s="34">
        <v>2000</v>
      </c>
      <c r="Q37" s="34">
        <v>2100</v>
      </c>
      <c r="R37" s="34">
        <v>2200</v>
      </c>
      <c r="S37" s="34">
        <v>2300</v>
      </c>
      <c r="T37" s="34">
        <v>2400</v>
      </c>
      <c r="U37" s="34">
        <v>2500</v>
      </c>
      <c r="V37" s="34"/>
      <c r="W37" s="34"/>
      <c r="X37" s="34"/>
      <c r="Y37" s="34"/>
      <c r="Z37" s="34"/>
      <c r="AA37" s="34"/>
      <c r="AB37" s="99"/>
      <c r="AF37" s="106">
        <v>33</v>
      </c>
      <c r="AG37" s="34" t="s">
        <v>347</v>
      </c>
      <c r="AH37" s="99" t="s">
        <v>348</v>
      </c>
      <c r="AR37" s="106" t="s">
        <v>349</v>
      </c>
      <c r="AS37" s="99" t="s">
        <v>297</v>
      </c>
    </row>
    <row r="38" spans="1:69">
      <c r="A38" s="116">
        <v>12</v>
      </c>
      <c r="B38" s="117"/>
      <c r="C38" s="117">
        <v>34</v>
      </c>
      <c r="D38" s="156">
        <v>12</v>
      </c>
      <c r="E38" s="117"/>
      <c r="F38" s="116">
        <v>1000</v>
      </c>
      <c r="G38" s="117">
        <v>1100</v>
      </c>
      <c r="H38" s="117">
        <v>1250</v>
      </c>
      <c r="I38" s="117">
        <v>1400</v>
      </c>
      <c r="J38" s="117">
        <v>1420</v>
      </c>
      <c r="K38" s="117">
        <v>1500</v>
      </c>
      <c r="L38" s="117">
        <v>1600</v>
      </c>
      <c r="M38" s="117">
        <v>1700</v>
      </c>
      <c r="N38" s="117">
        <v>1800</v>
      </c>
      <c r="O38" s="117">
        <v>1900</v>
      </c>
      <c r="P38" s="117">
        <v>2000</v>
      </c>
      <c r="Q38" s="117">
        <v>2100</v>
      </c>
      <c r="R38" s="117">
        <v>2200</v>
      </c>
      <c r="S38" s="117">
        <v>2300</v>
      </c>
      <c r="T38" s="117">
        <v>2400</v>
      </c>
      <c r="U38" s="117">
        <v>2500</v>
      </c>
      <c r="V38" s="34"/>
      <c r="W38" s="34"/>
      <c r="X38" s="34"/>
      <c r="Y38" s="34"/>
      <c r="Z38" s="34"/>
      <c r="AA38" s="34"/>
      <c r="AB38" s="99"/>
      <c r="AF38" s="116">
        <v>34</v>
      </c>
      <c r="AG38" s="117" t="s">
        <v>347</v>
      </c>
      <c r="AH38" s="99" t="s">
        <v>348</v>
      </c>
      <c r="AR38" s="106" t="s">
        <v>350</v>
      </c>
      <c r="AS38" s="99" t="s">
        <v>297</v>
      </c>
    </row>
    <row r="39" spans="1:69">
      <c r="A39" s="106"/>
      <c r="B39" s="34"/>
      <c r="C39" s="34">
        <v>35</v>
      </c>
      <c r="D39" s="157">
        <v>13</v>
      </c>
      <c r="F39" s="106">
        <v>1000</v>
      </c>
      <c r="G39" s="34">
        <v>1100</v>
      </c>
      <c r="H39" s="34">
        <v>1250</v>
      </c>
      <c r="I39" s="34">
        <v>1400</v>
      </c>
      <c r="J39" s="34">
        <v>1420</v>
      </c>
      <c r="K39" s="34">
        <v>1500</v>
      </c>
      <c r="L39" s="34">
        <v>1600</v>
      </c>
      <c r="M39" s="34">
        <v>1700</v>
      </c>
      <c r="N39" s="34">
        <v>1800</v>
      </c>
      <c r="O39" s="34">
        <v>1900</v>
      </c>
      <c r="P39" s="34">
        <v>2000</v>
      </c>
      <c r="Q39" s="34">
        <v>2100</v>
      </c>
      <c r="R39" s="34">
        <v>2200</v>
      </c>
      <c r="S39" s="34">
        <v>2300</v>
      </c>
      <c r="T39" s="34">
        <v>2400</v>
      </c>
      <c r="U39" s="34">
        <v>2500</v>
      </c>
      <c r="V39" s="34">
        <v>2600</v>
      </c>
      <c r="W39" s="34">
        <v>2700</v>
      </c>
      <c r="X39" s="34">
        <v>2800</v>
      </c>
      <c r="Y39" s="34"/>
      <c r="Z39" s="34"/>
      <c r="AA39" s="34"/>
      <c r="AB39" s="99"/>
      <c r="AF39" s="106">
        <v>35</v>
      </c>
      <c r="AG39" s="34" t="s">
        <v>351</v>
      </c>
      <c r="AH39" s="99" t="s">
        <v>352</v>
      </c>
      <c r="AR39" s="116" t="s">
        <v>353</v>
      </c>
      <c r="AS39" s="105" t="s">
        <v>354</v>
      </c>
    </row>
    <row r="40" spans="1:69">
      <c r="A40" s="106"/>
      <c r="B40" s="34"/>
      <c r="C40" s="34">
        <v>36</v>
      </c>
      <c r="D40" s="157">
        <v>14</v>
      </c>
      <c r="F40" s="106">
        <v>1000</v>
      </c>
      <c r="G40" s="34">
        <v>1100</v>
      </c>
      <c r="H40" s="34">
        <v>1250</v>
      </c>
      <c r="I40" s="34">
        <v>1400</v>
      </c>
      <c r="J40" s="34">
        <v>1420</v>
      </c>
      <c r="K40" s="34">
        <v>1500</v>
      </c>
      <c r="L40" s="34">
        <v>1600</v>
      </c>
      <c r="M40" s="34">
        <v>1700</v>
      </c>
      <c r="N40" s="34">
        <v>1800</v>
      </c>
      <c r="O40" s="34">
        <v>1900</v>
      </c>
      <c r="P40" s="34">
        <v>2000</v>
      </c>
      <c r="Q40" s="34">
        <v>2100</v>
      </c>
      <c r="R40" s="34">
        <v>2200</v>
      </c>
      <c r="S40" s="34">
        <v>2300</v>
      </c>
      <c r="T40" s="34">
        <v>2400</v>
      </c>
      <c r="U40" s="34">
        <v>2500</v>
      </c>
      <c r="V40" s="34">
        <v>2600</v>
      </c>
      <c r="W40" s="34">
        <v>2700</v>
      </c>
      <c r="X40" s="34">
        <v>2800</v>
      </c>
      <c r="Y40" s="34"/>
      <c r="Z40" s="34"/>
      <c r="AA40" s="34"/>
      <c r="AB40" s="99"/>
      <c r="AF40" s="106">
        <v>36</v>
      </c>
      <c r="AG40" s="34" t="s">
        <v>351</v>
      </c>
      <c r="AH40" s="99" t="s">
        <v>352</v>
      </c>
      <c r="AR40" s="106" t="s">
        <v>355</v>
      </c>
      <c r="AS40" s="99" t="s">
        <v>297</v>
      </c>
    </row>
    <row r="41" spans="1:69">
      <c r="A41" s="106"/>
      <c r="B41" s="34"/>
      <c r="C41" s="34">
        <v>37</v>
      </c>
      <c r="D41" s="157">
        <v>15</v>
      </c>
      <c r="F41" s="106">
        <v>1000</v>
      </c>
      <c r="G41" s="34">
        <v>1100</v>
      </c>
      <c r="H41" s="34">
        <v>1250</v>
      </c>
      <c r="I41" s="34">
        <v>1400</v>
      </c>
      <c r="J41" s="34">
        <v>1420</v>
      </c>
      <c r="K41" s="34">
        <v>1500</v>
      </c>
      <c r="L41" s="34">
        <v>1600</v>
      </c>
      <c r="M41" s="34">
        <v>1700</v>
      </c>
      <c r="N41" s="34">
        <v>1800</v>
      </c>
      <c r="O41" s="34">
        <v>1900</v>
      </c>
      <c r="P41" s="34">
        <v>2000</v>
      </c>
      <c r="Q41" s="34">
        <v>2100</v>
      </c>
      <c r="R41" s="34">
        <v>2200</v>
      </c>
      <c r="S41" s="34">
        <v>2300</v>
      </c>
      <c r="T41" s="34">
        <v>2400</v>
      </c>
      <c r="U41" s="34">
        <v>2500</v>
      </c>
      <c r="V41" s="34">
        <v>2600</v>
      </c>
      <c r="W41" s="34">
        <v>2700</v>
      </c>
      <c r="X41" s="34">
        <v>2800</v>
      </c>
      <c r="Y41" s="34"/>
      <c r="Z41" s="34"/>
      <c r="AA41" s="34"/>
      <c r="AB41" s="99"/>
      <c r="AF41" s="106">
        <v>37</v>
      </c>
      <c r="AG41" s="34" t="s">
        <v>351</v>
      </c>
      <c r="AH41" s="99" t="s">
        <v>352</v>
      </c>
      <c r="AR41" s="106" t="s">
        <v>356</v>
      </c>
      <c r="AS41" s="99" t="s">
        <v>297</v>
      </c>
    </row>
    <row r="42" spans="1:69">
      <c r="A42" s="106"/>
      <c r="B42" s="34"/>
      <c r="C42" s="34">
        <v>38</v>
      </c>
      <c r="D42" s="157">
        <v>16</v>
      </c>
      <c r="F42" s="106">
        <v>1000</v>
      </c>
      <c r="G42" s="34">
        <v>1100</v>
      </c>
      <c r="H42" s="34">
        <v>1250</v>
      </c>
      <c r="I42" s="34">
        <v>1400</v>
      </c>
      <c r="J42" s="34">
        <v>1420</v>
      </c>
      <c r="K42" s="34">
        <v>1500</v>
      </c>
      <c r="L42" s="34">
        <v>1600</v>
      </c>
      <c r="M42" s="34">
        <v>1700</v>
      </c>
      <c r="N42" s="34">
        <v>1800</v>
      </c>
      <c r="O42" s="34">
        <v>1900</v>
      </c>
      <c r="P42" s="34">
        <v>2000</v>
      </c>
      <c r="Q42" s="34">
        <v>2100</v>
      </c>
      <c r="R42" s="34">
        <v>2200</v>
      </c>
      <c r="S42" s="34">
        <v>2300</v>
      </c>
      <c r="T42" s="34">
        <v>2400</v>
      </c>
      <c r="U42" s="34">
        <v>2500</v>
      </c>
      <c r="V42" s="34">
        <v>2600</v>
      </c>
      <c r="W42" s="34">
        <v>2700</v>
      </c>
      <c r="X42" s="34">
        <v>2800</v>
      </c>
      <c r="Y42" s="34"/>
      <c r="Z42" s="34"/>
      <c r="AA42" s="34"/>
      <c r="AB42" s="99"/>
      <c r="AF42" s="106">
        <v>38</v>
      </c>
      <c r="AG42" s="34" t="s">
        <v>351</v>
      </c>
      <c r="AH42" s="99" t="s">
        <v>352</v>
      </c>
      <c r="AR42" s="106" t="s">
        <v>357</v>
      </c>
      <c r="AS42" s="99" t="s">
        <v>297</v>
      </c>
    </row>
    <row r="43" spans="1:69">
      <c r="A43" s="106"/>
      <c r="B43" s="34"/>
      <c r="C43" s="34">
        <v>39</v>
      </c>
      <c r="D43" s="157">
        <v>17</v>
      </c>
      <c r="F43" s="106">
        <v>1000</v>
      </c>
      <c r="G43" s="34">
        <v>1100</v>
      </c>
      <c r="H43" s="34">
        <v>1250</v>
      </c>
      <c r="I43" s="34">
        <v>1400</v>
      </c>
      <c r="J43" s="34">
        <v>1420</v>
      </c>
      <c r="K43" s="34">
        <v>1500</v>
      </c>
      <c r="L43" s="34">
        <v>1600</v>
      </c>
      <c r="M43" s="34">
        <v>1700</v>
      </c>
      <c r="N43" s="34">
        <v>1800</v>
      </c>
      <c r="O43" s="34">
        <v>1900</v>
      </c>
      <c r="P43" s="34">
        <v>2000</v>
      </c>
      <c r="Q43" s="34">
        <v>2100</v>
      </c>
      <c r="R43" s="34">
        <v>2200</v>
      </c>
      <c r="S43" s="34">
        <v>2300</v>
      </c>
      <c r="T43" s="34">
        <v>2400</v>
      </c>
      <c r="U43" s="34">
        <v>2500</v>
      </c>
      <c r="V43" s="34">
        <v>2600</v>
      </c>
      <c r="W43" s="34">
        <v>2700</v>
      </c>
      <c r="X43" s="34">
        <v>2800</v>
      </c>
      <c r="Y43" s="34"/>
      <c r="Z43" s="34"/>
      <c r="AA43" s="34"/>
      <c r="AB43" s="99"/>
      <c r="AF43" s="106">
        <v>39</v>
      </c>
      <c r="AG43" s="34" t="s">
        <v>351</v>
      </c>
      <c r="AH43" s="99" t="s">
        <v>352</v>
      </c>
      <c r="AR43" s="106" t="s">
        <v>358</v>
      </c>
      <c r="AS43" s="99" t="s">
        <v>359</v>
      </c>
    </row>
    <row r="44" spans="1:69">
      <c r="A44" s="106"/>
      <c r="B44" s="34"/>
      <c r="C44" s="34">
        <v>40</v>
      </c>
      <c r="D44" s="157">
        <v>18</v>
      </c>
      <c r="F44" s="106">
        <v>1000</v>
      </c>
      <c r="G44" s="34">
        <v>1100</v>
      </c>
      <c r="H44" s="34">
        <v>1250</v>
      </c>
      <c r="I44" s="34">
        <v>1400</v>
      </c>
      <c r="J44" s="34">
        <v>1420</v>
      </c>
      <c r="K44" s="34">
        <v>1500</v>
      </c>
      <c r="L44" s="34">
        <v>1600</v>
      </c>
      <c r="M44" s="34">
        <v>1700</v>
      </c>
      <c r="N44" s="34">
        <v>1800</v>
      </c>
      <c r="O44" s="34">
        <v>1900</v>
      </c>
      <c r="P44" s="34">
        <v>2000</v>
      </c>
      <c r="Q44" s="34">
        <v>2100</v>
      </c>
      <c r="R44" s="34">
        <v>2200</v>
      </c>
      <c r="S44" s="34">
        <v>2300</v>
      </c>
      <c r="T44" s="34">
        <v>2400</v>
      </c>
      <c r="U44" s="34">
        <v>2500</v>
      </c>
      <c r="V44" s="34">
        <v>2600</v>
      </c>
      <c r="W44" s="34">
        <v>2700</v>
      </c>
      <c r="X44" s="34">
        <v>2800</v>
      </c>
      <c r="Y44" s="34"/>
      <c r="Z44" s="34"/>
      <c r="AA44" s="34"/>
      <c r="AB44" s="99"/>
      <c r="AF44" s="106">
        <v>40</v>
      </c>
      <c r="AG44" s="34" t="s">
        <v>351</v>
      </c>
      <c r="AH44" s="99" t="s">
        <v>352</v>
      </c>
      <c r="AR44" s="106" t="s">
        <v>360</v>
      </c>
      <c r="AS44" s="99" t="s">
        <v>359</v>
      </c>
    </row>
    <row r="45" spans="1:69">
      <c r="A45" s="106"/>
      <c r="B45" s="34"/>
      <c r="C45" s="34">
        <v>41</v>
      </c>
      <c r="D45" s="157">
        <v>19</v>
      </c>
      <c r="F45" s="106">
        <v>1000</v>
      </c>
      <c r="G45" s="34">
        <v>1100</v>
      </c>
      <c r="H45" s="34">
        <v>1250</v>
      </c>
      <c r="I45" s="34">
        <v>1400</v>
      </c>
      <c r="J45" s="34">
        <v>1420</v>
      </c>
      <c r="K45" s="34">
        <v>1500</v>
      </c>
      <c r="L45" s="34">
        <v>1600</v>
      </c>
      <c r="M45" s="34">
        <v>1700</v>
      </c>
      <c r="N45" s="34">
        <v>1800</v>
      </c>
      <c r="O45" s="34">
        <v>1900</v>
      </c>
      <c r="P45" s="34">
        <v>2000</v>
      </c>
      <c r="Q45" s="34">
        <v>2100</v>
      </c>
      <c r="R45" s="34">
        <v>2200</v>
      </c>
      <c r="S45" s="34">
        <v>2300</v>
      </c>
      <c r="T45" s="34">
        <v>2400</v>
      </c>
      <c r="U45" s="34">
        <v>2500</v>
      </c>
      <c r="V45" s="34">
        <v>2600</v>
      </c>
      <c r="W45" s="34">
        <v>2700</v>
      </c>
      <c r="X45" s="34">
        <v>2800</v>
      </c>
      <c r="Y45" s="34"/>
      <c r="Z45" s="34"/>
      <c r="AA45" s="34"/>
      <c r="AB45" s="99"/>
      <c r="AF45" s="106">
        <v>41</v>
      </c>
      <c r="AG45" s="34" t="s">
        <v>351</v>
      </c>
      <c r="AH45" s="99" t="s">
        <v>352</v>
      </c>
      <c r="AR45" s="106" t="s">
        <v>361</v>
      </c>
      <c r="AS45" s="99" t="s">
        <v>359</v>
      </c>
    </row>
    <row r="46" spans="1:69">
      <c r="A46" s="106"/>
      <c r="B46" s="34"/>
      <c r="C46" s="34">
        <v>42</v>
      </c>
      <c r="D46" s="157">
        <v>20</v>
      </c>
      <c r="F46" s="106">
        <v>1000</v>
      </c>
      <c r="G46" s="34">
        <v>1100</v>
      </c>
      <c r="H46" s="34">
        <v>1250</v>
      </c>
      <c r="I46" s="34">
        <v>1400</v>
      </c>
      <c r="J46" s="34">
        <v>1420</v>
      </c>
      <c r="K46" s="34">
        <v>1500</v>
      </c>
      <c r="L46" s="34">
        <v>1600</v>
      </c>
      <c r="M46" s="34">
        <v>1700</v>
      </c>
      <c r="N46" s="34">
        <v>1800</v>
      </c>
      <c r="O46" s="34">
        <v>1900</v>
      </c>
      <c r="P46" s="34">
        <v>2000</v>
      </c>
      <c r="Q46" s="34">
        <v>2100</v>
      </c>
      <c r="R46" s="34">
        <v>2200</v>
      </c>
      <c r="S46" s="34">
        <v>2300</v>
      </c>
      <c r="T46" s="34">
        <v>2400</v>
      </c>
      <c r="U46" s="34">
        <v>2500</v>
      </c>
      <c r="V46" s="34">
        <v>2600</v>
      </c>
      <c r="W46" s="34">
        <v>2700</v>
      </c>
      <c r="X46" s="34">
        <v>2800</v>
      </c>
      <c r="Y46" s="34"/>
      <c r="Z46" s="34"/>
      <c r="AA46" s="34"/>
      <c r="AB46" s="99"/>
      <c r="AF46" s="106">
        <v>42</v>
      </c>
      <c r="AG46" s="34" t="s">
        <v>351</v>
      </c>
      <c r="AH46" s="99" t="s">
        <v>352</v>
      </c>
      <c r="AR46" s="106" t="s">
        <v>362</v>
      </c>
      <c r="AS46" s="99" t="s">
        <v>359</v>
      </c>
    </row>
    <row r="47" spans="1:69">
      <c r="A47" s="106"/>
      <c r="B47" s="34"/>
      <c r="C47" s="34">
        <v>43</v>
      </c>
      <c r="D47" s="157">
        <v>21</v>
      </c>
      <c r="F47" s="106">
        <v>1000</v>
      </c>
      <c r="G47" s="34">
        <v>1100</v>
      </c>
      <c r="H47" s="34">
        <v>1250</v>
      </c>
      <c r="I47" s="34">
        <v>1400</v>
      </c>
      <c r="J47" s="34">
        <v>1420</v>
      </c>
      <c r="K47" s="34">
        <v>1500</v>
      </c>
      <c r="L47" s="34">
        <v>1600</v>
      </c>
      <c r="M47" s="34">
        <v>1700</v>
      </c>
      <c r="N47" s="34">
        <v>1800</v>
      </c>
      <c r="O47" s="34">
        <v>1900</v>
      </c>
      <c r="P47" s="34">
        <v>2000</v>
      </c>
      <c r="Q47" s="34">
        <v>2100</v>
      </c>
      <c r="R47" s="34">
        <v>2200</v>
      </c>
      <c r="S47" s="34">
        <v>2300</v>
      </c>
      <c r="T47" s="34">
        <v>2400</v>
      </c>
      <c r="U47" s="34">
        <v>2500</v>
      </c>
      <c r="V47" s="34">
        <v>2600</v>
      </c>
      <c r="W47" s="34">
        <v>2700</v>
      </c>
      <c r="X47" s="34">
        <v>2800</v>
      </c>
      <c r="Y47" s="34"/>
      <c r="Z47" s="34"/>
      <c r="AA47" s="34"/>
      <c r="AB47" s="99"/>
      <c r="AF47" s="106">
        <v>43</v>
      </c>
      <c r="AG47" s="34" t="s">
        <v>351</v>
      </c>
      <c r="AH47" s="99" t="s">
        <v>352</v>
      </c>
      <c r="AR47" s="106" t="s">
        <v>363</v>
      </c>
      <c r="AS47" s="99" t="s">
        <v>359</v>
      </c>
    </row>
    <row r="48" spans="1:69">
      <c r="A48" s="106"/>
      <c r="B48" s="34"/>
      <c r="C48" s="34">
        <v>44</v>
      </c>
      <c r="D48" s="157">
        <v>22</v>
      </c>
      <c r="F48" s="106">
        <v>1000</v>
      </c>
      <c r="G48" s="34">
        <v>1100</v>
      </c>
      <c r="H48" s="34">
        <v>1250</v>
      </c>
      <c r="I48" s="34">
        <v>1400</v>
      </c>
      <c r="J48" s="34">
        <v>1420</v>
      </c>
      <c r="K48" s="34">
        <v>1500</v>
      </c>
      <c r="L48" s="34">
        <v>1600</v>
      </c>
      <c r="M48" s="34">
        <v>1700</v>
      </c>
      <c r="N48" s="34">
        <v>1800</v>
      </c>
      <c r="O48" s="34">
        <v>1900</v>
      </c>
      <c r="P48" s="34">
        <v>2000</v>
      </c>
      <c r="Q48" s="34">
        <v>2100</v>
      </c>
      <c r="R48" s="34">
        <v>2200</v>
      </c>
      <c r="S48" s="34">
        <v>2300</v>
      </c>
      <c r="T48" s="34">
        <v>2400</v>
      </c>
      <c r="U48" s="34">
        <v>2500</v>
      </c>
      <c r="V48" s="34">
        <v>2600</v>
      </c>
      <c r="W48" s="34">
        <v>2700</v>
      </c>
      <c r="X48" s="34">
        <v>2800</v>
      </c>
      <c r="Y48" s="34"/>
      <c r="Z48" s="34"/>
      <c r="AA48" s="34"/>
      <c r="AB48" s="99"/>
      <c r="AF48" s="106">
        <v>44</v>
      </c>
      <c r="AG48" s="34" t="s">
        <v>351</v>
      </c>
      <c r="AH48" s="99" t="s">
        <v>352</v>
      </c>
      <c r="AR48" s="106" t="s">
        <v>364</v>
      </c>
      <c r="AS48" s="99" t="s">
        <v>359</v>
      </c>
    </row>
    <row r="49" spans="1:45">
      <c r="A49" s="116">
        <v>13</v>
      </c>
      <c r="B49" s="117"/>
      <c r="C49" s="117">
        <v>45</v>
      </c>
      <c r="D49" s="156">
        <v>25</v>
      </c>
      <c r="E49" s="117"/>
      <c r="F49" s="116">
        <v>1000</v>
      </c>
      <c r="G49" s="117">
        <v>1100</v>
      </c>
      <c r="H49" s="117">
        <v>1250</v>
      </c>
      <c r="I49" s="117">
        <v>1400</v>
      </c>
      <c r="J49" s="117">
        <v>1420</v>
      </c>
      <c r="K49" s="117">
        <v>1500</v>
      </c>
      <c r="L49" s="117">
        <v>1600</v>
      </c>
      <c r="M49" s="117">
        <v>1700</v>
      </c>
      <c r="N49" s="117">
        <v>1800</v>
      </c>
      <c r="O49" s="117">
        <v>1900</v>
      </c>
      <c r="P49" s="117">
        <v>2000</v>
      </c>
      <c r="Q49" s="117">
        <v>2100</v>
      </c>
      <c r="R49" s="117">
        <v>2200</v>
      </c>
      <c r="S49" s="117">
        <v>2300</v>
      </c>
      <c r="T49" s="117">
        <v>2400</v>
      </c>
      <c r="U49" s="117">
        <v>2500</v>
      </c>
      <c r="V49" s="117">
        <v>2600</v>
      </c>
      <c r="W49" s="117">
        <v>2700</v>
      </c>
      <c r="X49" s="117">
        <v>2800</v>
      </c>
      <c r="Y49" s="34"/>
      <c r="Z49" s="34"/>
      <c r="AA49" s="34"/>
      <c r="AB49" s="99"/>
      <c r="AF49" s="116">
        <v>45</v>
      </c>
      <c r="AG49" s="117" t="s">
        <v>351</v>
      </c>
      <c r="AH49" s="99" t="s">
        <v>352</v>
      </c>
      <c r="AR49" s="106" t="s">
        <v>365</v>
      </c>
      <c r="AS49" s="99" t="s">
        <v>359</v>
      </c>
    </row>
    <row r="50" spans="1:45">
      <c r="A50" s="106"/>
      <c r="B50" s="34"/>
      <c r="C50" s="34">
        <v>46</v>
      </c>
      <c r="D50" s="157">
        <v>26</v>
      </c>
      <c r="F50" s="106">
        <v>1250</v>
      </c>
      <c r="G50" s="34">
        <v>1400</v>
      </c>
      <c r="H50" s="34">
        <v>1420</v>
      </c>
      <c r="I50" s="34">
        <v>1500</v>
      </c>
      <c r="J50" s="34">
        <v>1600</v>
      </c>
      <c r="K50" s="34">
        <v>1700</v>
      </c>
      <c r="L50" s="34">
        <v>1800</v>
      </c>
      <c r="M50" s="34">
        <v>1900</v>
      </c>
      <c r="N50" s="34">
        <v>2000</v>
      </c>
      <c r="O50" s="34">
        <v>2100</v>
      </c>
      <c r="P50" s="34">
        <v>2200</v>
      </c>
      <c r="Q50" s="34">
        <v>2300</v>
      </c>
      <c r="R50" s="34">
        <v>2400</v>
      </c>
      <c r="S50" s="34">
        <v>2500</v>
      </c>
      <c r="T50" s="34">
        <v>2600</v>
      </c>
      <c r="U50" s="34">
        <v>2700</v>
      </c>
      <c r="V50" s="34">
        <v>2800</v>
      </c>
      <c r="W50" s="34">
        <v>2900</v>
      </c>
      <c r="X50" s="34">
        <v>3000</v>
      </c>
      <c r="Y50" s="34">
        <v>3200</v>
      </c>
      <c r="Z50" s="34">
        <v>3400</v>
      </c>
      <c r="AA50" s="34">
        <v>3600</v>
      </c>
      <c r="AB50" s="99"/>
      <c r="AF50" s="106">
        <v>46</v>
      </c>
      <c r="AG50" s="34" t="s">
        <v>366</v>
      </c>
      <c r="AH50" s="99" t="s">
        <v>367</v>
      </c>
      <c r="AR50" s="106" t="s">
        <v>368</v>
      </c>
      <c r="AS50" s="99" t="s">
        <v>359</v>
      </c>
    </row>
    <row r="51" spans="1:45">
      <c r="A51" s="106"/>
      <c r="B51" s="34"/>
      <c r="C51" s="34">
        <v>47</v>
      </c>
      <c r="D51" s="157">
        <v>28</v>
      </c>
      <c r="F51" s="106">
        <v>1250</v>
      </c>
      <c r="G51" s="34">
        <v>1400</v>
      </c>
      <c r="H51" s="34">
        <v>1420</v>
      </c>
      <c r="I51" s="34">
        <v>1500</v>
      </c>
      <c r="J51" s="34">
        <v>1600</v>
      </c>
      <c r="K51" s="34">
        <v>1700</v>
      </c>
      <c r="L51" s="34">
        <v>1800</v>
      </c>
      <c r="M51" s="34">
        <v>1900</v>
      </c>
      <c r="N51" s="34">
        <v>2000</v>
      </c>
      <c r="O51" s="34">
        <v>2100</v>
      </c>
      <c r="P51" s="34">
        <v>2200</v>
      </c>
      <c r="Q51" s="34">
        <v>2300</v>
      </c>
      <c r="R51" s="34">
        <v>2400</v>
      </c>
      <c r="S51" s="34">
        <v>2500</v>
      </c>
      <c r="T51" s="34">
        <v>2600</v>
      </c>
      <c r="U51" s="34">
        <v>2700</v>
      </c>
      <c r="V51" s="34">
        <v>2800</v>
      </c>
      <c r="W51" s="34">
        <v>2900</v>
      </c>
      <c r="X51" s="34">
        <v>3000</v>
      </c>
      <c r="Y51" s="34">
        <v>3200</v>
      </c>
      <c r="Z51" s="34">
        <v>3400</v>
      </c>
      <c r="AA51" s="34">
        <v>3600</v>
      </c>
      <c r="AB51" s="99"/>
      <c r="AF51" s="106">
        <v>47</v>
      </c>
      <c r="AG51" s="34" t="s">
        <v>366</v>
      </c>
      <c r="AH51" s="99" t="s">
        <v>367</v>
      </c>
      <c r="AR51" s="106" t="s">
        <v>369</v>
      </c>
      <c r="AS51" s="99" t="s">
        <v>359</v>
      </c>
    </row>
    <row r="52" spans="1:45">
      <c r="A52" s="106"/>
      <c r="B52" s="34"/>
      <c r="C52" s="34">
        <v>48</v>
      </c>
      <c r="D52" s="157">
        <v>30</v>
      </c>
      <c r="F52" s="106">
        <v>1250</v>
      </c>
      <c r="G52" s="34">
        <v>1400</v>
      </c>
      <c r="H52" s="34">
        <v>1420</v>
      </c>
      <c r="I52" s="34">
        <v>1500</v>
      </c>
      <c r="J52" s="34">
        <v>1600</v>
      </c>
      <c r="K52" s="34">
        <v>1700</v>
      </c>
      <c r="L52" s="34">
        <v>1800</v>
      </c>
      <c r="M52" s="34">
        <v>1900</v>
      </c>
      <c r="N52" s="34">
        <v>2000</v>
      </c>
      <c r="O52" s="34">
        <v>2100</v>
      </c>
      <c r="P52" s="34">
        <v>2200</v>
      </c>
      <c r="Q52" s="34">
        <v>2300</v>
      </c>
      <c r="R52" s="34">
        <v>2400</v>
      </c>
      <c r="S52" s="34">
        <v>2500</v>
      </c>
      <c r="T52" s="34">
        <v>2600</v>
      </c>
      <c r="U52" s="34">
        <v>2700</v>
      </c>
      <c r="V52" s="34">
        <v>2800</v>
      </c>
      <c r="W52" s="34">
        <v>2900</v>
      </c>
      <c r="X52" s="34">
        <v>3000</v>
      </c>
      <c r="Y52" s="34">
        <v>3200</v>
      </c>
      <c r="Z52" s="34">
        <v>3400</v>
      </c>
      <c r="AA52" s="34">
        <v>3600</v>
      </c>
      <c r="AB52" s="99"/>
      <c r="AF52" s="106">
        <v>48</v>
      </c>
      <c r="AG52" s="34" t="s">
        <v>366</v>
      </c>
      <c r="AH52" s="99" t="s">
        <v>367</v>
      </c>
      <c r="AR52" s="106" t="s">
        <v>370</v>
      </c>
      <c r="AS52" s="99" t="s">
        <v>359</v>
      </c>
    </row>
    <row r="53" spans="1:45">
      <c r="A53" s="106"/>
      <c r="B53" s="34"/>
      <c r="C53" s="34">
        <v>49</v>
      </c>
      <c r="D53" s="157">
        <v>32</v>
      </c>
      <c r="F53" s="106">
        <v>1250</v>
      </c>
      <c r="G53" s="34">
        <v>1400</v>
      </c>
      <c r="H53" s="34">
        <v>1420</v>
      </c>
      <c r="I53" s="34">
        <v>1500</v>
      </c>
      <c r="J53" s="34">
        <v>1600</v>
      </c>
      <c r="K53" s="34">
        <v>1700</v>
      </c>
      <c r="L53" s="34">
        <v>1800</v>
      </c>
      <c r="M53" s="34">
        <v>1900</v>
      </c>
      <c r="N53" s="34">
        <v>2000</v>
      </c>
      <c r="O53" s="34">
        <v>2100</v>
      </c>
      <c r="P53" s="34">
        <v>2200</v>
      </c>
      <c r="Q53" s="34">
        <v>2300</v>
      </c>
      <c r="R53" s="34">
        <v>2400</v>
      </c>
      <c r="S53" s="34">
        <v>2500</v>
      </c>
      <c r="T53" s="34">
        <v>2600</v>
      </c>
      <c r="U53" s="34">
        <v>2700</v>
      </c>
      <c r="V53" s="34">
        <v>2800</v>
      </c>
      <c r="W53" s="34">
        <v>2900</v>
      </c>
      <c r="X53" s="34">
        <v>3000</v>
      </c>
      <c r="Y53" s="34">
        <v>3200</v>
      </c>
      <c r="Z53" s="34">
        <v>3400</v>
      </c>
      <c r="AA53" s="34">
        <v>3600</v>
      </c>
      <c r="AB53" s="99"/>
      <c r="AF53" s="106">
        <v>49</v>
      </c>
      <c r="AG53" s="34" t="s">
        <v>366</v>
      </c>
      <c r="AH53" s="99" t="s">
        <v>367</v>
      </c>
      <c r="AR53" s="106" t="s">
        <v>371</v>
      </c>
      <c r="AS53" s="99" t="s">
        <v>359</v>
      </c>
    </row>
    <row r="54" spans="1:45">
      <c r="A54" s="106"/>
      <c r="B54" s="34"/>
      <c r="C54" s="34">
        <v>50</v>
      </c>
      <c r="D54" s="157">
        <v>34</v>
      </c>
      <c r="F54" s="106">
        <v>1250</v>
      </c>
      <c r="G54" s="34">
        <v>1400</v>
      </c>
      <c r="H54" s="34">
        <v>1420</v>
      </c>
      <c r="I54" s="34">
        <v>1500</v>
      </c>
      <c r="J54" s="34">
        <v>1600</v>
      </c>
      <c r="K54" s="34">
        <v>1700</v>
      </c>
      <c r="L54" s="34">
        <v>1800</v>
      </c>
      <c r="M54" s="34">
        <v>1900</v>
      </c>
      <c r="N54" s="34">
        <v>2000</v>
      </c>
      <c r="O54" s="34">
        <v>2100</v>
      </c>
      <c r="P54" s="34">
        <v>2200</v>
      </c>
      <c r="Q54" s="34">
        <v>2300</v>
      </c>
      <c r="R54" s="34">
        <v>2400</v>
      </c>
      <c r="S54" s="34">
        <v>2500</v>
      </c>
      <c r="T54" s="34">
        <v>2600</v>
      </c>
      <c r="U54" s="34">
        <v>2700</v>
      </c>
      <c r="V54" s="34">
        <v>2800</v>
      </c>
      <c r="W54" s="34">
        <v>2900</v>
      </c>
      <c r="X54" s="34">
        <v>3000</v>
      </c>
      <c r="Y54" s="34">
        <v>3200</v>
      </c>
      <c r="Z54" s="34">
        <v>3400</v>
      </c>
      <c r="AA54" s="34">
        <v>3600</v>
      </c>
      <c r="AB54" s="99"/>
      <c r="AF54" s="106">
        <v>50</v>
      </c>
      <c r="AG54" s="34" t="s">
        <v>366</v>
      </c>
      <c r="AH54" s="99" t="s">
        <v>367</v>
      </c>
      <c r="AR54" s="116" t="s">
        <v>372</v>
      </c>
      <c r="AS54" s="105" t="s">
        <v>359</v>
      </c>
    </row>
    <row r="55" spans="1:45">
      <c r="A55" s="106"/>
      <c r="B55" s="34"/>
      <c r="C55" s="34">
        <v>51</v>
      </c>
      <c r="D55" s="157">
        <v>36</v>
      </c>
      <c r="F55" s="106">
        <v>1250</v>
      </c>
      <c r="G55" s="34">
        <v>1400</v>
      </c>
      <c r="H55" s="34">
        <v>1420</v>
      </c>
      <c r="I55" s="34">
        <v>1500</v>
      </c>
      <c r="J55" s="34">
        <v>1600</v>
      </c>
      <c r="K55" s="34">
        <v>1700</v>
      </c>
      <c r="L55" s="34">
        <v>1800</v>
      </c>
      <c r="M55" s="34">
        <v>1900</v>
      </c>
      <c r="N55" s="34">
        <v>2000</v>
      </c>
      <c r="O55" s="34">
        <v>2100</v>
      </c>
      <c r="P55" s="34">
        <v>2200</v>
      </c>
      <c r="Q55" s="34">
        <v>2300</v>
      </c>
      <c r="R55" s="34">
        <v>2400</v>
      </c>
      <c r="S55" s="34">
        <v>2500</v>
      </c>
      <c r="T55" s="34">
        <v>2600</v>
      </c>
      <c r="U55" s="34">
        <v>2700</v>
      </c>
      <c r="V55" s="34">
        <v>2800</v>
      </c>
      <c r="W55" s="34">
        <v>2900</v>
      </c>
      <c r="X55" s="34">
        <v>3000</v>
      </c>
      <c r="Y55" s="34">
        <v>3200</v>
      </c>
      <c r="Z55" s="34">
        <v>3400</v>
      </c>
      <c r="AA55" s="34">
        <v>3600</v>
      </c>
      <c r="AB55" s="99"/>
      <c r="AF55" s="106">
        <v>51</v>
      </c>
      <c r="AG55" s="34" t="s">
        <v>366</v>
      </c>
      <c r="AH55" s="99" t="s">
        <v>367</v>
      </c>
      <c r="AR55" s="106" t="s">
        <v>373</v>
      </c>
      <c r="AS55" s="99" t="s">
        <v>297</v>
      </c>
    </row>
    <row r="56" spans="1:45">
      <c r="A56" s="106"/>
      <c r="B56" s="34"/>
      <c r="C56" s="34">
        <v>52</v>
      </c>
      <c r="D56" s="157">
        <v>38</v>
      </c>
      <c r="F56" s="106">
        <v>1250</v>
      </c>
      <c r="G56" s="34">
        <v>1400</v>
      </c>
      <c r="H56" s="34">
        <v>1420</v>
      </c>
      <c r="I56" s="34">
        <v>1500</v>
      </c>
      <c r="J56" s="34">
        <v>1600</v>
      </c>
      <c r="K56" s="34">
        <v>1700</v>
      </c>
      <c r="L56" s="34">
        <v>1800</v>
      </c>
      <c r="M56" s="34">
        <v>1900</v>
      </c>
      <c r="N56" s="34">
        <v>2000</v>
      </c>
      <c r="O56" s="34">
        <v>2100</v>
      </c>
      <c r="P56" s="34">
        <v>2200</v>
      </c>
      <c r="Q56" s="34">
        <v>2300</v>
      </c>
      <c r="R56" s="34">
        <v>2400</v>
      </c>
      <c r="S56" s="34">
        <v>2500</v>
      </c>
      <c r="T56" s="34">
        <v>2600</v>
      </c>
      <c r="U56" s="34">
        <v>2700</v>
      </c>
      <c r="V56" s="34">
        <v>2800</v>
      </c>
      <c r="W56" s="34">
        <v>2900</v>
      </c>
      <c r="X56" s="34">
        <v>3000</v>
      </c>
      <c r="Y56" s="34">
        <v>3200</v>
      </c>
      <c r="Z56" s="34">
        <v>3400</v>
      </c>
      <c r="AA56" s="34">
        <v>3600</v>
      </c>
      <c r="AB56" s="99"/>
      <c r="AF56" s="106">
        <v>52</v>
      </c>
      <c r="AG56" s="34" t="s">
        <v>366</v>
      </c>
      <c r="AH56" s="99" t="s">
        <v>367</v>
      </c>
      <c r="AR56" s="106" t="s">
        <v>374</v>
      </c>
      <c r="AS56" s="99" t="s">
        <v>297</v>
      </c>
    </row>
    <row r="57" spans="1:45">
      <c r="A57" s="116">
        <v>14</v>
      </c>
      <c r="B57" s="117"/>
      <c r="C57" s="117">
        <v>53</v>
      </c>
      <c r="D57" s="156">
        <v>40</v>
      </c>
      <c r="E57" s="117"/>
      <c r="F57" s="116">
        <v>1250</v>
      </c>
      <c r="G57" s="117">
        <v>1400</v>
      </c>
      <c r="H57" s="117">
        <v>1420</v>
      </c>
      <c r="I57" s="117">
        <v>1500</v>
      </c>
      <c r="J57" s="117">
        <v>1600</v>
      </c>
      <c r="K57" s="117">
        <v>1700</v>
      </c>
      <c r="L57" s="117">
        <v>1800</v>
      </c>
      <c r="M57" s="117">
        <v>1900</v>
      </c>
      <c r="N57" s="117">
        <v>2000</v>
      </c>
      <c r="O57" s="117">
        <v>2100</v>
      </c>
      <c r="P57" s="117">
        <v>2200</v>
      </c>
      <c r="Q57" s="117">
        <v>2300</v>
      </c>
      <c r="R57" s="117">
        <v>2400</v>
      </c>
      <c r="S57" s="117">
        <v>2500</v>
      </c>
      <c r="T57" s="117">
        <v>2600</v>
      </c>
      <c r="U57" s="117">
        <v>2700</v>
      </c>
      <c r="V57" s="117">
        <v>2800</v>
      </c>
      <c r="W57" s="117">
        <v>2900</v>
      </c>
      <c r="X57" s="117">
        <v>3000</v>
      </c>
      <c r="Y57" s="117">
        <v>3200</v>
      </c>
      <c r="Z57" s="117">
        <v>3400</v>
      </c>
      <c r="AA57" s="117">
        <v>3600</v>
      </c>
      <c r="AB57" s="99"/>
      <c r="AF57" s="116">
        <v>53</v>
      </c>
      <c r="AG57" s="117" t="s">
        <v>366</v>
      </c>
      <c r="AH57" s="99" t="s">
        <v>367</v>
      </c>
      <c r="AR57" s="106" t="s">
        <v>375</v>
      </c>
      <c r="AS57" s="99" t="s">
        <v>359</v>
      </c>
    </row>
    <row r="58" spans="1:45">
      <c r="A58" s="106"/>
      <c r="B58" s="34"/>
      <c r="C58" s="34">
        <v>54</v>
      </c>
      <c r="D58" s="157">
        <v>42</v>
      </c>
      <c r="F58" s="106">
        <v>1250</v>
      </c>
      <c r="G58" s="34">
        <v>1400</v>
      </c>
      <c r="H58" s="34">
        <v>1420</v>
      </c>
      <c r="I58" s="34">
        <v>1500</v>
      </c>
      <c r="J58" s="34">
        <v>1600</v>
      </c>
      <c r="K58" s="34">
        <v>1700</v>
      </c>
      <c r="L58" s="34">
        <v>1800</v>
      </c>
      <c r="M58" s="34">
        <v>1900</v>
      </c>
      <c r="N58" s="34">
        <v>2000</v>
      </c>
      <c r="O58" s="34">
        <v>2100</v>
      </c>
      <c r="P58" s="34">
        <v>2200</v>
      </c>
      <c r="Q58" s="34">
        <v>2300</v>
      </c>
      <c r="R58" s="34">
        <v>2400</v>
      </c>
      <c r="S58" s="34">
        <v>2500</v>
      </c>
      <c r="T58" s="34">
        <v>2600</v>
      </c>
      <c r="U58" s="34">
        <v>2700</v>
      </c>
      <c r="V58" s="34">
        <v>2800</v>
      </c>
      <c r="W58" s="34">
        <v>2900</v>
      </c>
      <c r="X58" s="34">
        <v>3000</v>
      </c>
      <c r="Y58" s="34">
        <v>3200</v>
      </c>
      <c r="Z58" s="34">
        <v>3400</v>
      </c>
      <c r="AA58" s="34">
        <v>3600</v>
      </c>
      <c r="AB58" s="99">
        <v>3800</v>
      </c>
      <c r="AF58" s="106">
        <v>54</v>
      </c>
      <c r="AG58" s="34" t="s">
        <v>376</v>
      </c>
      <c r="AH58" s="99" t="s">
        <v>377</v>
      </c>
      <c r="AR58" s="106" t="s">
        <v>378</v>
      </c>
      <c r="AS58" s="99" t="s">
        <v>359</v>
      </c>
    </row>
    <row r="59" spans="1:45">
      <c r="A59" s="106"/>
      <c r="B59" s="34"/>
      <c r="C59" s="34">
        <v>55</v>
      </c>
      <c r="D59" s="157">
        <v>45</v>
      </c>
      <c r="F59" s="106">
        <v>1250</v>
      </c>
      <c r="G59" s="34">
        <v>1400</v>
      </c>
      <c r="H59" s="34">
        <v>1420</v>
      </c>
      <c r="I59" s="34">
        <v>1500</v>
      </c>
      <c r="J59" s="34">
        <v>1600</v>
      </c>
      <c r="K59" s="34">
        <v>1700</v>
      </c>
      <c r="L59" s="34">
        <v>1800</v>
      </c>
      <c r="M59" s="34">
        <v>1900</v>
      </c>
      <c r="N59" s="34">
        <v>2000</v>
      </c>
      <c r="O59" s="34">
        <v>2100</v>
      </c>
      <c r="P59" s="34">
        <v>2200</v>
      </c>
      <c r="Q59" s="34">
        <v>2300</v>
      </c>
      <c r="R59" s="34">
        <v>2400</v>
      </c>
      <c r="S59" s="34">
        <v>2500</v>
      </c>
      <c r="T59" s="34">
        <v>2600</v>
      </c>
      <c r="U59" s="34">
        <v>2700</v>
      </c>
      <c r="V59" s="34">
        <v>2800</v>
      </c>
      <c r="W59" s="34">
        <v>2900</v>
      </c>
      <c r="X59" s="34">
        <v>3000</v>
      </c>
      <c r="Y59" s="34">
        <v>3200</v>
      </c>
      <c r="Z59" s="34">
        <v>3400</v>
      </c>
      <c r="AA59" s="34">
        <v>3600</v>
      </c>
      <c r="AB59" s="99">
        <v>3800</v>
      </c>
      <c r="AF59" s="106">
        <v>55</v>
      </c>
      <c r="AG59" s="34" t="s">
        <v>376</v>
      </c>
      <c r="AH59" s="99" t="s">
        <v>377</v>
      </c>
      <c r="AR59" s="106" t="s">
        <v>379</v>
      </c>
      <c r="AS59" s="99" t="s">
        <v>359</v>
      </c>
    </row>
    <row r="60" spans="1:45">
      <c r="A60" s="106"/>
      <c r="B60" s="34"/>
      <c r="C60" s="34">
        <v>56</v>
      </c>
      <c r="D60" s="157">
        <v>48</v>
      </c>
      <c r="F60" s="106">
        <v>1250</v>
      </c>
      <c r="G60" s="34">
        <v>1400</v>
      </c>
      <c r="H60" s="34">
        <v>1420</v>
      </c>
      <c r="I60" s="34">
        <v>1500</v>
      </c>
      <c r="J60" s="34">
        <v>1600</v>
      </c>
      <c r="K60" s="34">
        <v>1700</v>
      </c>
      <c r="L60" s="34">
        <v>1800</v>
      </c>
      <c r="M60" s="34">
        <v>1900</v>
      </c>
      <c r="N60" s="34">
        <v>2000</v>
      </c>
      <c r="O60" s="34">
        <v>2100</v>
      </c>
      <c r="P60" s="34">
        <v>2200</v>
      </c>
      <c r="Q60" s="34">
        <v>2300</v>
      </c>
      <c r="R60" s="34">
        <v>2400</v>
      </c>
      <c r="S60" s="34">
        <v>2500</v>
      </c>
      <c r="T60" s="34">
        <v>2600</v>
      </c>
      <c r="U60" s="34">
        <v>2700</v>
      </c>
      <c r="V60" s="34">
        <v>2800</v>
      </c>
      <c r="W60" s="34">
        <v>2900</v>
      </c>
      <c r="X60" s="34">
        <v>3000</v>
      </c>
      <c r="Y60" s="34">
        <v>3200</v>
      </c>
      <c r="Z60" s="34">
        <v>3400</v>
      </c>
      <c r="AA60" s="34">
        <v>3600</v>
      </c>
      <c r="AB60" s="99">
        <v>3800</v>
      </c>
      <c r="AF60" s="106">
        <v>56</v>
      </c>
      <c r="AG60" s="34" t="s">
        <v>376</v>
      </c>
      <c r="AH60" s="99" t="s">
        <v>377</v>
      </c>
      <c r="AR60" s="106" t="s">
        <v>380</v>
      </c>
      <c r="AS60" s="99" t="s">
        <v>359</v>
      </c>
    </row>
    <row r="61" spans="1:45">
      <c r="A61" s="106"/>
      <c r="B61" s="34"/>
      <c r="C61" s="34">
        <v>57</v>
      </c>
      <c r="D61" s="157">
        <v>50</v>
      </c>
      <c r="F61" s="106">
        <v>1250</v>
      </c>
      <c r="G61" s="34">
        <v>1400</v>
      </c>
      <c r="H61" s="34">
        <v>1420</v>
      </c>
      <c r="I61" s="34">
        <v>1500</v>
      </c>
      <c r="J61" s="34">
        <v>1600</v>
      </c>
      <c r="K61" s="34">
        <v>1700</v>
      </c>
      <c r="L61" s="34">
        <v>1800</v>
      </c>
      <c r="M61" s="34">
        <v>1900</v>
      </c>
      <c r="N61" s="34">
        <v>2000</v>
      </c>
      <c r="O61" s="34">
        <v>2100</v>
      </c>
      <c r="P61" s="34">
        <v>2200</v>
      </c>
      <c r="Q61" s="34">
        <v>2300</v>
      </c>
      <c r="R61" s="34">
        <v>2400</v>
      </c>
      <c r="S61" s="34">
        <v>2500</v>
      </c>
      <c r="T61" s="34">
        <v>2600</v>
      </c>
      <c r="U61" s="34">
        <v>2700</v>
      </c>
      <c r="V61" s="34">
        <v>2800</v>
      </c>
      <c r="W61" s="34">
        <v>2900</v>
      </c>
      <c r="X61" s="34">
        <v>3000</v>
      </c>
      <c r="Y61" s="34">
        <v>3200</v>
      </c>
      <c r="Z61" s="34">
        <v>3400</v>
      </c>
      <c r="AA61" s="34">
        <v>3600</v>
      </c>
      <c r="AB61" s="99">
        <v>3800</v>
      </c>
      <c r="AF61" s="106">
        <v>57</v>
      </c>
      <c r="AG61" s="34" t="s">
        <v>376</v>
      </c>
      <c r="AH61" s="99" t="s">
        <v>377</v>
      </c>
      <c r="AR61" s="106" t="s">
        <v>381</v>
      </c>
      <c r="AS61" s="99" t="s">
        <v>359</v>
      </c>
    </row>
    <row r="62" spans="1:45">
      <c r="A62" s="106"/>
      <c r="B62" s="34"/>
      <c r="C62" s="34">
        <v>58</v>
      </c>
      <c r="D62" s="157">
        <v>52</v>
      </c>
      <c r="F62" s="106">
        <v>1250</v>
      </c>
      <c r="G62" s="34">
        <v>1400</v>
      </c>
      <c r="H62" s="34">
        <v>1420</v>
      </c>
      <c r="I62" s="34">
        <v>1500</v>
      </c>
      <c r="J62" s="34">
        <v>1600</v>
      </c>
      <c r="K62" s="34">
        <v>1700</v>
      </c>
      <c r="L62" s="34">
        <v>1800</v>
      </c>
      <c r="M62" s="34">
        <v>1900</v>
      </c>
      <c r="N62" s="34">
        <v>2000</v>
      </c>
      <c r="O62" s="34">
        <v>2100</v>
      </c>
      <c r="P62" s="34">
        <v>2200</v>
      </c>
      <c r="Q62" s="34">
        <v>2300</v>
      </c>
      <c r="R62" s="34">
        <v>2400</v>
      </c>
      <c r="S62" s="34">
        <v>2500</v>
      </c>
      <c r="T62" s="34">
        <v>2600</v>
      </c>
      <c r="U62" s="34">
        <v>2700</v>
      </c>
      <c r="V62" s="34">
        <v>2800</v>
      </c>
      <c r="W62" s="34">
        <v>2900</v>
      </c>
      <c r="X62" s="34">
        <v>3000</v>
      </c>
      <c r="Y62" s="34">
        <v>3200</v>
      </c>
      <c r="Z62" s="34">
        <v>3400</v>
      </c>
      <c r="AA62" s="34">
        <v>3600</v>
      </c>
      <c r="AB62" s="99">
        <v>3800</v>
      </c>
      <c r="AF62" s="106">
        <v>58</v>
      </c>
      <c r="AG62" s="34" t="s">
        <v>376</v>
      </c>
      <c r="AH62" s="99" t="s">
        <v>377</v>
      </c>
      <c r="AR62" s="106" t="s">
        <v>382</v>
      </c>
      <c r="AS62" s="99" t="s">
        <v>359</v>
      </c>
    </row>
    <row r="63" spans="1:45">
      <c r="A63" s="106"/>
      <c r="B63" s="34"/>
      <c r="C63" s="34">
        <v>59</v>
      </c>
      <c r="D63" s="157">
        <v>55</v>
      </c>
      <c r="F63" s="106">
        <v>1250</v>
      </c>
      <c r="G63" s="34">
        <v>1400</v>
      </c>
      <c r="H63" s="34">
        <v>1420</v>
      </c>
      <c r="I63" s="34">
        <v>1500</v>
      </c>
      <c r="J63" s="34">
        <v>1600</v>
      </c>
      <c r="K63" s="34">
        <v>1700</v>
      </c>
      <c r="L63" s="34">
        <v>1800</v>
      </c>
      <c r="M63" s="34">
        <v>1900</v>
      </c>
      <c r="N63" s="34">
        <v>2000</v>
      </c>
      <c r="O63" s="34">
        <v>2100</v>
      </c>
      <c r="P63" s="34">
        <v>2200</v>
      </c>
      <c r="Q63" s="34">
        <v>2300</v>
      </c>
      <c r="R63" s="34">
        <v>2400</v>
      </c>
      <c r="S63" s="34">
        <v>2500</v>
      </c>
      <c r="T63" s="34">
        <v>2600</v>
      </c>
      <c r="U63" s="34">
        <v>2700</v>
      </c>
      <c r="V63" s="34">
        <v>2800</v>
      </c>
      <c r="W63" s="34">
        <v>2900</v>
      </c>
      <c r="X63" s="34">
        <v>3000</v>
      </c>
      <c r="Y63" s="34">
        <v>3200</v>
      </c>
      <c r="Z63" s="34">
        <v>3400</v>
      </c>
      <c r="AA63" s="34">
        <v>3600</v>
      </c>
      <c r="AB63" s="99">
        <v>3800</v>
      </c>
      <c r="AF63" s="106">
        <v>59</v>
      </c>
      <c r="AG63" s="34" t="s">
        <v>376</v>
      </c>
      <c r="AH63" s="99" t="s">
        <v>377</v>
      </c>
      <c r="AR63" s="106" t="s">
        <v>383</v>
      </c>
      <c r="AS63" s="99" t="s">
        <v>359</v>
      </c>
    </row>
    <row r="64" spans="1:45">
      <c r="A64" s="106"/>
      <c r="B64" s="34"/>
      <c r="C64" s="34">
        <v>60</v>
      </c>
      <c r="D64" s="157">
        <v>60</v>
      </c>
      <c r="F64" s="106">
        <v>1250</v>
      </c>
      <c r="G64" s="34">
        <v>1400</v>
      </c>
      <c r="H64" s="34">
        <v>1420</v>
      </c>
      <c r="I64" s="34">
        <v>1500</v>
      </c>
      <c r="J64" s="34">
        <v>1600</v>
      </c>
      <c r="K64" s="34">
        <v>1700</v>
      </c>
      <c r="L64" s="34">
        <v>1800</v>
      </c>
      <c r="M64" s="34">
        <v>1900</v>
      </c>
      <c r="N64" s="34">
        <v>2000</v>
      </c>
      <c r="O64" s="34">
        <v>2100</v>
      </c>
      <c r="P64" s="34">
        <v>2200</v>
      </c>
      <c r="Q64" s="34">
        <v>2300</v>
      </c>
      <c r="R64" s="34">
        <v>2400</v>
      </c>
      <c r="S64" s="34">
        <v>2500</v>
      </c>
      <c r="T64" s="34">
        <v>2600</v>
      </c>
      <c r="U64" s="34">
        <v>2700</v>
      </c>
      <c r="V64" s="34">
        <v>2800</v>
      </c>
      <c r="W64" s="34">
        <v>2900</v>
      </c>
      <c r="X64" s="34">
        <v>3000</v>
      </c>
      <c r="Y64" s="34">
        <v>3200</v>
      </c>
      <c r="Z64" s="34">
        <v>3400</v>
      </c>
      <c r="AA64" s="34">
        <v>3600</v>
      </c>
      <c r="AB64" s="99">
        <v>3800</v>
      </c>
      <c r="AF64" s="106">
        <v>60</v>
      </c>
      <c r="AG64" s="34" t="s">
        <v>376</v>
      </c>
      <c r="AH64" s="99" t="s">
        <v>377</v>
      </c>
      <c r="AR64" s="106" t="s">
        <v>384</v>
      </c>
      <c r="AS64" s="99" t="s">
        <v>359</v>
      </c>
    </row>
    <row r="65" spans="1:45">
      <c r="A65" s="106"/>
      <c r="B65" s="34"/>
      <c r="C65" s="34">
        <v>61</v>
      </c>
      <c r="D65" s="157">
        <v>65</v>
      </c>
      <c r="F65" s="106">
        <v>1250</v>
      </c>
      <c r="G65" s="34">
        <v>1400</v>
      </c>
      <c r="H65" s="34">
        <v>1420</v>
      </c>
      <c r="I65" s="34">
        <v>1500</v>
      </c>
      <c r="J65" s="34">
        <v>1600</v>
      </c>
      <c r="K65" s="34">
        <v>1700</v>
      </c>
      <c r="L65" s="34">
        <v>1800</v>
      </c>
      <c r="M65" s="34">
        <v>1900</v>
      </c>
      <c r="N65" s="34">
        <v>2000</v>
      </c>
      <c r="O65" s="34">
        <v>2100</v>
      </c>
      <c r="P65" s="34">
        <v>2200</v>
      </c>
      <c r="Q65" s="34">
        <v>2300</v>
      </c>
      <c r="R65" s="34">
        <v>2400</v>
      </c>
      <c r="S65" s="34">
        <v>2500</v>
      </c>
      <c r="T65" s="34">
        <v>2600</v>
      </c>
      <c r="U65" s="34">
        <v>2700</v>
      </c>
      <c r="V65" s="34">
        <v>2800</v>
      </c>
      <c r="W65" s="34">
        <v>2900</v>
      </c>
      <c r="X65" s="34">
        <v>3000</v>
      </c>
      <c r="Y65" s="34">
        <v>3200</v>
      </c>
      <c r="Z65" s="34">
        <v>3400</v>
      </c>
      <c r="AA65" s="34">
        <v>3600</v>
      </c>
      <c r="AB65" s="99">
        <v>3800</v>
      </c>
      <c r="AF65" s="106">
        <v>61</v>
      </c>
      <c r="AG65" s="34" t="s">
        <v>376</v>
      </c>
      <c r="AH65" s="99" t="s">
        <v>377</v>
      </c>
      <c r="AR65" s="106" t="s">
        <v>385</v>
      </c>
      <c r="AS65" s="99" t="s">
        <v>359</v>
      </c>
    </row>
    <row r="66" spans="1:45">
      <c r="A66" s="106"/>
      <c r="B66" s="34"/>
      <c r="C66" s="34">
        <v>62</v>
      </c>
      <c r="D66" s="157">
        <v>70</v>
      </c>
      <c r="F66" s="106">
        <v>1250</v>
      </c>
      <c r="G66" s="34">
        <v>1400</v>
      </c>
      <c r="H66" s="34">
        <v>1420</v>
      </c>
      <c r="I66" s="34">
        <v>1500</v>
      </c>
      <c r="J66" s="34">
        <v>1600</v>
      </c>
      <c r="K66" s="34">
        <v>1700</v>
      </c>
      <c r="L66" s="34">
        <v>1800</v>
      </c>
      <c r="M66" s="34">
        <v>1900</v>
      </c>
      <c r="N66" s="34">
        <v>2000</v>
      </c>
      <c r="O66" s="34">
        <v>2100</v>
      </c>
      <c r="P66" s="34">
        <v>2200</v>
      </c>
      <c r="Q66" s="34">
        <v>2300</v>
      </c>
      <c r="R66" s="34">
        <v>2400</v>
      </c>
      <c r="S66" s="34">
        <v>2500</v>
      </c>
      <c r="T66" s="34">
        <v>2600</v>
      </c>
      <c r="U66" s="34">
        <v>2700</v>
      </c>
      <c r="V66" s="34">
        <v>2800</v>
      </c>
      <c r="W66" s="34">
        <v>2900</v>
      </c>
      <c r="X66" s="34">
        <v>3000</v>
      </c>
      <c r="Y66" s="34">
        <v>3200</v>
      </c>
      <c r="Z66" s="34">
        <v>3400</v>
      </c>
      <c r="AA66" s="34">
        <v>3600</v>
      </c>
      <c r="AB66" s="99">
        <v>3800</v>
      </c>
      <c r="AF66" s="106">
        <v>62</v>
      </c>
      <c r="AG66" s="34" t="s">
        <v>376</v>
      </c>
      <c r="AH66" s="99" t="s">
        <v>377</v>
      </c>
      <c r="AR66" s="106" t="s">
        <v>386</v>
      </c>
      <c r="AS66" s="99" t="s">
        <v>359</v>
      </c>
    </row>
    <row r="67" spans="1:45">
      <c r="A67" s="106"/>
      <c r="B67" s="34"/>
      <c r="C67" s="34">
        <v>63</v>
      </c>
      <c r="D67" s="157">
        <v>75</v>
      </c>
      <c r="F67" s="106">
        <v>1250</v>
      </c>
      <c r="G67" s="34">
        <v>1400</v>
      </c>
      <c r="H67" s="34">
        <v>1420</v>
      </c>
      <c r="I67" s="34">
        <v>1500</v>
      </c>
      <c r="J67" s="34">
        <v>1600</v>
      </c>
      <c r="K67" s="34">
        <v>1700</v>
      </c>
      <c r="L67" s="34">
        <v>1800</v>
      </c>
      <c r="M67" s="34">
        <v>1900</v>
      </c>
      <c r="N67" s="34">
        <v>2000</v>
      </c>
      <c r="O67" s="34">
        <v>2100</v>
      </c>
      <c r="P67" s="34">
        <v>2200</v>
      </c>
      <c r="Q67" s="34">
        <v>2300</v>
      </c>
      <c r="R67" s="34">
        <v>2400</v>
      </c>
      <c r="S67" s="34">
        <v>2500</v>
      </c>
      <c r="T67" s="34">
        <v>2600</v>
      </c>
      <c r="U67" s="34">
        <v>2700</v>
      </c>
      <c r="V67" s="34">
        <v>2800</v>
      </c>
      <c r="W67" s="34">
        <v>2900</v>
      </c>
      <c r="X67" s="34">
        <v>3000</v>
      </c>
      <c r="Y67" s="34">
        <v>3200</v>
      </c>
      <c r="Z67" s="34">
        <v>3400</v>
      </c>
      <c r="AA67" s="34">
        <v>3600</v>
      </c>
      <c r="AB67" s="99">
        <v>3800</v>
      </c>
      <c r="AF67" s="106">
        <v>63</v>
      </c>
      <c r="AG67" s="34" t="s">
        <v>376</v>
      </c>
      <c r="AH67" s="99" t="s">
        <v>377</v>
      </c>
      <c r="AR67" s="106" t="s">
        <v>387</v>
      </c>
      <c r="AS67" s="99" t="s">
        <v>359</v>
      </c>
    </row>
    <row r="68" spans="1:45">
      <c r="A68" s="106"/>
      <c r="B68" s="34"/>
      <c r="C68" s="34">
        <v>64</v>
      </c>
      <c r="D68" s="157">
        <v>80</v>
      </c>
      <c r="F68" s="106">
        <v>1250</v>
      </c>
      <c r="G68" s="34">
        <v>1400</v>
      </c>
      <c r="H68" s="34">
        <v>1420</v>
      </c>
      <c r="I68" s="34">
        <v>1500</v>
      </c>
      <c r="J68" s="34">
        <v>1600</v>
      </c>
      <c r="K68" s="34">
        <v>1700</v>
      </c>
      <c r="L68" s="34">
        <v>1800</v>
      </c>
      <c r="M68" s="34">
        <v>1900</v>
      </c>
      <c r="N68" s="34">
        <v>2000</v>
      </c>
      <c r="O68" s="34">
        <v>2100</v>
      </c>
      <c r="P68" s="34">
        <v>2200</v>
      </c>
      <c r="Q68" s="34">
        <v>2300</v>
      </c>
      <c r="R68" s="34">
        <v>2400</v>
      </c>
      <c r="S68" s="34">
        <v>2500</v>
      </c>
      <c r="T68" s="34">
        <v>2600</v>
      </c>
      <c r="U68" s="34">
        <v>2700</v>
      </c>
      <c r="V68" s="34">
        <v>2800</v>
      </c>
      <c r="W68" s="34">
        <v>2900</v>
      </c>
      <c r="X68" s="34">
        <v>3000</v>
      </c>
      <c r="Y68" s="34">
        <v>3200</v>
      </c>
      <c r="Z68" s="34">
        <v>3400</v>
      </c>
      <c r="AA68" s="34">
        <v>3600</v>
      </c>
      <c r="AB68" s="99">
        <v>3800</v>
      </c>
      <c r="AF68" s="106">
        <v>64</v>
      </c>
      <c r="AG68" s="34" t="s">
        <v>376</v>
      </c>
      <c r="AH68" s="99" t="s">
        <v>377</v>
      </c>
      <c r="AR68" s="106" t="s">
        <v>388</v>
      </c>
      <c r="AS68" s="99" t="s">
        <v>359</v>
      </c>
    </row>
    <row r="69" spans="1:45">
      <c r="A69" s="106"/>
      <c r="B69" s="34"/>
      <c r="C69" s="34">
        <v>65</v>
      </c>
      <c r="D69" s="157">
        <v>85</v>
      </c>
      <c r="F69" s="106">
        <v>1250</v>
      </c>
      <c r="G69" s="34">
        <v>1400</v>
      </c>
      <c r="H69" s="34">
        <v>1420</v>
      </c>
      <c r="I69" s="34">
        <v>1500</v>
      </c>
      <c r="J69" s="34">
        <v>1600</v>
      </c>
      <c r="K69" s="34">
        <v>1700</v>
      </c>
      <c r="L69" s="34">
        <v>1800</v>
      </c>
      <c r="M69" s="34">
        <v>1900</v>
      </c>
      <c r="N69" s="34">
        <v>2000</v>
      </c>
      <c r="O69" s="34">
        <v>2100</v>
      </c>
      <c r="P69" s="34">
        <v>2200</v>
      </c>
      <c r="Q69" s="34">
        <v>2300</v>
      </c>
      <c r="R69" s="34">
        <v>2400</v>
      </c>
      <c r="S69" s="34">
        <v>2500</v>
      </c>
      <c r="T69" s="34">
        <v>2600</v>
      </c>
      <c r="U69" s="34">
        <v>2700</v>
      </c>
      <c r="V69" s="34">
        <v>2800</v>
      </c>
      <c r="W69" s="34">
        <v>2900</v>
      </c>
      <c r="X69" s="34">
        <v>3000</v>
      </c>
      <c r="Y69" s="34">
        <v>3200</v>
      </c>
      <c r="Z69" s="34">
        <v>3400</v>
      </c>
      <c r="AA69" s="34">
        <v>3600</v>
      </c>
      <c r="AB69" s="99">
        <v>3800</v>
      </c>
      <c r="AF69" s="106">
        <v>65</v>
      </c>
      <c r="AG69" s="34" t="s">
        <v>376</v>
      </c>
      <c r="AH69" s="99" t="s">
        <v>377</v>
      </c>
      <c r="AR69" s="116" t="s">
        <v>389</v>
      </c>
      <c r="AS69" s="105" t="s">
        <v>359</v>
      </c>
    </row>
    <row r="70" spans="1:45">
      <c r="A70" s="106"/>
      <c r="B70" s="34"/>
      <c r="C70" s="34">
        <v>66</v>
      </c>
      <c r="D70" s="157">
        <v>90</v>
      </c>
      <c r="F70" s="106">
        <v>1250</v>
      </c>
      <c r="G70" s="34">
        <v>1400</v>
      </c>
      <c r="H70" s="34">
        <v>1420</v>
      </c>
      <c r="I70" s="34">
        <v>1500</v>
      </c>
      <c r="J70" s="34">
        <v>1600</v>
      </c>
      <c r="K70" s="34">
        <v>1700</v>
      </c>
      <c r="L70" s="34">
        <v>1800</v>
      </c>
      <c r="M70" s="34">
        <v>1900</v>
      </c>
      <c r="N70" s="34">
        <v>2000</v>
      </c>
      <c r="O70" s="34">
        <v>2100</v>
      </c>
      <c r="P70" s="34">
        <v>2200</v>
      </c>
      <c r="Q70" s="34">
        <v>2300</v>
      </c>
      <c r="R70" s="34">
        <v>2400</v>
      </c>
      <c r="S70" s="34">
        <v>2500</v>
      </c>
      <c r="T70" s="34">
        <v>2600</v>
      </c>
      <c r="U70" s="34">
        <v>2700</v>
      </c>
      <c r="V70" s="34">
        <v>2800</v>
      </c>
      <c r="W70" s="34">
        <v>2900</v>
      </c>
      <c r="X70" s="34">
        <v>3000</v>
      </c>
      <c r="Y70" s="34">
        <v>3200</v>
      </c>
      <c r="Z70" s="34">
        <v>3400</v>
      </c>
      <c r="AA70" s="34">
        <v>3600</v>
      </c>
      <c r="AB70" s="99">
        <v>3800</v>
      </c>
      <c r="AF70" s="106">
        <v>66</v>
      </c>
      <c r="AG70" s="34" t="s">
        <v>376</v>
      </c>
      <c r="AH70" s="99" t="s">
        <v>377</v>
      </c>
      <c r="AR70" s="106" t="s">
        <v>390</v>
      </c>
      <c r="AS70" s="99" t="s">
        <v>297</v>
      </c>
    </row>
    <row r="71" spans="1:45">
      <c r="A71" s="106"/>
      <c r="B71" s="34"/>
      <c r="C71" s="34">
        <v>67</v>
      </c>
      <c r="D71" s="157">
        <v>95</v>
      </c>
      <c r="F71" s="106">
        <v>1250</v>
      </c>
      <c r="G71" s="34">
        <v>1400</v>
      </c>
      <c r="H71" s="34">
        <v>1420</v>
      </c>
      <c r="I71" s="34">
        <v>1500</v>
      </c>
      <c r="J71" s="34">
        <v>1600</v>
      </c>
      <c r="K71" s="34">
        <v>1700</v>
      </c>
      <c r="L71" s="34">
        <v>1800</v>
      </c>
      <c r="M71" s="34">
        <v>1900</v>
      </c>
      <c r="N71" s="34">
        <v>2000</v>
      </c>
      <c r="O71" s="34">
        <v>2100</v>
      </c>
      <c r="P71" s="34">
        <v>2200</v>
      </c>
      <c r="Q71" s="34">
        <v>2300</v>
      </c>
      <c r="R71" s="34">
        <v>2400</v>
      </c>
      <c r="S71" s="34">
        <v>2500</v>
      </c>
      <c r="T71" s="34">
        <v>2600</v>
      </c>
      <c r="U71" s="34">
        <v>2700</v>
      </c>
      <c r="V71" s="34">
        <v>2800</v>
      </c>
      <c r="W71" s="34">
        <v>2900</v>
      </c>
      <c r="X71" s="34">
        <v>3000</v>
      </c>
      <c r="Y71" s="34">
        <v>3200</v>
      </c>
      <c r="Z71" s="34">
        <v>3400</v>
      </c>
      <c r="AA71" s="34">
        <v>3600</v>
      </c>
      <c r="AB71" s="99">
        <v>3800</v>
      </c>
      <c r="AF71" s="106">
        <v>67</v>
      </c>
      <c r="AG71" s="34" t="s">
        <v>376</v>
      </c>
      <c r="AH71" s="99" t="s">
        <v>377</v>
      </c>
      <c r="AR71" s="106" t="s">
        <v>391</v>
      </c>
      <c r="AS71" s="99" t="s">
        <v>297</v>
      </c>
    </row>
    <row r="72" spans="1:45">
      <c r="A72" s="106"/>
      <c r="B72" s="34"/>
      <c r="C72" s="34">
        <v>68</v>
      </c>
      <c r="D72" s="158">
        <v>100</v>
      </c>
      <c r="F72" s="106">
        <v>1250</v>
      </c>
      <c r="G72" s="34">
        <v>1400</v>
      </c>
      <c r="H72" s="34">
        <v>1420</v>
      </c>
      <c r="I72" s="34">
        <v>1500</v>
      </c>
      <c r="J72" s="34">
        <v>1600</v>
      </c>
      <c r="K72" s="34">
        <v>1700</v>
      </c>
      <c r="L72" s="34">
        <v>1800</v>
      </c>
      <c r="M72" s="34">
        <v>1900</v>
      </c>
      <c r="N72" s="34">
        <v>2000</v>
      </c>
      <c r="O72" s="34">
        <v>2100</v>
      </c>
      <c r="P72" s="34">
        <v>2200</v>
      </c>
      <c r="Q72" s="34">
        <v>2300</v>
      </c>
      <c r="R72" s="34">
        <v>2400</v>
      </c>
      <c r="S72" s="34">
        <v>2500</v>
      </c>
      <c r="T72" s="34">
        <v>2600</v>
      </c>
      <c r="U72" s="34">
        <v>2700</v>
      </c>
      <c r="V72" s="34">
        <v>2800</v>
      </c>
      <c r="W72" s="34">
        <v>2900</v>
      </c>
      <c r="X72" s="34">
        <v>3000</v>
      </c>
      <c r="Y72" s="34">
        <v>3200</v>
      </c>
      <c r="Z72" s="34">
        <v>3400</v>
      </c>
      <c r="AA72" s="34">
        <v>3600</v>
      </c>
      <c r="AB72" s="99">
        <v>3800</v>
      </c>
      <c r="AF72" s="106">
        <v>68</v>
      </c>
      <c r="AG72" s="34" t="s">
        <v>376</v>
      </c>
      <c r="AH72" s="99" t="s">
        <v>377</v>
      </c>
      <c r="AR72" s="106" t="s">
        <v>392</v>
      </c>
      <c r="AS72" s="99" t="s">
        <v>359</v>
      </c>
    </row>
    <row r="73" spans="1:45">
      <c r="A73" s="106"/>
      <c r="B73" s="34"/>
      <c r="C73" s="34">
        <v>69</v>
      </c>
      <c r="D73" s="158">
        <v>105</v>
      </c>
      <c r="F73" s="106">
        <v>1250</v>
      </c>
      <c r="G73" s="34">
        <v>1400</v>
      </c>
      <c r="H73" s="34">
        <v>1420</v>
      </c>
      <c r="I73" s="34">
        <v>1500</v>
      </c>
      <c r="J73" s="34">
        <v>1600</v>
      </c>
      <c r="K73" s="34">
        <v>1700</v>
      </c>
      <c r="L73" s="34">
        <v>1800</v>
      </c>
      <c r="M73" s="34">
        <v>1900</v>
      </c>
      <c r="N73" s="34">
        <v>2000</v>
      </c>
      <c r="O73" s="34">
        <v>2100</v>
      </c>
      <c r="P73" s="34">
        <v>2200</v>
      </c>
      <c r="Q73" s="34">
        <v>2300</v>
      </c>
      <c r="R73" s="34">
        <v>2400</v>
      </c>
      <c r="S73" s="34">
        <v>2500</v>
      </c>
      <c r="T73" s="34">
        <v>2600</v>
      </c>
      <c r="U73" s="34">
        <v>2700</v>
      </c>
      <c r="V73" s="34">
        <v>2800</v>
      </c>
      <c r="W73" s="34">
        <v>2900</v>
      </c>
      <c r="X73" s="34">
        <v>3000</v>
      </c>
      <c r="Y73" s="34">
        <v>3200</v>
      </c>
      <c r="Z73" s="34">
        <v>3400</v>
      </c>
      <c r="AA73" s="34">
        <v>3600</v>
      </c>
      <c r="AB73" s="99">
        <v>3800</v>
      </c>
      <c r="AF73" s="106">
        <v>69</v>
      </c>
      <c r="AG73" s="34" t="s">
        <v>376</v>
      </c>
      <c r="AH73" s="99" t="s">
        <v>377</v>
      </c>
      <c r="AR73" s="106" t="s">
        <v>393</v>
      </c>
      <c r="AS73" s="99" t="s">
        <v>359</v>
      </c>
    </row>
    <row r="74" spans="1:45">
      <c r="A74" s="106"/>
      <c r="B74" s="34"/>
      <c r="C74" s="34">
        <v>70</v>
      </c>
      <c r="D74" s="158">
        <v>110</v>
      </c>
      <c r="F74" s="106">
        <v>1250</v>
      </c>
      <c r="G74" s="34">
        <v>1400</v>
      </c>
      <c r="H74" s="34">
        <v>1420</v>
      </c>
      <c r="I74" s="34">
        <v>1500</v>
      </c>
      <c r="J74" s="34">
        <v>1600</v>
      </c>
      <c r="K74" s="34">
        <v>1700</v>
      </c>
      <c r="L74" s="34">
        <v>1800</v>
      </c>
      <c r="M74" s="34">
        <v>1900</v>
      </c>
      <c r="N74" s="34">
        <v>2000</v>
      </c>
      <c r="O74" s="34">
        <v>2100</v>
      </c>
      <c r="P74" s="34">
        <v>2200</v>
      </c>
      <c r="Q74" s="34">
        <v>2300</v>
      </c>
      <c r="R74" s="34">
        <v>2400</v>
      </c>
      <c r="S74" s="34">
        <v>2500</v>
      </c>
      <c r="T74" s="34">
        <v>2600</v>
      </c>
      <c r="U74" s="34">
        <v>2700</v>
      </c>
      <c r="V74" s="34">
        <v>2800</v>
      </c>
      <c r="W74" s="34">
        <v>2900</v>
      </c>
      <c r="X74" s="34">
        <v>3000</v>
      </c>
      <c r="Y74" s="34">
        <v>3200</v>
      </c>
      <c r="Z74" s="34">
        <v>3400</v>
      </c>
      <c r="AA74" s="34">
        <v>3600</v>
      </c>
      <c r="AB74" s="99">
        <v>3800</v>
      </c>
      <c r="AF74" s="106">
        <v>70</v>
      </c>
      <c r="AG74" s="34" t="s">
        <v>376</v>
      </c>
      <c r="AH74" s="99" t="s">
        <v>377</v>
      </c>
      <c r="AR74" s="106" t="s">
        <v>394</v>
      </c>
      <c r="AS74" s="99" t="s">
        <v>359</v>
      </c>
    </row>
    <row r="75" spans="1:45">
      <c r="A75" s="106"/>
      <c r="B75" s="34"/>
      <c r="C75" s="34">
        <v>71</v>
      </c>
      <c r="D75" s="158">
        <v>120</v>
      </c>
      <c r="F75" s="106">
        <v>1250</v>
      </c>
      <c r="G75" s="34">
        <v>1400</v>
      </c>
      <c r="H75" s="34">
        <v>1420</v>
      </c>
      <c r="I75" s="34">
        <v>1500</v>
      </c>
      <c r="J75" s="34">
        <v>1600</v>
      </c>
      <c r="K75" s="34">
        <v>1700</v>
      </c>
      <c r="L75" s="34">
        <v>1800</v>
      </c>
      <c r="M75" s="34">
        <v>1900</v>
      </c>
      <c r="N75" s="34">
        <v>2000</v>
      </c>
      <c r="O75" s="34">
        <v>2100</v>
      </c>
      <c r="P75" s="34">
        <v>2200</v>
      </c>
      <c r="Q75" s="34">
        <v>2300</v>
      </c>
      <c r="R75" s="34">
        <v>2400</v>
      </c>
      <c r="S75" s="34">
        <v>2500</v>
      </c>
      <c r="T75" s="34">
        <v>2600</v>
      </c>
      <c r="U75" s="34">
        <v>2700</v>
      </c>
      <c r="V75" s="34">
        <v>2800</v>
      </c>
      <c r="W75" s="34">
        <v>2900</v>
      </c>
      <c r="X75" s="34">
        <v>3000</v>
      </c>
      <c r="Y75" s="34">
        <v>3200</v>
      </c>
      <c r="Z75" s="34">
        <v>3400</v>
      </c>
      <c r="AA75" s="34">
        <v>3600</v>
      </c>
      <c r="AB75" s="99">
        <v>3800</v>
      </c>
      <c r="AF75" s="106">
        <v>71</v>
      </c>
      <c r="AG75" s="34" t="s">
        <v>376</v>
      </c>
      <c r="AH75" s="99" t="s">
        <v>377</v>
      </c>
      <c r="AR75" s="106" t="s">
        <v>395</v>
      </c>
      <c r="AS75" s="99" t="s">
        <v>359</v>
      </c>
    </row>
    <row r="76" spans="1:45">
      <c r="A76" s="106"/>
      <c r="B76" s="34"/>
      <c r="C76" s="34">
        <v>72</v>
      </c>
      <c r="D76" s="158">
        <v>125</v>
      </c>
      <c r="F76" s="106">
        <v>1250</v>
      </c>
      <c r="G76" s="34">
        <v>1400</v>
      </c>
      <c r="H76" s="34">
        <v>1420</v>
      </c>
      <c r="I76" s="34">
        <v>1500</v>
      </c>
      <c r="J76" s="34">
        <v>1600</v>
      </c>
      <c r="K76" s="34">
        <v>1700</v>
      </c>
      <c r="L76" s="34">
        <v>1800</v>
      </c>
      <c r="M76" s="34">
        <v>1900</v>
      </c>
      <c r="N76" s="34">
        <v>2000</v>
      </c>
      <c r="O76" s="34">
        <v>2100</v>
      </c>
      <c r="P76" s="34">
        <v>2200</v>
      </c>
      <c r="Q76" s="34">
        <v>2300</v>
      </c>
      <c r="R76" s="34">
        <v>2400</v>
      </c>
      <c r="S76" s="34">
        <v>2500</v>
      </c>
      <c r="T76" s="34">
        <v>2600</v>
      </c>
      <c r="U76" s="34">
        <v>2700</v>
      </c>
      <c r="V76" s="34">
        <v>2800</v>
      </c>
      <c r="W76" s="34">
        <v>2900</v>
      </c>
      <c r="X76" s="34">
        <v>3000</v>
      </c>
      <c r="Y76" s="34">
        <v>3200</v>
      </c>
      <c r="Z76" s="34">
        <v>3400</v>
      </c>
      <c r="AA76" s="34">
        <v>3600</v>
      </c>
      <c r="AB76" s="99">
        <v>3800</v>
      </c>
      <c r="AF76" s="106">
        <v>72</v>
      </c>
      <c r="AG76" s="34" t="s">
        <v>376</v>
      </c>
      <c r="AH76" s="99" t="s">
        <v>377</v>
      </c>
      <c r="AR76" s="106" t="s">
        <v>396</v>
      </c>
      <c r="AS76" s="99" t="s">
        <v>359</v>
      </c>
    </row>
    <row r="77" spans="1:45">
      <c r="A77" s="106"/>
      <c r="B77" s="34"/>
      <c r="C77" s="34">
        <v>73</v>
      </c>
      <c r="D77" s="158">
        <v>130</v>
      </c>
      <c r="F77" s="106">
        <v>1250</v>
      </c>
      <c r="G77" s="34">
        <v>1400</v>
      </c>
      <c r="H77" s="34">
        <v>1420</v>
      </c>
      <c r="I77" s="34">
        <v>1500</v>
      </c>
      <c r="J77" s="34">
        <v>1600</v>
      </c>
      <c r="K77" s="34">
        <v>1700</v>
      </c>
      <c r="L77" s="34">
        <v>1800</v>
      </c>
      <c r="M77" s="34">
        <v>1900</v>
      </c>
      <c r="N77" s="34">
        <v>2000</v>
      </c>
      <c r="O77" s="34">
        <v>2100</v>
      </c>
      <c r="P77" s="34">
        <v>2200</v>
      </c>
      <c r="Q77" s="34">
        <v>2300</v>
      </c>
      <c r="R77" s="34">
        <v>2400</v>
      </c>
      <c r="S77" s="34">
        <v>2500</v>
      </c>
      <c r="T77" s="34">
        <v>2600</v>
      </c>
      <c r="U77" s="34">
        <v>2700</v>
      </c>
      <c r="V77" s="34">
        <v>2800</v>
      </c>
      <c r="W77" s="34">
        <v>2900</v>
      </c>
      <c r="X77" s="34">
        <v>3000</v>
      </c>
      <c r="Y77" s="34">
        <v>3200</v>
      </c>
      <c r="Z77" s="34">
        <v>3400</v>
      </c>
      <c r="AA77" s="34">
        <v>3600</v>
      </c>
      <c r="AB77" s="99">
        <v>3800</v>
      </c>
      <c r="AF77" s="106">
        <v>73</v>
      </c>
      <c r="AG77" s="34" t="s">
        <v>376</v>
      </c>
      <c r="AH77" s="99" t="s">
        <v>377</v>
      </c>
      <c r="AR77" s="106" t="s">
        <v>397</v>
      </c>
      <c r="AS77" s="99" t="s">
        <v>359</v>
      </c>
    </row>
    <row r="78" spans="1:45">
      <c r="A78" s="106"/>
      <c r="B78" s="34"/>
      <c r="C78" s="34">
        <v>74</v>
      </c>
      <c r="D78" s="158">
        <v>140</v>
      </c>
      <c r="F78" s="106">
        <v>1250</v>
      </c>
      <c r="G78" s="34">
        <v>1400</v>
      </c>
      <c r="H78" s="34">
        <v>1420</v>
      </c>
      <c r="I78" s="34">
        <v>1500</v>
      </c>
      <c r="J78" s="34">
        <v>1600</v>
      </c>
      <c r="K78" s="34">
        <v>1700</v>
      </c>
      <c r="L78" s="34">
        <v>1800</v>
      </c>
      <c r="M78" s="34">
        <v>1900</v>
      </c>
      <c r="N78" s="34">
        <v>2000</v>
      </c>
      <c r="O78" s="34">
        <v>2100</v>
      </c>
      <c r="P78" s="34">
        <v>2200</v>
      </c>
      <c r="Q78" s="34">
        <v>2300</v>
      </c>
      <c r="R78" s="34">
        <v>2400</v>
      </c>
      <c r="S78" s="34">
        <v>2500</v>
      </c>
      <c r="T78" s="34">
        <v>2600</v>
      </c>
      <c r="U78" s="34">
        <v>2700</v>
      </c>
      <c r="V78" s="34">
        <v>2800</v>
      </c>
      <c r="W78" s="34">
        <v>2900</v>
      </c>
      <c r="X78" s="34">
        <v>3000</v>
      </c>
      <c r="Y78" s="34">
        <v>3200</v>
      </c>
      <c r="Z78" s="34">
        <v>3400</v>
      </c>
      <c r="AA78" s="34">
        <v>3600</v>
      </c>
      <c r="AB78" s="99">
        <v>3800</v>
      </c>
      <c r="AF78" s="106">
        <v>74</v>
      </c>
      <c r="AG78" s="34" t="s">
        <v>376</v>
      </c>
      <c r="AH78" s="99" t="s">
        <v>377</v>
      </c>
      <c r="AR78" s="106" t="s">
        <v>398</v>
      </c>
      <c r="AS78" s="99" t="s">
        <v>359</v>
      </c>
    </row>
    <row r="79" spans="1:45">
      <c r="A79" s="106"/>
      <c r="B79" s="34"/>
      <c r="C79" s="34">
        <v>75</v>
      </c>
      <c r="D79" s="158">
        <v>150</v>
      </c>
      <c r="F79" s="106">
        <v>1250</v>
      </c>
      <c r="G79" s="34">
        <v>1400</v>
      </c>
      <c r="H79" s="34">
        <v>1420</v>
      </c>
      <c r="I79" s="34">
        <v>1500</v>
      </c>
      <c r="J79" s="34">
        <v>1600</v>
      </c>
      <c r="K79" s="34">
        <v>1700</v>
      </c>
      <c r="L79" s="34">
        <v>1800</v>
      </c>
      <c r="M79" s="34">
        <v>1900</v>
      </c>
      <c r="N79" s="34">
        <v>2000</v>
      </c>
      <c r="O79" s="34">
        <v>2100</v>
      </c>
      <c r="P79" s="34">
        <v>2200</v>
      </c>
      <c r="Q79" s="34">
        <v>2300</v>
      </c>
      <c r="R79" s="34">
        <v>2400</v>
      </c>
      <c r="S79" s="34">
        <v>2500</v>
      </c>
      <c r="T79" s="34">
        <v>2600</v>
      </c>
      <c r="U79" s="34">
        <v>2700</v>
      </c>
      <c r="V79" s="34">
        <v>2800</v>
      </c>
      <c r="W79" s="34">
        <v>2900</v>
      </c>
      <c r="X79" s="34">
        <v>3000</v>
      </c>
      <c r="Y79" s="34">
        <v>3200</v>
      </c>
      <c r="Z79" s="34">
        <v>3400</v>
      </c>
      <c r="AA79" s="34">
        <v>3600</v>
      </c>
      <c r="AB79" s="99">
        <v>3800</v>
      </c>
      <c r="AF79" s="106">
        <v>75</v>
      </c>
      <c r="AG79" s="34" t="s">
        <v>376</v>
      </c>
      <c r="AH79" s="99" t="s">
        <v>377</v>
      </c>
      <c r="AR79" s="106" t="s">
        <v>399</v>
      </c>
      <c r="AS79" s="99" t="s">
        <v>359</v>
      </c>
    </row>
    <row r="80" spans="1:45" ht="13.5" thickBot="1">
      <c r="A80" s="145">
        <v>15</v>
      </c>
      <c r="B80" s="151"/>
      <c r="C80" s="151">
        <v>76</v>
      </c>
      <c r="D80" s="159">
        <v>160</v>
      </c>
      <c r="E80" s="117"/>
      <c r="F80" s="145">
        <v>1250</v>
      </c>
      <c r="G80" s="151">
        <v>1400</v>
      </c>
      <c r="H80" s="151">
        <v>1420</v>
      </c>
      <c r="I80" s="151">
        <v>1500</v>
      </c>
      <c r="J80" s="151">
        <v>1600</v>
      </c>
      <c r="K80" s="151">
        <v>1700</v>
      </c>
      <c r="L80" s="151">
        <v>1800</v>
      </c>
      <c r="M80" s="151">
        <v>1900</v>
      </c>
      <c r="N80" s="151">
        <v>2000</v>
      </c>
      <c r="O80" s="151">
        <v>2100</v>
      </c>
      <c r="P80" s="151">
        <v>2200</v>
      </c>
      <c r="Q80" s="151">
        <v>2300</v>
      </c>
      <c r="R80" s="151">
        <v>2400</v>
      </c>
      <c r="S80" s="151">
        <v>2500</v>
      </c>
      <c r="T80" s="151">
        <v>2600</v>
      </c>
      <c r="U80" s="151">
        <v>2700</v>
      </c>
      <c r="V80" s="151">
        <v>2800</v>
      </c>
      <c r="W80" s="151">
        <v>2900</v>
      </c>
      <c r="X80" s="151">
        <v>3000</v>
      </c>
      <c r="Y80" s="151">
        <v>3200</v>
      </c>
      <c r="Z80" s="151">
        <v>3400</v>
      </c>
      <c r="AA80" s="151">
        <v>3600</v>
      </c>
      <c r="AB80" s="100">
        <v>3800</v>
      </c>
      <c r="AF80" s="145">
        <v>76</v>
      </c>
      <c r="AG80" s="151" t="s">
        <v>376</v>
      </c>
      <c r="AH80" s="100" t="s">
        <v>377</v>
      </c>
      <c r="AR80" s="106" t="s">
        <v>400</v>
      </c>
      <c r="AS80" s="99" t="s">
        <v>359</v>
      </c>
    </row>
    <row r="81" spans="6:45">
      <c r="F81">
        <v>1</v>
      </c>
      <c r="G81">
        <v>2</v>
      </c>
      <c r="H81">
        <v>3</v>
      </c>
      <c r="I81">
        <v>4</v>
      </c>
      <c r="J81">
        <v>5</v>
      </c>
      <c r="K81">
        <v>6</v>
      </c>
      <c r="L81">
        <v>7</v>
      </c>
      <c r="M81">
        <v>8</v>
      </c>
      <c r="N81">
        <v>9</v>
      </c>
      <c r="O81">
        <v>10</v>
      </c>
      <c r="P81">
        <v>11</v>
      </c>
      <c r="Q81">
        <v>12</v>
      </c>
      <c r="R81">
        <v>13</v>
      </c>
      <c r="S81">
        <v>14</v>
      </c>
      <c r="T81">
        <v>15</v>
      </c>
      <c r="U81">
        <v>16</v>
      </c>
      <c r="V81">
        <v>17</v>
      </c>
      <c r="W81">
        <v>18</v>
      </c>
      <c r="X81">
        <v>19</v>
      </c>
      <c r="Y81">
        <v>20</v>
      </c>
      <c r="Z81">
        <v>21</v>
      </c>
      <c r="AA81">
        <v>22</v>
      </c>
      <c r="AB81">
        <v>23</v>
      </c>
      <c r="AR81" s="106" t="s">
        <v>401</v>
      </c>
      <c r="AS81" s="99" t="s">
        <v>359</v>
      </c>
    </row>
    <row r="82" spans="6:45">
      <c r="AR82" s="106" t="s">
        <v>402</v>
      </c>
      <c r="AS82" s="99" t="s">
        <v>359</v>
      </c>
    </row>
    <row r="83" spans="6:45">
      <c r="AR83" s="106" t="s">
        <v>403</v>
      </c>
      <c r="AS83" s="99" t="s">
        <v>359</v>
      </c>
    </row>
    <row r="84" spans="6:45">
      <c r="AR84" s="106" t="s">
        <v>404</v>
      </c>
      <c r="AS84" s="99" t="s">
        <v>359</v>
      </c>
    </row>
    <row r="85" spans="6:45">
      <c r="AR85" s="106" t="s">
        <v>405</v>
      </c>
      <c r="AS85" s="99" t="s">
        <v>359</v>
      </c>
    </row>
    <row r="86" spans="6:45">
      <c r="AR86" s="106" t="s">
        <v>406</v>
      </c>
      <c r="AS86" s="99" t="s">
        <v>359</v>
      </c>
    </row>
    <row r="87" spans="6:45">
      <c r="AR87" s="116" t="s">
        <v>407</v>
      </c>
      <c r="AS87" s="105" t="s">
        <v>359</v>
      </c>
    </row>
    <row r="88" spans="6:45">
      <c r="AR88" s="106" t="s">
        <v>408</v>
      </c>
      <c r="AS88" s="99" t="s">
        <v>359</v>
      </c>
    </row>
    <row r="89" spans="6:45">
      <c r="AR89" s="106" t="s">
        <v>409</v>
      </c>
      <c r="AS89" s="99" t="s">
        <v>359</v>
      </c>
    </row>
    <row r="90" spans="6:45">
      <c r="AR90" s="106" t="s">
        <v>410</v>
      </c>
      <c r="AS90" s="99" t="s">
        <v>359</v>
      </c>
    </row>
    <row r="91" spans="6:45">
      <c r="AR91" s="106" t="s">
        <v>411</v>
      </c>
      <c r="AS91" s="99" t="s">
        <v>359</v>
      </c>
    </row>
    <row r="92" spans="6:45">
      <c r="AR92" s="106" t="s">
        <v>412</v>
      </c>
      <c r="AS92" s="99" t="s">
        <v>359</v>
      </c>
    </row>
    <row r="93" spans="6:45">
      <c r="AR93" s="106" t="s">
        <v>413</v>
      </c>
      <c r="AS93" s="99" t="s">
        <v>359</v>
      </c>
    </row>
    <row r="94" spans="6:45">
      <c r="AR94" s="106" t="s">
        <v>414</v>
      </c>
      <c r="AS94" s="99" t="s">
        <v>359</v>
      </c>
    </row>
    <row r="95" spans="6:45">
      <c r="AR95" s="106" t="s">
        <v>415</v>
      </c>
      <c r="AS95" s="99" t="s">
        <v>359</v>
      </c>
    </row>
    <row r="96" spans="6:45">
      <c r="AR96" s="106" t="s">
        <v>416</v>
      </c>
      <c r="AS96" s="99" t="s">
        <v>359</v>
      </c>
    </row>
    <row r="97" spans="44:45">
      <c r="AR97" s="106" t="s">
        <v>417</v>
      </c>
      <c r="AS97" s="99" t="s">
        <v>359</v>
      </c>
    </row>
    <row r="98" spans="44:45">
      <c r="AR98" s="106" t="s">
        <v>418</v>
      </c>
      <c r="AS98" s="99" t="s">
        <v>359</v>
      </c>
    </row>
    <row r="99" spans="44:45">
      <c r="AR99" s="106" t="s">
        <v>419</v>
      </c>
      <c r="AS99" s="99" t="s">
        <v>359</v>
      </c>
    </row>
    <row r="100" spans="44:45">
      <c r="AR100" s="106" t="s">
        <v>420</v>
      </c>
      <c r="AS100" s="99" t="s">
        <v>359</v>
      </c>
    </row>
    <row r="101" spans="44:45">
      <c r="AR101" s="106" t="s">
        <v>421</v>
      </c>
      <c r="AS101" s="99" t="s">
        <v>359</v>
      </c>
    </row>
    <row r="102" spans="44:45">
      <c r="AR102" s="106" t="s">
        <v>422</v>
      </c>
      <c r="AS102" s="99" t="s">
        <v>359</v>
      </c>
    </row>
    <row r="103" spans="44:45">
      <c r="AR103" s="116" t="s">
        <v>423</v>
      </c>
      <c r="AS103" s="105" t="s">
        <v>359</v>
      </c>
    </row>
    <row r="104" spans="44:45">
      <c r="AR104" s="106" t="s">
        <v>424</v>
      </c>
      <c r="AS104" s="99" t="s">
        <v>359</v>
      </c>
    </row>
    <row r="105" spans="44:45">
      <c r="AR105" s="106" t="s">
        <v>425</v>
      </c>
      <c r="AS105" s="99" t="s">
        <v>359</v>
      </c>
    </row>
    <row r="106" spans="44:45">
      <c r="AR106" s="106" t="s">
        <v>426</v>
      </c>
      <c r="AS106" s="99" t="s">
        <v>359</v>
      </c>
    </row>
    <row r="107" spans="44:45">
      <c r="AR107" s="106" t="s">
        <v>427</v>
      </c>
      <c r="AS107" s="99" t="s">
        <v>359</v>
      </c>
    </row>
    <row r="108" spans="44:45">
      <c r="AR108" s="106" t="s">
        <v>428</v>
      </c>
      <c r="AS108" s="99" t="s">
        <v>359</v>
      </c>
    </row>
    <row r="109" spans="44:45">
      <c r="AR109" s="106" t="s">
        <v>429</v>
      </c>
      <c r="AS109" s="99" t="s">
        <v>359</v>
      </c>
    </row>
    <row r="110" spans="44:45">
      <c r="AR110" s="106" t="s">
        <v>430</v>
      </c>
      <c r="AS110" s="99" t="s">
        <v>359</v>
      </c>
    </row>
    <row r="111" spans="44:45">
      <c r="AR111" s="106" t="s">
        <v>431</v>
      </c>
      <c r="AS111" s="99" t="s">
        <v>359</v>
      </c>
    </row>
    <row r="112" spans="44:45">
      <c r="AR112" s="106" t="s">
        <v>432</v>
      </c>
      <c r="AS112" s="99" t="s">
        <v>359</v>
      </c>
    </row>
    <row r="113" spans="44:45">
      <c r="AR113" s="106" t="s">
        <v>433</v>
      </c>
      <c r="AS113" s="99" t="s">
        <v>359</v>
      </c>
    </row>
    <row r="114" spans="44:45">
      <c r="AR114" s="106" t="s">
        <v>434</v>
      </c>
      <c r="AS114" s="99" t="s">
        <v>359</v>
      </c>
    </row>
    <row r="115" spans="44:45">
      <c r="AR115" s="106" t="s">
        <v>435</v>
      </c>
      <c r="AS115" s="99" t="s">
        <v>359</v>
      </c>
    </row>
    <row r="116" spans="44:45">
      <c r="AR116" s="106" t="s">
        <v>436</v>
      </c>
      <c r="AS116" s="99" t="s">
        <v>359</v>
      </c>
    </row>
    <row r="117" spans="44:45">
      <c r="AR117" s="106" t="s">
        <v>437</v>
      </c>
      <c r="AS117" s="99" t="s">
        <v>359</v>
      </c>
    </row>
    <row r="118" spans="44:45">
      <c r="AR118" s="106" t="s">
        <v>438</v>
      </c>
      <c r="AS118" s="99" t="s">
        <v>359</v>
      </c>
    </row>
    <row r="119" spans="44:45">
      <c r="AR119" s="106" t="s">
        <v>439</v>
      </c>
      <c r="AS119" s="99" t="s">
        <v>359</v>
      </c>
    </row>
    <row r="120" spans="44:45">
      <c r="AR120" s="106" t="s">
        <v>440</v>
      </c>
      <c r="AS120" s="99" t="s">
        <v>359</v>
      </c>
    </row>
    <row r="121" spans="44:45">
      <c r="AR121" s="116" t="s">
        <v>441</v>
      </c>
      <c r="AS121" s="105" t="s">
        <v>359</v>
      </c>
    </row>
    <row r="122" spans="44:45">
      <c r="AR122" s="106" t="s">
        <v>442</v>
      </c>
      <c r="AS122" s="99" t="s">
        <v>359</v>
      </c>
    </row>
    <row r="123" spans="44:45">
      <c r="AR123" s="106" t="s">
        <v>443</v>
      </c>
      <c r="AS123" s="99" t="s">
        <v>359</v>
      </c>
    </row>
    <row r="124" spans="44:45">
      <c r="AR124" s="106" t="s">
        <v>444</v>
      </c>
      <c r="AS124" s="99" t="s">
        <v>359</v>
      </c>
    </row>
    <row r="125" spans="44:45">
      <c r="AR125" s="106" t="s">
        <v>445</v>
      </c>
      <c r="AS125" s="99" t="s">
        <v>359</v>
      </c>
    </row>
    <row r="126" spans="44:45">
      <c r="AR126" s="106" t="s">
        <v>446</v>
      </c>
      <c r="AS126" s="99" t="s">
        <v>359</v>
      </c>
    </row>
    <row r="127" spans="44:45">
      <c r="AR127" s="106" t="s">
        <v>447</v>
      </c>
      <c r="AS127" s="99" t="s">
        <v>359</v>
      </c>
    </row>
    <row r="128" spans="44:45">
      <c r="AR128" s="106" t="s">
        <v>448</v>
      </c>
      <c r="AS128" s="99" t="s">
        <v>359</v>
      </c>
    </row>
    <row r="129" spans="44:45">
      <c r="AR129" s="106" t="s">
        <v>449</v>
      </c>
      <c r="AS129" s="99" t="s">
        <v>359</v>
      </c>
    </row>
    <row r="130" spans="44:45">
      <c r="AR130" s="106" t="s">
        <v>450</v>
      </c>
      <c r="AS130" s="99" t="s">
        <v>359</v>
      </c>
    </row>
    <row r="131" spans="44:45">
      <c r="AR131" s="106" t="s">
        <v>451</v>
      </c>
      <c r="AS131" s="99" t="s">
        <v>359</v>
      </c>
    </row>
    <row r="132" spans="44:45">
      <c r="AR132" s="106" t="s">
        <v>452</v>
      </c>
      <c r="AS132" s="99" t="s">
        <v>359</v>
      </c>
    </row>
    <row r="133" spans="44:45">
      <c r="AR133" s="106" t="s">
        <v>453</v>
      </c>
      <c r="AS133" s="99" t="s">
        <v>359</v>
      </c>
    </row>
    <row r="134" spans="44:45">
      <c r="AR134" s="106" t="s">
        <v>454</v>
      </c>
      <c r="AS134" s="99" t="s">
        <v>455</v>
      </c>
    </row>
    <row r="135" spans="44:45">
      <c r="AR135" s="106" t="s">
        <v>456</v>
      </c>
      <c r="AS135" s="99" t="s">
        <v>457</v>
      </c>
    </row>
    <row r="136" spans="44:45">
      <c r="AR136" s="106" t="s">
        <v>458</v>
      </c>
      <c r="AS136" s="99" t="s">
        <v>457</v>
      </c>
    </row>
    <row r="137" spans="44:45">
      <c r="AR137" s="106" t="s">
        <v>459</v>
      </c>
      <c r="AS137" s="99" t="s">
        <v>457</v>
      </c>
    </row>
    <row r="138" spans="44:45">
      <c r="AR138" s="106" t="s">
        <v>460</v>
      </c>
      <c r="AS138" s="99" t="s">
        <v>457</v>
      </c>
    </row>
    <row r="139" spans="44:45">
      <c r="AR139" s="106" t="s">
        <v>461</v>
      </c>
      <c r="AS139" s="99" t="s">
        <v>457</v>
      </c>
    </row>
    <row r="140" spans="44:45">
      <c r="AR140" s="106" t="s">
        <v>462</v>
      </c>
      <c r="AS140" s="99" t="s">
        <v>457</v>
      </c>
    </row>
    <row r="141" spans="44:45">
      <c r="AR141" s="106" t="s">
        <v>463</v>
      </c>
      <c r="AS141" s="99" t="s">
        <v>457</v>
      </c>
    </row>
    <row r="142" spans="44:45">
      <c r="AR142" s="106" t="s">
        <v>464</v>
      </c>
      <c r="AS142" s="99" t="s">
        <v>457</v>
      </c>
    </row>
    <row r="143" spans="44:45">
      <c r="AR143" s="106" t="s">
        <v>465</v>
      </c>
      <c r="AS143" s="99" t="s">
        <v>466</v>
      </c>
    </row>
    <row r="144" spans="44:45">
      <c r="AR144" s="116" t="s">
        <v>467</v>
      </c>
      <c r="AS144" s="105" t="s">
        <v>466</v>
      </c>
    </row>
    <row r="145" spans="44:45">
      <c r="AR145" s="106" t="s">
        <v>468</v>
      </c>
      <c r="AS145" s="99" t="s">
        <v>359</v>
      </c>
    </row>
    <row r="146" spans="44:45">
      <c r="AR146" s="106" t="s">
        <v>469</v>
      </c>
      <c r="AS146" s="99" t="s">
        <v>359</v>
      </c>
    </row>
    <row r="147" spans="44:45">
      <c r="AR147" s="106" t="s">
        <v>470</v>
      </c>
      <c r="AS147" s="99" t="s">
        <v>359</v>
      </c>
    </row>
    <row r="148" spans="44:45">
      <c r="AR148" s="106" t="s">
        <v>471</v>
      </c>
      <c r="AS148" s="99" t="s">
        <v>359</v>
      </c>
    </row>
    <row r="149" spans="44:45">
      <c r="AR149" s="106" t="s">
        <v>472</v>
      </c>
      <c r="AS149" s="99" t="s">
        <v>359</v>
      </c>
    </row>
    <row r="150" spans="44:45">
      <c r="AR150" s="106" t="s">
        <v>473</v>
      </c>
      <c r="AS150" s="99" t="s">
        <v>455</v>
      </c>
    </row>
    <row r="151" spans="44:45">
      <c r="AR151" s="106" t="s">
        <v>474</v>
      </c>
      <c r="AS151" s="99" t="s">
        <v>457</v>
      </c>
    </row>
    <row r="152" spans="44:45">
      <c r="AR152" s="106" t="s">
        <v>475</v>
      </c>
      <c r="AS152" s="99" t="s">
        <v>457</v>
      </c>
    </row>
    <row r="153" spans="44:45">
      <c r="AR153" s="106" t="s">
        <v>476</v>
      </c>
      <c r="AS153" s="99" t="s">
        <v>457</v>
      </c>
    </row>
    <row r="154" spans="44:45">
      <c r="AR154" s="106" t="s">
        <v>477</v>
      </c>
      <c r="AS154" s="99" t="s">
        <v>457</v>
      </c>
    </row>
    <row r="155" spans="44:45">
      <c r="AR155" s="106" t="s">
        <v>478</v>
      </c>
      <c r="AS155" s="99" t="s">
        <v>479</v>
      </c>
    </row>
    <row r="156" spans="44:45">
      <c r="AR156" s="106" t="s">
        <v>480</v>
      </c>
      <c r="AS156" s="99" t="s">
        <v>479</v>
      </c>
    </row>
    <row r="157" spans="44:45">
      <c r="AR157" s="106" t="s">
        <v>481</v>
      </c>
      <c r="AS157" s="99" t="s">
        <v>479</v>
      </c>
    </row>
    <row r="158" spans="44:45">
      <c r="AR158" s="106" t="s">
        <v>482</v>
      </c>
      <c r="AS158" s="99" t="s">
        <v>483</v>
      </c>
    </row>
    <row r="159" spans="44:45">
      <c r="AR159" s="106" t="s">
        <v>484</v>
      </c>
      <c r="AS159" s="99" t="s">
        <v>485</v>
      </c>
    </row>
    <row r="160" spans="44:45">
      <c r="AR160" s="116" t="s">
        <v>486</v>
      </c>
      <c r="AS160" s="105" t="s">
        <v>485</v>
      </c>
    </row>
    <row r="161" spans="44:45">
      <c r="AR161" s="106" t="s">
        <v>487</v>
      </c>
      <c r="AS161" s="99" t="s">
        <v>488</v>
      </c>
    </row>
    <row r="162" spans="44:45">
      <c r="AR162" s="106" t="s">
        <v>489</v>
      </c>
      <c r="AS162" s="99" t="s">
        <v>488</v>
      </c>
    </row>
    <row r="163" spans="44:45">
      <c r="AR163" s="106" t="s">
        <v>490</v>
      </c>
      <c r="AS163" s="99" t="s">
        <v>491</v>
      </c>
    </row>
    <row r="164" spans="44:45">
      <c r="AR164" s="106" t="s">
        <v>492</v>
      </c>
      <c r="AS164" s="99" t="s">
        <v>491</v>
      </c>
    </row>
    <row r="165" spans="44:45">
      <c r="AR165" s="106" t="s">
        <v>493</v>
      </c>
      <c r="AS165" s="99" t="s">
        <v>491</v>
      </c>
    </row>
    <row r="166" spans="44:45">
      <c r="AR166" s="106" t="s">
        <v>494</v>
      </c>
      <c r="AS166" s="99" t="s">
        <v>457</v>
      </c>
    </row>
    <row r="167" spans="44:45">
      <c r="AR167" s="106" t="s">
        <v>495</v>
      </c>
      <c r="AS167" s="99" t="s">
        <v>496</v>
      </c>
    </row>
    <row r="168" spans="44:45">
      <c r="AR168" s="106" t="s">
        <v>497</v>
      </c>
      <c r="AS168" s="99" t="s">
        <v>498</v>
      </c>
    </row>
    <row r="169" spans="44:45">
      <c r="AR169" s="106" t="s">
        <v>499</v>
      </c>
      <c r="AS169" s="99" t="s">
        <v>500</v>
      </c>
    </row>
    <row r="170" spans="44:45">
      <c r="AR170" s="106" t="s">
        <v>501</v>
      </c>
      <c r="AS170" s="99" t="s">
        <v>500</v>
      </c>
    </row>
    <row r="171" spans="44:45">
      <c r="AR171" s="106" t="s">
        <v>502</v>
      </c>
      <c r="AS171" s="99" t="s">
        <v>500</v>
      </c>
    </row>
    <row r="172" spans="44:45">
      <c r="AR172" s="106" t="s">
        <v>503</v>
      </c>
      <c r="AS172" s="99" t="s">
        <v>504</v>
      </c>
    </row>
    <row r="173" spans="44:45">
      <c r="AR173" s="106" t="s">
        <v>505</v>
      </c>
      <c r="AS173" s="99" t="s">
        <v>506</v>
      </c>
    </row>
    <row r="174" spans="44:45">
      <c r="AR174" s="106" t="s">
        <v>507</v>
      </c>
      <c r="AS174" s="99" t="s">
        <v>506</v>
      </c>
    </row>
    <row r="175" spans="44:45">
      <c r="AR175" s="106" t="s">
        <v>508</v>
      </c>
      <c r="AS175" s="99" t="s">
        <v>485</v>
      </c>
    </row>
    <row r="176" spans="44:45">
      <c r="AR176" s="106" t="s">
        <v>509</v>
      </c>
      <c r="AS176" s="99" t="s">
        <v>485</v>
      </c>
    </row>
    <row r="177" spans="44:45">
      <c r="AR177" s="106" t="s">
        <v>510</v>
      </c>
      <c r="AS177" s="99" t="s">
        <v>511</v>
      </c>
    </row>
    <row r="178" spans="44:45">
      <c r="AR178" s="106" t="s">
        <v>512</v>
      </c>
      <c r="AS178" s="99" t="s">
        <v>511</v>
      </c>
    </row>
    <row r="179" spans="44:45">
      <c r="AR179" s="116" t="s">
        <v>513</v>
      </c>
      <c r="AS179" s="105" t="s">
        <v>511</v>
      </c>
    </row>
    <row r="180" spans="44:45">
      <c r="AR180" s="106" t="s">
        <v>514</v>
      </c>
      <c r="AS180" s="99" t="s">
        <v>491</v>
      </c>
    </row>
    <row r="181" spans="44:45">
      <c r="AR181" s="106" t="s">
        <v>515</v>
      </c>
      <c r="AS181" s="99" t="s">
        <v>491</v>
      </c>
    </row>
    <row r="182" spans="44:45">
      <c r="AR182" s="106" t="s">
        <v>516</v>
      </c>
      <c r="AS182" s="99" t="s">
        <v>491</v>
      </c>
    </row>
    <row r="183" spans="44:45">
      <c r="AR183" s="106" t="s">
        <v>517</v>
      </c>
      <c r="AS183" s="99" t="s">
        <v>457</v>
      </c>
    </row>
    <row r="184" spans="44:45">
      <c r="AR184" s="106" t="s">
        <v>518</v>
      </c>
      <c r="AS184" s="99" t="s">
        <v>457</v>
      </c>
    </row>
    <row r="185" spans="44:45">
      <c r="AR185" s="106" t="s">
        <v>519</v>
      </c>
      <c r="AS185" s="99" t="s">
        <v>520</v>
      </c>
    </row>
    <row r="186" spans="44:45">
      <c r="AR186" s="106" t="s">
        <v>521</v>
      </c>
      <c r="AS186" s="99" t="s">
        <v>520</v>
      </c>
    </row>
    <row r="187" spans="44:45">
      <c r="AR187" s="106" t="s">
        <v>522</v>
      </c>
      <c r="AS187" s="99" t="s">
        <v>466</v>
      </c>
    </row>
    <row r="188" spans="44:45">
      <c r="AR188" s="106" t="s">
        <v>523</v>
      </c>
      <c r="AS188" s="99" t="s">
        <v>466</v>
      </c>
    </row>
    <row r="189" spans="44:45">
      <c r="AR189" s="106" t="s">
        <v>524</v>
      </c>
      <c r="AS189" s="99" t="s">
        <v>466</v>
      </c>
    </row>
    <row r="190" spans="44:45">
      <c r="AR190" s="106" t="s">
        <v>525</v>
      </c>
      <c r="AS190" s="99" t="s">
        <v>526</v>
      </c>
    </row>
    <row r="191" spans="44:45">
      <c r="AR191" s="106" t="s">
        <v>527</v>
      </c>
      <c r="AS191" s="99" t="s">
        <v>526</v>
      </c>
    </row>
    <row r="192" spans="44:45">
      <c r="AR192" s="106" t="s">
        <v>528</v>
      </c>
      <c r="AS192" s="99" t="s">
        <v>529</v>
      </c>
    </row>
    <row r="193" spans="44:45">
      <c r="AR193" s="106" t="s">
        <v>530</v>
      </c>
      <c r="AS193" s="99" t="s">
        <v>529</v>
      </c>
    </row>
    <row r="194" spans="44:45">
      <c r="AR194" s="106" t="s">
        <v>531</v>
      </c>
      <c r="AS194" s="99" t="s">
        <v>532</v>
      </c>
    </row>
    <row r="195" spans="44:45">
      <c r="AR195" s="106" t="s">
        <v>533</v>
      </c>
      <c r="AS195" s="99" t="s">
        <v>532</v>
      </c>
    </row>
    <row r="196" spans="44:45">
      <c r="AR196" s="106" t="s">
        <v>534</v>
      </c>
      <c r="AS196" s="99" t="s">
        <v>532</v>
      </c>
    </row>
    <row r="197" spans="44:45">
      <c r="AR197" s="106" t="s">
        <v>535</v>
      </c>
      <c r="AS197" s="99" t="s">
        <v>532</v>
      </c>
    </row>
    <row r="198" spans="44:45">
      <c r="AR198" s="106" t="s">
        <v>536</v>
      </c>
      <c r="AS198" s="99" t="s">
        <v>479</v>
      </c>
    </row>
    <row r="199" spans="44:45">
      <c r="AR199" s="106" t="s">
        <v>537</v>
      </c>
      <c r="AS199" s="99" t="s">
        <v>479</v>
      </c>
    </row>
    <row r="200" spans="44:45">
      <c r="AR200" s="106" t="s">
        <v>538</v>
      </c>
      <c r="AS200" s="99" t="s">
        <v>479</v>
      </c>
    </row>
    <row r="201" spans="44:45">
      <c r="AR201" s="116" t="s">
        <v>539</v>
      </c>
      <c r="AS201" s="105" t="s">
        <v>479</v>
      </c>
    </row>
    <row r="202" spans="44:45">
      <c r="AR202" s="106" t="s">
        <v>540</v>
      </c>
      <c r="AS202" s="99" t="s">
        <v>541</v>
      </c>
    </row>
    <row r="203" spans="44:45">
      <c r="AR203" s="106" t="s">
        <v>542</v>
      </c>
      <c r="AS203" s="99" t="s">
        <v>541</v>
      </c>
    </row>
    <row r="204" spans="44:45">
      <c r="AR204" s="106" t="s">
        <v>543</v>
      </c>
      <c r="AS204" s="99" t="s">
        <v>483</v>
      </c>
    </row>
    <row r="205" spans="44:45">
      <c r="AR205" s="106" t="s">
        <v>544</v>
      </c>
      <c r="AS205" s="99" t="s">
        <v>483</v>
      </c>
    </row>
    <row r="206" spans="44:45">
      <c r="AR206" s="106" t="s">
        <v>545</v>
      </c>
      <c r="AS206" s="99" t="s">
        <v>483</v>
      </c>
    </row>
    <row r="207" spans="44:45">
      <c r="AR207" s="106" t="s">
        <v>546</v>
      </c>
      <c r="AS207" s="99" t="s">
        <v>511</v>
      </c>
    </row>
    <row r="208" spans="44:45">
      <c r="AR208" s="106" t="s">
        <v>547</v>
      </c>
      <c r="AS208" s="99" t="s">
        <v>511</v>
      </c>
    </row>
    <row r="209" spans="44:45">
      <c r="AR209" s="106" t="s">
        <v>548</v>
      </c>
      <c r="AS209" s="99" t="s">
        <v>511</v>
      </c>
    </row>
    <row r="210" spans="44:45">
      <c r="AR210" s="106" t="s">
        <v>549</v>
      </c>
      <c r="AS210" s="99" t="s">
        <v>511</v>
      </c>
    </row>
    <row r="211" spans="44:45">
      <c r="AR211" s="106" t="s">
        <v>550</v>
      </c>
      <c r="AS211" s="99" t="s">
        <v>511</v>
      </c>
    </row>
    <row r="212" spans="44:45">
      <c r="AR212" s="106" t="s">
        <v>551</v>
      </c>
      <c r="AS212" s="99" t="s">
        <v>511</v>
      </c>
    </row>
    <row r="213" spans="44:45">
      <c r="AR213" s="106" t="s">
        <v>552</v>
      </c>
      <c r="AS213" s="99" t="s">
        <v>511</v>
      </c>
    </row>
    <row r="214" spans="44:45">
      <c r="AR214" s="106" t="s">
        <v>553</v>
      </c>
      <c r="AS214" s="99" t="s">
        <v>511</v>
      </c>
    </row>
    <row r="215" spans="44:45">
      <c r="AR215" s="106" t="s">
        <v>554</v>
      </c>
      <c r="AS215" s="99" t="s">
        <v>511</v>
      </c>
    </row>
    <row r="216" spans="44:45">
      <c r="AR216" s="106" t="s">
        <v>555</v>
      </c>
      <c r="AS216" s="99" t="s">
        <v>483</v>
      </c>
    </row>
    <row r="217" spans="44:45">
      <c r="AR217" s="106" t="s">
        <v>556</v>
      </c>
      <c r="AS217" s="99" t="s">
        <v>483</v>
      </c>
    </row>
    <row r="218" spans="44:45">
      <c r="AR218" s="106" t="s">
        <v>557</v>
      </c>
      <c r="AS218" s="99" t="s">
        <v>483</v>
      </c>
    </row>
    <row r="219" spans="44:45">
      <c r="AR219" s="106" t="s">
        <v>558</v>
      </c>
      <c r="AS219" s="99" t="s">
        <v>483</v>
      </c>
    </row>
    <row r="220" spans="44:45">
      <c r="AR220" s="106" t="s">
        <v>559</v>
      </c>
      <c r="AS220" s="99" t="s">
        <v>483</v>
      </c>
    </row>
    <row r="221" spans="44:45">
      <c r="AR221" s="106" t="s">
        <v>560</v>
      </c>
      <c r="AS221" s="99" t="s">
        <v>483</v>
      </c>
    </row>
    <row r="222" spans="44:45">
      <c r="AR222" s="106" t="s">
        <v>574</v>
      </c>
      <c r="AS222" s="99" t="s">
        <v>483</v>
      </c>
    </row>
    <row r="223" spans="44:45">
      <c r="AR223" s="106" t="s">
        <v>575</v>
      </c>
      <c r="AS223" s="99" t="s">
        <v>576</v>
      </c>
    </row>
    <row r="224" spans="44:45" ht="13.5" thickBot="1">
      <c r="AR224" s="145" t="s">
        <v>577</v>
      </c>
      <c r="AS224" s="100" t="s">
        <v>578</v>
      </c>
    </row>
  </sheetData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List Box 2">
              <controlPr locked="0" defaultSize="0" autoFill="0" autoLine="0" autoPict="0">
                <anchor moveWithCells="1">
                  <from>
                    <xdr:col>14</xdr:col>
                    <xdr:colOff>19050</xdr:colOff>
                    <xdr:row>4</xdr:row>
                    <xdr:rowOff>95250</xdr:rowOff>
                  </from>
                  <to>
                    <xdr:col>15</xdr:col>
                    <xdr:colOff>95250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List Box 5">
              <controlPr locked="0" defaultSize="0" autoFill="0" autoLine="0" autoPict="0">
                <anchor moveWithCells="1">
                  <from>
                    <xdr:col>16</xdr:col>
                    <xdr:colOff>19050</xdr:colOff>
                    <xdr:row>4</xdr:row>
                    <xdr:rowOff>114300</xdr:rowOff>
                  </from>
                  <to>
                    <xdr:col>17</xdr:col>
                    <xdr:colOff>209550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List Box 6">
              <controlPr locked="0" defaultSize="0" autoFill="0" autoLine="0" autoPict="0">
                <anchor moveWithCells="1">
                  <from>
                    <xdr:col>18</xdr:col>
                    <xdr:colOff>142875</xdr:colOff>
                    <xdr:row>4</xdr:row>
                    <xdr:rowOff>95250</xdr:rowOff>
                  </from>
                  <to>
                    <xdr:col>19</xdr:col>
                    <xdr:colOff>304800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15"/>
  <dimension ref="B1:W25"/>
  <sheetViews>
    <sheetView workbookViewId="0">
      <selection activeCell="N1" sqref="N1"/>
    </sheetView>
  </sheetViews>
  <sheetFormatPr defaultRowHeight="12.75"/>
  <cols>
    <col min="1" max="1" width="1.7109375" customWidth="1"/>
    <col min="2" max="2" width="1.140625" customWidth="1"/>
    <col min="3" max="3" width="6.85546875" customWidth="1"/>
    <col min="4" max="4" width="4.42578125" customWidth="1"/>
    <col min="5" max="5" width="3.140625" customWidth="1"/>
    <col min="6" max="6" width="10" customWidth="1"/>
    <col min="7" max="7" width="3.7109375" customWidth="1"/>
    <col min="8" max="8" width="2.85546875" customWidth="1"/>
    <col min="9" max="9" width="6.28515625" customWidth="1"/>
    <col min="10" max="10" width="3.85546875" customWidth="1"/>
    <col min="11" max="11" width="1" customWidth="1"/>
    <col min="12" max="12" width="4.5703125" customWidth="1"/>
    <col min="13" max="13" width="1.140625" customWidth="1"/>
    <col min="14" max="14" width="7.42578125" customWidth="1"/>
    <col min="15" max="15" width="4.140625" customWidth="1"/>
    <col min="16" max="16" width="3.5703125" customWidth="1"/>
    <col min="17" max="17" width="8.42578125" customWidth="1"/>
    <col min="18" max="18" width="4" customWidth="1"/>
    <col min="19" max="19" width="3.5703125" customWidth="1"/>
    <col min="20" max="20" width="6.5703125" customWidth="1"/>
    <col min="21" max="21" width="3.85546875" customWidth="1"/>
    <col min="22" max="22" width="1.140625" customWidth="1"/>
    <col min="23" max="23" width="4.85546875" customWidth="1"/>
  </cols>
  <sheetData>
    <row r="1" spans="2:23" ht="21.75" customHeight="1" thickBot="1"/>
    <row r="2" spans="2:23" ht="11.25" customHeight="1">
      <c r="B2" s="234"/>
      <c r="C2" s="235"/>
      <c r="D2" s="235"/>
      <c r="E2" s="235"/>
      <c r="F2" s="706" t="s">
        <v>579</v>
      </c>
      <c r="G2" s="235"/>
      <c r="H2" s="235"/>
      <c r="I2" s="235"/>
      <c r="J2" s="235"/>
      <c r="K2" s="236"/>
      <c r="M2" s="223"/>
      <c r="N2" s="224"/>
      <c r="O2" s="224"/>
      <c r="P2" s="224"/>
      <c r="Q2" s="707" t="s">
        <v>580</v>
      </c>
      <c r="R2" s="224"/>
      <c r="S2" s="224"/>
      <c r="T2" s="224"/>
      <c r="U2" s="224"/>
      <c r="V2" s="226"/>
    </row>
    <row r="3" spans="2:23" ht="11.25" customHeight="1">
      <c r="B3" s="237"/>
      <c r="C3" s="211"/>
      <c r="D3" s="211"/>
      <c r="E3" s="211"/>
      <c r="F3" s="216" t="s">
        <v>581</v>
      </c>
      <c r="G3" s="211"/>
      <c r="H3" s="211"/>
      <c r="I3" s="211"/>
      <c r="J3" s="211"/>
      <c r="K3" s="238"/>
      <c r="M3" s="227"/>
      <c r="N3" s="217"/>
      <c r="O3" s="217"/>
      <c r="P3" s="217"/>
      <c r="Q3" s="222" t="s">
        <v>582</v>
      </c>
      <c r="R3" s="217"/>
      <c r="S3" s="217"/>
      <c r="T3" s="217"/>
      <c r="U3" s="217"/>
      <c r="V3" s="228"/>
    </row>
    <row r="4" spans="2:23" ht="6" customHeight="1" thickBot="1">
      <c r="B4" s="237"/>
      <c r="C4" s="211"/>
      <c r="D4" s="211"/>
      <c r="E4" s="211"/>
      <c r="F4" s="211"/>
      <c r="G4" s="211"/>
      <c r="H4" s="211"/>
      <c r="I4" s="211"/>
      <c r="J4" s="211"/>
      <c r="K4" s="238"/>
      <c r="M4" s="227"/>
      <c r="N4" s="217"/>
      <c r="O4" s="217"/>
      <c r="P4" s="217"/>
      <c r="Q4" s="217"/>
      <c r="R4" s="217"/>
      <c r="S4" s="217"/>
      <c r="T4" s="217"/>
      <c r="U4" s="217"/>
      <c r="V4" s="228"/>
    </row>
    <row r="5" spans="2:23" s="189" customFormat="1" ht="12" customHeight="1">
      <c r="B5" s="239"/>
      <c r="C5" s="187" t="s">
        <v>583</v>
      </c>
      <c r="D5" s="188"/>
      <c r="E5" s="212"/>
      <c r="F5" s="190" t="s">
        <v>584</v>
      </c>
      <c r="G5" s="191"/>
      <c r="H5" s="212"/>
      <c r="I5" s="192" t="s">
        <v>585</v>
      </c>
      <c r="J5" s="193"/>
      <c r="K5" s="240"/>
      <c r="M5" s="229"/>
      <c r="N5" s="187" t="s">
        <v>583</v>
      </c>
      <c r="O5" s="188"/>
      <c r="P5" s="218"/>
      <c r="Q5" s="190" t="s">
        <v>584</v>
      </c>
      <c r="R5" s="191"/>
      <c r="S5" s="218"/>
      <c r="T5" s="192" t="s">
        <v>585</v>
      </c>
      <c r="U5" s="193"/>
      <c r="V5" s="230"/>
      <c r="W5" s="244"/>
    </row>
    <row r="6" spans="2:23" s="189" customFormat="1" ht="10.5" customHeight="1" thickBot="1">
      <c r="B6" s="239"/>
      <c r="C6" s="194" t="s">
        <v>586</v>
      </c>
      <c r="D6" s="195"/>
      <c r="E6" s="212"/>
      <c r="F6" s="196" t="s">
        <v>587</v>
      </c>
      <c r="G6" s="197"/>
      <c r="H6" s="212"/>
      <c r="I6" s="198" t="s">
        <v>586</v>
      </c>
      <c r="J6" s="199"/>
      <c r="K6" s="240"/>
      <c r="M6" s="229"/>
      <c r="N6" s="194" t="s">
        <v>586</v>
      </c>
      <c r="O6" s="195"/>
      <c r="P6" s="218"/>
      <c r="Q6" s="196" t="s">
        <v>587</v>
      </c>
      <c r="R6" s="197"/>
      <c r="S6" s="218"/>
      <c r="T6" s="198" t="s">
        <v>586</v>
      </c>
      <c r="U6" s="199"/>
      <c r="V6" s="230"/>
    </row>
    <row r="7" spans="2:23">
      <c r="B7" s="237"/>
      <c r="C7" s="169"/>
      <c r="D7" s="173"/>
      <c r="E7" s="211"/>
      <c r="F7" s="174"/>
      <c r="G7" s="175"/>
      <c r="H7" s="211"/>
      <c r="I7" s="180"/>
      <c r="J7" s="181"/>
      <c r="K7" s="238"/>
      <c r="M7" s="227"/>
      <c r="N7" s="169"/>
      <c r="O7" s="173"/>
      <c r="P7" s="217"/>
      <c r="Q7" s="174"/>
      <c r="R7" s="175"/>
      <c r="S7" s="217"/>
      <c r="T7" s="180"/>
      <c r="U7" s="181"/>
      <c r="V7" s="228"/>
    </row>
    <row r="8" spans="2:23" ht="11.25" customHeight="1">
      <c r="B8" s="237"/>
      <c r="C8" s="169"/>
      <c r="D8" s="170"/>
      <c r="E8" s="211"/>
      <c r="F8" s="176"/>
      <c r="G8" s="177"/>
      <c r="H8" s="211"/>
      <c r="I8" s="182"/>
      <c r="J8" s="183"/>
      <c r="K8" s="238"/>
      <c r="M8" s="227"/>
      <c r="N8" s="169"/>
      <c r="O8" s="170"/>
      <c r="P8" s="217"/>
      <c r="Q8" s="176"/>
      <c r="R8" s="177"/>
      <c r="S8" s="217"/>
      <c r="T8" s="182"/>
      <c r="U8" s="183"/>
      <c r="V8" s="228"/>
    </row>
    <row r="9" spans="2:23" ht="10.5" customHeight="1">
      <c r="B9" s="237"/>
      <c r="C9" s="169"/>
      <c r="D9" s="170"/>
      <c r="E9" s="211"/>
      <c r="F9" s="176"/>
      <c r="G9" s="177"/>
      <c r="H9" s="211"/>
      <c r="I9" s="182"/>
      <c r="J9" s="183"/>
      <c r="K9" s="238"/>
      <c r="M9" s="227"/>
      <c r="N9" s="169"/>
      <c r="O9" s="170"/>
      <c r="P9" s="217"/>
      <c r="Q9" s="176"/>
      <c r="R9" s="177"/>
      <c r="S9" s="217"/>
      <c r="T9" s="182"/>
      <c r="U9" s="183"/>
      <c r="V9" s="228"/>
    </row>
    <row r="10" spans="2:23" ht="11.25" customHeight="1">
      <c r="B10" s="237"/>
      <c r="C10" s="169"/>
      <c r="D10" s="170"/>
      <c r="E10" s="211"/>
      <c r="F10" s="176"/>
      <c r="G10" s="177"/>
      <c r="H10" s="211"/>
      <c r="I10" s="182"/>
      <c r="J10" s="183"/>
      <c r="K10" s="238"/>
      <c r="M10" s="227"/>
      <c r="N10" s="169"/>
      <c r="O10" s="170"/>
      <c r="P10" s="217"/>
      <c r="Q10" s="176"/>
      <c r="R10" s="177"/>
      <c r="S10" s="217"/>
      <c r="T10" s="182"/>
      <c r="U10" s="183"/>
      <c r="V10" s="228"/>
    </row>
    <row r="11" spans="2:23" ht="10.5" customHeight="1">
      <c r="B11" s="237"/>
      <c r="C11" s="169"/>
      <c r="D11" s="170"/>
      <c r="E11" s="211"/>
      <c r="F11" s="176"/>
      <c r="G11" s="177"/>
      <c r="H11" s="211"/>
      <c r="I11" s="182"/>
      <c r="J11" s="183"/>
      <c r="K11" s="238"/>
      <c r="M11" s="227"/>
      <c r="N11" s="169"/>
      <c r="O11" s="170"/>
      <c r="P11" s="217"/>
      <c r="Q11" s="176"/>
      <c r="R11" s="177"/>
      <c r="S11" s="217"/>
      <c r="T11" s="182"/>
      <c r="U11" s="183"/>
      <c r="V11" s="228"/>
    </row>
    <row r="12" spans="2:23" ht="14.25" thickBot="1">
      <c r="B12" s="237"/>
      <c r="C12" s="169"/>
      <c r="D12" s="170"/>
      <c r="E12" s="211"/>
      <c r="F12" s="178">
        <f ca="1">Толстолистовая!Q2</f>
        <v>1400</v>
      </c>
      <c r="G12" s="179" t="s">
        <v>1545</v>
      </c>
      <c r="H12" s="211"/>
      <c r="I12" s="182"/>
      <c r="J12" s="183"/>
      <c r="K12" s="238"/>
      <c r="M12" s="227"/>
      <c r="N12" s="169"/>
      <c r="O12" s="170"/>
      <c r="P12" s="217"/>
      <c r="Q12" s="178">
        <f ca="1">Тонколистовая!D9</f>
        <v>1450</v>
      </c>
      <c r="R12" s="179" t="s">
        <v>1545</v>
      </c>
      <c r="S12" s="217"/>
      <c r="T12" s="182"/>
      <c r="U12" s="183"/>
      <c r="V12" s="228"/>
    </row>
    <row r="13" spans="2:23">
      <c r="B13" s="237"/>
      <c r="C13" s="169"/>
      <c r="D13" s="170"/>
      <c r="E13" s="211"/>
      <c r="F13" s="211"/>
      <c r="G13" s="211"/>
      <c r="H13" s="211"/>
      <c r="I13" s="182"/>
      <c r="J13" s="183"/>
      <c r="K13" s="238"/>
      <c r="M13" s="227"/>
      <c r="N13" s="169"/>
      <c r="O13" s="170"/>
      <c r="P13" s="217"/>
      <c r="Q13" s="217"/>
      <c r="R13" s="217"/>
      <c r="S13" s="217"/>
      <c r="T13" s="182"/>
      <c r="U13" s="183"/>
      <c r="V13" s="228"/>
    </row>
    <row r="14" spans="2:23" ht="9" customHeight="1">
      <c r="B14" s="237"/>
      <c r="C14" s="169"/>
      <c r="D14" s="170"/>
      <c r="E14" s="211"/>
      <c r="F14" s="211"/>
      <c r="G14" s="211"/>
      <c r="H14" s="211"/>
      <c r="I14" s="182"/>
      <c r="J14" s="183"/>
      <c r="K14" s="238"/>
      <c r="M14" s="227"/>
      <c r="N14" s="169"/>
      <c r="O14" s="170"/>
      <c r="P14" s="217"/>
      <c r="Q14" s="217"/>
      <c r="R14" s="217"/>
      <c r="S14" s="217"/>
      <c r="T14" s="182"/>
      <c r="U14" s="183"/>
      <c r="V14" s="228"/>
    </row>
    <row r="15" spans="2:23" ht="13.5" customHeight="1" thickBot="1">
      <c r="B15" s="237"/>
      <c r="C15" s="172">
        <f>Толстолистовая!O2</f>
        <v>55</v>
      </c>
      <c r="D15" s="171" t="s">
        <v>1545</v>
      </c>
      <c r="E15" s="211"/>
      <c r="F15" s="211"/>
      <c r="G15" s="211"/>
      <c r="H15" s="211"/>
      <c r="I15" s="184">
        <f ca="1">Толстолистовая!T2</f>
        <v>3500</v>
      </c>
      <c r="J15" s="185" t="s">
        <v>1545</v>
      </c>
      <c r="K15" s="238"/>
      <c r="M15" s="227"/>
      <c r="N15" s="172">
        <f>Тонколистовая!D8</f>
        <v>5</v>
      </c>
      <c r="O15" s="171" t="s">
        <v>1545</v>
      </c>
      <c r="P15" s="217"/>
      <c r="Q15" s="217"/>
      <c r="R15" s="217"/>
      <c r="S15" s="217"/>
      <c r="T15" s="184">
        <f ca="1">Тонколистовая!D10</f>
        <v>3500</v>
      </c>
      <c r="U15" s="185" t="s">
        <v>1545</v>
      </c>
      <c r="V15" s="228"/>
    </row>
    <row r="16" spans="2:23" ht="4.5" customHeight="1" thickBot="1">
      <c r="B16" s="237"/>
      <c r="C16" s="211"/>
      <c r="D16" s="211"/>
      <c r="E16" s="211"/>
      <c r="F16" s="211"/>
      <c r="G16" s="211"/>
      <c r="H16" s="211"/>
      <c r="I16" s="211"/>
      <c r="J16" s="211"/>
      <c r="K16" s="238"/>
      <c r="M16" s="227"/>
      <c r="N16" s="217"/>
      <c r="O16" s="217"/>
      <c r="P16" s="217"/>
      <c r="Q16" s="217"/>
      <c r="R16" s="217"/>
      <c r="S16" s="217"/>
      <c r="T16" s="217"/>
      <c r="U16" s="217"/>
      <c r="V16" s="228"/>
    </row>
    <row r="17" spans="2:22" s="189" customFormat="1" ht="12.95" customHeight="1">
      <c r="B17" s="239"/>
      <c r="C17" s="693"/>
      <c r="D17" s="694"/>
      <c r="E17" s="695" t="s">
        <v>588</v>
      </c>
      <c r="F17" s="703">
        <f ca="1">Толстолистовая!W2</f>
        <v>2115.5750000000003</v>
      </c>
      <c r="G17" s="700" t="s">
        <v>1483</v>
      </c>
      <c r="H17" s="212"/>
      <c r="I17" s="212"/>
      <c r="J17" s="212"/>
      <c r="K17" s="240"/>
      <c r="M17" s="229"/>
      <c r="N17" s="711"/>
      <c r="O17" s="712"/>
      <c r="P17" s="713" t="s">
        <v>588</v>
      </c>
      <c r="Q17" s="714">
        <f ca="1">Тонколистовая!D13</f>
        <v>199.2496832149279</v>
      </c>
      <c r="R17" s="715" t="s">
        <v>1483</v>
      </c>
      <c r="S17" s="218"/>
      <c r="T17" s="218"/>
      <c r="U17" s="218"/>
      <c r="V17" s="230"/>
    </row>
    <row r="18" spans="2:22" s="189" customFormat="1" ht="12.95" customHeight="1">
      <c r="B18" s="239"/>
      <c r="C18" s="696"/>
      <c r="D18" s="212"/>
      <c r="E18" s="692" t="s">
        <v>589</v>
      </c>
      <c r="F18" s="704">
        <f ca="1">Толстолистовая!AA2</f>
        <v>4.9000000000000004</v>
      </c>
      <c r="G18" s="701" t="s">
        <v>590</v>
      </c>
      <c r="H18" s="212"/>
      <c r="I18" s="212"/>
      <c r="J18" s="212"/>
      <c r="K18" s="240"/>
      <c r="M18" s="229"/>
      <c r="N18" s="229"/>
      <c r="O18" s="218"/>
      <c r="P18" s="716" t="s">
        <v>589</v>
      </c>
      <c r="Q18" s="717">
        <f ca="1">Тонколистовая!D14</f>
        <v>5.0750000000000002</v>
      </c>
      <c r="R18" s="718" t="s">
        <v>280</v>
      </c>
      <c r="S18" s="218"/>
      <c r="T18" s="218"/>
      <c r="U18" s="218"/>
      <c r="V18" s="230"/>
    </row>
    <row r="19" spans="2:22" s="189" customFormat="1" ht="12.95" customHeight="1" thickBot="1">
      <c r="B19" s="239"/>
      <c r="C19" s="697"/>
      <c r="D19" s="698"/>
      <c r="E19" s="699" t="s">
        <v>591</v>
      </c>
      <c r="F19" s="705">
        <f>Толстолистовая!W1</f>
        <v>431.75</v>
      </c>
      <c r="G19" s="702" t="s">
        <v>1483</v>
      </c>
      <c r="H19" s="212"/>
      <c r="I19" s="212"/>
      <c r="J19" s="212"/>
      <c r="K19" s="240"/>
      <c r="M19" s="229"/>
      <c r="N19" s="719"/>
      <c r="O19" s="314"/>
      <c r="P19" s="720" t="s">
        <v>592</v>
      </c>
      <c r="Q19" s="721">
        <f>Тонколистовая!D12</f>
        <v>39.261021323138493</v>
      </c>
      <c r="R19" s="722" t="s">
        <v>1483</v>
      </c>
      <c r="S19" s="218"/>
      <c r="T19" s="218"/>
      <c r="U19" s="218"/>
      <c r="V19" s="230"/>
    </row>
    <row r="20" spans="2:22" s="189" customFormat="1" ht="5.25" customHeight="1" thickBot="1">
      <c r="B20" s="239"/>
      <c r="C20" s="212"/>
      <c r="D20" s="212"/>
      <c r="E20" s="213"/>
      <c r="F20" s="214"/>
      <c r="G20" s="215"/>
      <c r="H20" s="212"/>
      <c r="I20" s="212"/>
      <c r="J20" s="212"/>
      <c r="K20" s="240"/>
      <c r="M20" s="229"/>
      <c r="N20" s="218"/>
      <c r="O20" s="218"/>
      <c r="P20" s="219"/>
      <c r="Q20" s="220"/>
      <c r="R20" s="221"/>
      <c r="S20" s="218"/>
      <c r="T20" s="218"/>
      <c r="U20" s="218"/>
      <c r="V20" s="230"/>
    </row>
    <row r="21" spans="2:22" s="189" customFormat="1" ht="12.95" customHeight="1">
      <c r="B21" s="239"/>
      <c r="C21" s="708"/>
      <c r="D21" s="695"/>
      <c r="E21" s="695" t="s">
        <v>593</v>
      </c>
      <c r="F21" s="1199">
        <v>12</v>
      </c>
      <c r="G21" s="700" t="s">
        <v>280</v>
      </c>
      <c r="H21" s="212"/>
      <c r="I21" s="212"/>
      <c r="J21" s="212"/>
      <c r="K21" s="240"/>
      <c r="M21" s="229"/>
      <c r="N21" s="723"/>
      <c r="O21" s="713"/>
      <c r="P21" s="713" t="s">
        <v>593</v>
      </c>
      <c r="Q21" s="1199"/>
      <c r="R21" s="715" t="s">
        <v>594</v>
      </c>
      <c r="S21" s="218"/>
      <c r="T21" s="218"/>
      <c r="U21" s="218"/>
      <c r="V21" s="230"/>
    </row>
    <row r="22" spans="2:22" s="189" customFormat="1" ht="12.95" customHeight="1">
      <c r="B22" s="239"/>
      <c r="C22" s="709"/>
      <c r="D22" s="692"/>
      <c r="E22" s="692" t="s">
        <v>595</v>
      </c>
      <c r="F22" s="704">
        <f>F19*F21</f>
        <v>5181</v>
      </c>
      <c r="G22" s="701" t="s">
        <v>1483</v>
      </c>
      <c r="H22" s="212"/>
      <c r="I22" s="212"/>
      <c r="J22" s="212"/>
      <c r="K22" s="240"/>
      <c r="M22" s="229"/>
      <c r="N22" s="724"/>
      <c r="O22" s="716"/>
      <c r="P22" s="716" t="s">
        <v>595</v>
      </c>
      <c r="Q22" s="717">
        <f>Q19*Q21</f>
        <v>0</v>
      </c>
      <c r="R22" s="718" t="s">
        <v>1483</v>
      </c>
      <c r="S22" s="218"/>
      <c r="T22" s="218"/>
      <c r="U22" s="218"/>
      <c r="V22" s="230"/>
    </row>
    <row r="23" spans="2:22" s="189" customFormat="1" ht="12.95" customHeight="1">
      <c r="B23" s="239"/>
      <c r="C23" s="709"/>
      <c r="D23" s="692"/>
      <c r="E23" s="692" t="s">
        <v>596</v>
      </c>
      <c r="F23" s="1200"/>
      <c r="G23" s="701" t="s">
        <v>1483</v>
      </c>
      <c r="H23" s="212"/>
      <c r="I23" s="212"/>
      <c r="J23" s="212"/>
      <c r="K23" s="240"/>
      <c r="M23" s="229"/>
      <c r="N23" s="724"/>
      <c r="O23" s="716"/>
      <c r="P23" s="716" t="s">
        <v>596</v>
      </c>
      <c r="Q23" s="1200"/>
      <c r="R23" s="718" t="s">
        <v>1483</v>
      </c>
      <c r="S23" s="218"/>
      <c r="T23" s="218"/>
      <c r="U23" s="218"/>
      <c r="V23" s="230"/>
    </row>
    <row r="24" spans="2:22" s="189" customFormat="1" ht="13.5" customHeight="1" thickBot="1">
      <c r="B24" s="239"/>
      <c r="C24" s="710"/>
      <c r="D24" s="699"/>
      <c r="E24" s="699" t="s">
        <v>597</v>
      </c>
      <c r="F24" s="705">
        <f>F23/F19</f>
        <v>0</v>
      </c>
      <c r="G24" s="702" t="s">
        <v>280</v>
      </c>
      <c r="H24" s="212"/>
      <c r="I24" s="212"/>
      <c r="J24" s="212"/>
      <c r="K24" s="240"/>
      <c r="M24" s="229"/>
      <c r="N24" s="725"/>
      <c r="O24" s="720"/>
      <c r="P24" s="720" t="s">
        <v>597</v>
      </c>
      <c r="Q24" s="721">
        <f>Q23/Q19</f>
        <v>0</v>
      </c>
      <c r="R24" s="722" t="s">
        <v>594</v>
      </c>
      <c r="S24" s="218"/>
      <c r="T24" s="218"/>
      <c r="U24" s="218"/>
      <c r="V24" s="230"/>
    </row>
    <row r="25" spans="2:22" ht="5.25" customHeight="1" thickBot="1">
      <c r="B25" s="241"/>
      <c r="C25" s="242"/>
      <c r="D25" s="242"/>
      <c r="E25" s="242"/>
      <c r="F25" s="242"/>
      <c r="G25" s="242"/>
      <c r="H25" s="242"/>
      <c r="I25" s="242"/>
      <c r="J25" s="242"/>
      <c r="K25" s="243"/>
      <c r="M25" s="231"/>
      <c r="N25" s="232"/>
      <c r="O25" s="232"/>
      <c r="P25" s="232"/>
      <c r="Q25" s="232"/>
      <c r="R25" s="232"/>
      <c r="S25" s="232"/>
      <c r="T25" s="232"/>
      <c r="U25" s="232"/>
      <c r="V25" s="233"/>
    </row>
  </sheetData>
  <pageMargins left="0.47" right="0.36" top="1" bottom="1" header="0.5" footer="0.5"/>
  <pageSetup paperSize="9" orientation="portrait" horizontalDpi="300" verticalDpi="0" copies="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4" r:id="rId4" name="List Box 26">
              <controlPr defaultSize="0" print="0" autoFill="0" autoLine="0" autoPict="0">
                <anchor>
                  <from>
                    <xdr:col>2</xdr:col>
                    <xdr:colOff>85725</xdr:colOff>
                    <xdr:row>6</xdr:row>
                    <xdr:rowOff>19050</xdr:rowOff>
                  </from>
                  <to>
                    <xdr:col>3</xdr:col>
                    <xdr:colOff>133350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5" name="List Box 27">
              <controlPr defaultSize="0" print="0" autoFill="0" autoLine="0" autoPict="0">
                <anchor>
                  <from>
                    <xdr:col>5</xdr:col>
                    <xdr:colOff>47625</xdr:colOff>
                    <xdr:row>6</xdr:row>
                    <xdr:rowOff>47625</xdr:rowOff>
                  </from>
                  <to>
                    <xdr:col>6</xdr:col>
                    <xdr:colOff>142875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6" name="List Box 28">
              <controlPr defaultSize="0" print="0" autoFill="0" autoLine="0" autoPict="0">
                <anchor>
                  <from>
                    <xdr:col>8</xdr:col>
                    <xdr:colOff>57150</xdr:colOff>
                    <xdr:row>6</xdr:row>
                    <xdr:rowOff>9525</xdr:rowOff>
                  </from>
                  <to>
                    <xdr:col>9</xdr:col>
                    <xdr:colOff>152400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7" name="List Box 29">
              <controlPr defaultSize="0" print="0" autoFill="0" autoLine="0" autoPict="0">
                <anchor>
                  <from>
                    <xdr:col>13</xdr:col>
                    <xdr:colOff>85725</xdr:colOff>
                    <xdr:row>6</xdr:row>
                    <xdr:rowOff>19050</xdr:rowOff>
                  </from>
                  <to>
                    <xdr:col>14</xdr:col>
                    <xdr:colOff>95250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8" name="List Box 30">
              <controlPr defaultSize="0" print="0" autoFill="0" autoLine="0" autoPict="0">
                <anchor>
                  <from>
                    <xdr:col>16</xdr:col>
                    <xdr:colOff>19050</xdr:colOff>
                    <xdr:row>6</xdr:row>
                    <xdr:rowOff>66675</xdr:rowOff>
                  </from>
                  <to>
                    <xdr:col>17</xdr:col>
                    <xdr:colOff>200025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9" name="List Box 31">
              <controlPr defaultSize="0" print="0" autoFill="0" autoLine="0" autoPict="0">
                <anchor>
                  <from>
                    <xdr:col>19</xdr:col>
                    <xdr:colOff>57150</xdr:colOff>
                    <xdr:row>6</xdr:row>
                    <xdr:rowOff>9525</xdr:rowOff>
                  </from>
                  <to>
                    <xdr:col>20</xdr:col>
                    <xdr:colOff>133350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10" name="Button 36">
              <controlPr defaultSize="0" print="0" autoFill="0" autoLine="0" autoPict="0" macro="[0]!Вначало">
                <anchor moveWithCells="1">
                  <from>
                    <xdr:col>7</xdr:col>
                    <xdr:colOff>142875</xdr:colOff>
                    <xdr:row>0</xdr:row>
                    <xdr:rowOff>57150</xdr:rowOff>
                  </from>
                  <to>
                    <xdr:col>16</xdr:col>
                    <xdr:colOff>285750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16"/>
  <dimension ref="C2:AN206"/>
  <sheetViews>
    <sheetView workbookViewId="0"/>
  </sheetViews>
  <sheetFormatPr defaultRowHeight="12.75"/>
  <cols>
    <col min="1" max="1" width="4.42578125" customWidth="1"/>
    <col min="2" max="2" width="4.5703125" customWidth="1"/>
    <col min="3" max="3" width="6.28515625" customWidth="1"/>
    <col min="4" max="4" width="7.85546875" style="186" customWidth="1"/>
    <col min="5" max="5" width="4.7109375" customWidth="1"/>
    <col min="6" max="6" width="4.5703125" customWidth="1"/>
    <col min="7" max="7" width="8.7109375" customWidth="1"/>
    <col min="8" max="32" width="5" customWidth="1"/>
    <col min="33" max="37" width="6.5703125" customWidth="1"/>
    <col min="39" max="39" width="4.7109375" customWidth="1"/>
    <col min="40" max="40" width="7" customWidth="1"/>
    <col min="41" max="41" width="9" customWidth="1"/>
    <col min="42" max="42" width="2.85546875" customWidth="1"/>
    <col min="45" max="45" width="3.28515625" customWidth="1"/>
  </cols>
  <sheetData>
    <row r="2" spans="3:40"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</row>
    <row r="3" spans="3:40">
      <c r="C3" s="34"/>
      <c r="D3" s="201"/>
      <c r="G3" s="200" t="s">
        <v>598</v>
      </c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N3" s="72"/>
    </row>
    <row r="4" spans="3:40" ht="13.5" thickBot="1">
      <c r="C4" s="34"/>
      <c r="D4" s="202"/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Q4">
        <v>11</v>
      </c>
      <c r="R4">
        <v>12</v>
      </c>
      <c r="S4">
        <v>13</v>
      </c>
      <c r="T4">
        <v>14</v>
      </c>
      <c r="U4">
        <v>15</v>
      </c>
      <c r="V4">
        <v>16</v>
      </c>
      <c r="W4">
        <v>17</v>
      </c>
      <c r="X4">
        <v>18</v>
      </c>
      <c r="Y4">
        <v>19</v>
      </c>
      <c r="Z4">
        <v>20</v>
      </c>
      <c r="AA4">
        <v>21</v>
      </c>
      <c r="AB4">
        <v>22</v>
      </c>
      <c r="AC4">
        <v>23</v>
      </c>
      <c r="AD4">
        <v>24</v>
      </c>
      <c r="AE4">
        <v>25</v>
      </c>
      <c r="AF4">
        <v>26</v>
      </c>
      <c r="AN4" s="69"/>
    </row>
    <row r="5" spans="3:40">
      <c r="C5" s="34"/>
      <c r="D5" s="83"/>
      <c r="F5">
        <v>1</v>
      </c>
      <c r="G5" s="143">
        <v>500</v>
      </c>
      <c r="H5" s="150">
        <v>550</v>
      </c>
      <c r="I5" s="150">
        <v>600</v>
      </c>
      <c r="J5" s="150">
        <v>650</v>
      </c>
      <c r="K5" s="150">
        <v>700</v>
      </c>
      <c r="L5" s="150">
        <v>750</v>
      </c>
      <c r="M5" s="150">
        <v>800</v>
      </c>
      <c r="N5" s="150">
        <v>850</v>
      </c>
      <c r="O5" s="150">
        <v>900</v>
      </c>
      <c r="P5" s="150">
        <v>950</v>
      </c>
      <c r="Q5" s="150">
        <v>1000</v>
      </c>
      <c r="R5" s="150">
        <v>1100</v>
      </c>
      <c r="S5" s="150">
        <v>1200</v>
      </c>
      <c r="T5" s="150">
        <v>1250</v>
      </c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44"/>
    </row>
    <row r="6" spans="3:40" ht="13.5" thickBot="1">
      <c r="C6" s="34"/>
      <c r="D6" s="83"/>
      <c r="F6">
        <v>2</v>
      </c>
      <c r="G6" s="106">
        <v>500</v>
      </c>
      <c r="H6" s="34">
        <v>550</v>
      </c>
      <c r="I6" s="34">
        <v>600</v>
      </c>
      <c r="J6" s="34">
        <v>650</v>
      </c>
      <c r="K6" s="34">
        <v>700</v>
      </c>
      <c r="L6" s="34">
        <v>750</v>
      </c>
      <c r="M6" s="34">
        <v>800</v>
      </c>
      <c r="N6" s="34">
        <v>850</v>
      </c>
      <c r="O6" s="34">
        <v>900</v>
      </c>
      <c r="P6" s="34">
        <v>950</v>
      </c>
      <c r="Q6" s="34">
        <v>1000</v>
      </c>
      <c r="R6" s="34">
        <v>1100</v>
      </c>
      <c r="S6" s="34">
        <v>1200</v>
      </c>
      <c r="T6" s="34">
        <v>1250</v>
      </c>
      <c r="U6" s="34">
        <v>1400</v>
      </c>
      <c r="V6" s="34">
        <v>1450</v>
      </c>
      <c r="W6" s="34">
        <v>1500</v>
      </c>
      <c r="X6" s="34"/>
      <c r="Y6" s="34"/>
      <c r="Z6" s="34"/>
      <c r="AA6" s="34"/>
      <c r="AB6" s="34"/>
      <c r="AC6" s="34"/>
      <c r="AD6" s="34"/>
      <c r="AE6" s="34"/>
      <c r="AF6" s="99"/>
    </row>
    <row r="7" spans="3:40" ht="14.25">
      <c r="C7" s="207" t="s">
        <v>599</v>
      </c>
      <c r="D7" s="163">
        <f>0.78522042646277*10000</f>
        <v>7852.2042646277005</v>
      </c>
      <c r="E7" t="s">
        <v>600</v>
      </c>
      <c r="F7">
        <v>3</v>
      </c>
      <c r="G7" s="106">
        <v>500</v>
      </c>
      <c r="H7" s="34">
        <v>550</v>
      </c>
      <c r="I7" s="34">
        <v>600</v>
      </c>
      <c r="J7" s="34">
        <v>650</v>
      </c>
      <c r="K7" s="34">
        <v>700</v>
      </c>
      <c r="L7" s="34">
        <v>750</v>
      </c>
      <c r="M7" s="34">
        <v>800</v>
      </c>
      <c r="N7" s="34">
        <v>850</v>
      </c>
      <c r="O7" s="34">
        <v>900</v>
      </c>
      <c r="P7" s="34">
        <v>950</v>
      </c>
      <c r="Q7" s="34">
        <v>1000</v>
      </c>
      <c r="R7" s="34">
        <v>1100</v>
      </c>
      <c r="S7" s="34">
        <v>1200</v>
      </c>
      <c r="T7" s="34">
        <v>1250</v>
      </c>
      <c r="U7" s="34">
        <v>1400</v>
      </c>
      <c r="V7" s="34">
        <v>1450</v>
      </c>
      <c r="W7" s="34">
        <v>1500</v>
      </c>
      <c r="X7" s="34">
        <v>1600</v>
      </c>
      <c r="Y7" s="34"/>
      <c r="Z7" s="34"/>
      <c r="AA7" s="34"/>
      <c r="AB7" s="34"/>
      <c r="AC7" s="34"/>
      <c r="AD7" s="34"/>
      <c r="AE7" s="34"/>
      <c r="AF7" s="99"/>
    </row>
    <row r="8" spans="3:40">
      <c r="C8" s="207" t="s">
        <v>284</v>
      </c>
      <c r="D8" s="208">
        <f t="array" ref="D8">VLOOKUP(F14,E16:F49,2,FALSE)</f>
        <v>5</v>
      </c>
      <c r="E8" t="s">
        <v>1545</v>
      </c>
      <c r="F8">
        <v>4</v>
      </c>
      <c r="G8" s="106">
        <v>500</v>
      </c>
      <c r="H8" s="34">
        <v>550</v>
      </c>
      <c r="I8" s="34">
        <v>600</v>
      </c>
      <c r="J8" s="34">
        <v>650</v>
      </c>
      <c r="K8" s="34">
        <v>700</v>
      </c>
      <c r="L8" s="34">
        <v>750</v>
      </c>
      <c r="M8" s="34">
        <v>800</v>
      </c>
      <c r="N8" s="34">
        <v>850</v>
      </c>
      <c r="O8" s="34">
        <v>900</v>
      </c>
      <c r="P8" s="34">
        <v>950</v>
      </c>
      <c r="Q8" s="34">
        <v>1000</v>
      </c>
      <c r="R8" s="34">
        <v>1100</v>
      </c>
      <c r="S8" s="34">
        <v>1200</v>
      </c>
      <c r="T8" s="34">
        <v>1250</v>
      </c>
      <c r="U8" s="34">
        <v>1400</v>
      </c>
      <c r="V8" s="34">
        <v>1450</v>
      </c>
      <c r="W8" s="34">
        <v>1500</v>
      </c>
      <c r="X8" s="34">
        <v>1600</v>
      </c>
      <c r="Y8" s="34">
        <v>1700</v>
      </c>
      <c r="Z8" s="34"/>
      <c r="AA8" s="34"/>
      <c r="AB8" s="34"/>
      <c r="AC8" s="34"/>
      <c r="AD8" s="34"/>
      <c r="AE8" s="34"/>
      <c r="AF8" s="99"/>
    </row>
    <row r="9" spans="3:40">
      <c r="C9" s="207" t="s">
        <v>598</v>
      </c>
      <c r="D9" s="209">
        <f t="array" aca="1" ref="D9" ca="1">VLOOKUP(J14,I16:J42,2,FALSE)</f>
        <v>1450</v>
      </c>
      <c r="E9" t="s">
        <v>1545</v>
      </c>
      <c r="F9">
        <v>5</v>
      </c>
      <c r="G9" s="106">
        <v>500</v>
      </c>
      <c r="H9" s="34">
        <v>550</v>
      </c>
      <c r="I9" s="34">
        <v>600</v>
      </c>
      <c r="J9" s="34">
        <v>650</v>
      </c>
      <c r="K9" s="34">
        <v>700</v>
      </c>
      <c r="L9" s="34">
        <v>750</v>
      </c>
      <c r="M9" s="34">
        <v>800</v>
      </c>
      <c r="N9" s="34">
        <v>850</v>
      </c>
      <c r="O9" s="34">
        <v>900</v>
      </c>
      <c r="P9" s="34">
        <v>950</v>
      </c>
      <c r="Q9" s="34">
        <v>1000</v>
      </c>
      <c r="R9" s="34">
        <v>1100</v>
      </c>
      <c r="S9" s="34">
        <v>1200</v>
      </c>
      <c r="T9" s="34">
        <v>1250</v>
      </c>
      <c r="U9" s="34">
        <v>1400</v>
      </c>
      <c r="V9" s="34">
        <v>1450</v>
      </c>
      <c r="W9" s="34">
        <v>1500</v>
      </c>
      <c r="X9" s="34">
        <v>1600</v>
      </c>
      <c r="Y9" s="34">
        <v>1700</v>
      </c>
      <c r="Z9" s="34">
        <v>1800</v>
      </c>
      <c r="AA9" s="34"/>
      <c r="AB9" s="34"/>
      <c r="AC9" s="34"/>
      <c r="AD9" s="34"/>
      <c r="AE9" s="34"/>
      <c r="AF9" s="99"/>
    </row>
    <row r="10" spans="3:40" ht="13.5" thickBot="1">
      <c r="C10" s="34" t="s">
        <v>601</v>
      </c>
      <c r="D10" s="210">
        <f t="array" aca="1" ref="D10" ca="1">VLOOKUP(AH14,AG16:AH29,2,FALSE)</f>
        <v>3500</v>
      </c>
      <c r="E10" t="s">
        <v>1545</v>
      </c>
      <c r="F10">
        <v>6</v>
      </c>
      <c r="G10" s="106">
        <v>500</v>
      </c>
      <c r="H10" s="34">
        <v>550</v>
      </c>
      <c r="I10" s="34">
        <v>600</v>
      </c>
      <c r="J10" s="34">
        <v>650</v>
      </c>
      <c r="K10" s="34">
        <v>700</v>
      </c>
      <c r="L10" s="34">
        <v>750</v>
      </c>
      <c r="M10" s="34">
        <v>800</v>
      </c>
      <c r="N10" s="34">
        <v>850</v>
      </c>
      <c r="O10" s="34">
        <v>900</v>
      </c>
      <c r="P10" s="34">
        <v>950</v>
      </c>
      <c r="Q10" s="34">
        <v>1000</v>
      </c>
      <c r="R10" s="34">
        <v>1100</v>
      </c>
      <c r="S10" s="34">
        <v>1200</v>
      </c>
      <c r="T10" s="34">
        <v>1250</v>
      </c>
      <c r="U10" s="34">
        <v>1400</v>
      </c>
      <c r="V10" s="34">
        <v>1450</v>
      </c>
      <c r="W10" s="34">
        <v>1500</v>
      </c>
      <c r="X10" s="34">
        <v>1600</v>
      </c>
      <c r="Y10" s="34">
        <v>1700</v>
      </c>
      <c r="Z10" s="34">
        <v>1800</v>
      </c>
      <c r="AA10" s="34">
        <v>1900</v>
      </c>
      <c r="AB10" s="34">
        <v>2000</v>
      </c>
      <c r="AC10" s="34">
        <v>2100</v>
      </c>
      <c r="AD10" s="34">
        <v>2200</v>
      </c>
      <c r="AE10" s="34">
        <v>2300</v>
      </c>
      <c r="AF10" s="99"/>
    </row>
    <row r="11" spans="3:40">
      <c r="C11" s="34"/>
      <c r="D11" s="83"/>
      <c r="F11">
        <v>7</v>
      </c>
      <c r="G11" s="106">
        <v>500</v>
      </c>
      <c r="H11" s="34">
        <v>550</v>
      </c>
      <c r="I11" s="34">
        <v>600</v>
      </c>
      <c r="J11" s="34">
        <v>650</v>
      </c>
      <c r="K11" s="34">
        <v>700</v>
      </c>
      <c r="L11" s="34">
        <v>750</v>
      </c>
      <c r="M11" s="34">
        <v>800</v>
      </c>
      <c r="N11" s="34">
        <v>850</v>
      </c>
      <c r="O11" s="34">
        <v>900</v>
      </c>
      <c r="P11" s="34">
        <v>950</v>
      </c>
      <c r="Q11" s="34">
        <v>1000</v>
      </c>
      <c r="R11" s="34">
        <v>1100</v>
      </c>
      <c r="S11" s="34">
        <v>1200</v>
      </c>
      <c r="T11" s="34">
        <v>1250</v>
      </c>
      <c r="U11" s="34">
        <v>1400</v>
      </c>
      <c r="V11" s="34">
        <v>1450</v>
      </c>
      <c r="W11" s="34">
        <v>1500</v>
      </c>
      <c r="X11" s="34">
        <v>1600</v>
      </c>
      <c r="Y11" s="34">
        <v>1700</v>
      </c>
      <c r="Z11" s="34">
        <v>1800</v>
      </c>
      <c r="AA11" s="34">
        <v>1900</v>
      </c>
      <c r="AB11" s="34">
        <v>2000</v>
      </c>
      <c r="AC11" s="34">
        <v>2100</v>
      </c>
      <c r="AD11" s="34">
        <v>2200</v>
      </c>
      <c r="AE11" s="34">
        <v>2300</v>
      </c>
      <c r="AF11" s="99">
        <v>2350</v>
      </c>
    </row>
    <row r="12" spans="3:40" ht="15" thickBot="1">
      <c r="C12" s="207" t="s">
        <v>602</v>
      </c>
      <c r="D12" s="83">
        <f>D7*D8*1000*1000/1000^3</f>
        <v>39.261021323138493</v>
      </c>
      <c r="E12" t="s">
        <v>1483</v>
      </c>
      <c r="F12">
        <v>8</v>
      </c>
      <c r="G12" s="145">
        <v>1250</v>
      </c>
      <c r="H12" s="151">
        <v>1400</v>
      </c>
      <c r="I12" s="151">
        <v>1450</v>
      </c>
      <c r="J12" s="151">
        <v>1500</v>
      </c>
      <c r="K12" s="151">
        <v>1600</v>
      </c>
      <c r="L12" s="151">
        <v>1700</v>
      </c>
      <c r="M12" s="151">
        <v>1800</v>
      </c>
      <c r="N12" s="151">
        <v>1900</v>
      </c>
      <c r="O12" s="151">
        <v>2000</v>
      </c>
      <c r="P12" s="151">
        <v>2100</v>
      </c>
      <c r="Q12" s="151">
        <v>2200</v>
      </c>
      <c r="R12" s="151">
        <v>2300</v>
      </c>
      <c r="S12" s="151">
        <v>2350</v>
      </c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00"/>
    </row>
    <row r="13" spans="3:40" ht="13.5" thickBot="1">
      <c r="C13" s="207" t="s">
        <v>603</v>
      </c>
      <c r="D13" s="83">
        <f ca="1">D8*D9*D10/1000^3*D7</f>
        <v>199.2496832149279</v>
      </c>
      <c r="E13" t="s">
        <v>1483</v>
      </c>
      <c r="G13" s="147" t="str">
        <f>VLOOKUP(F14,E16:H49,4,FALSE)</f>
        <v>J</v>
      </c>
    </row>
    <row r="14" spans="3:40" ht="15" thickBot="1">
      <c r="C14" s="207" t="s">
        <v>604</v>
      </c>
      <c r="D14" s="83">
        <f ca="1">D9*D10/1000^2</f>
        <v>5.0750000000000002</v>
      </c>
      <c r="E14" t="s">
        <v>280</v>
      </c>
      <c r="F14" s="1193">
        <v>34</v>
      </c>
      <c r="G14" s="147" t="str">
        <f>VLOOKUP(F14,E16:G49,3,FALSE)</f>
        <v>ширина8</v>
      </c>
      <c r="J14" s="1194">
        <v>3</v>
      </c>
      <c r="M14" s="162" t="s">
        <v>601</v>
      </c>
      <c r="AB14" s="147" t="str">
        <f>G13&amp;J14</f>
        <v>J3</v>
      </c>
      <c r="AD14" s="61" t="str">
        <f>VLOOKUP(AB14,AC16:AD206,2,FALSE)</f>
        <v>длина17</v>
      </c>
      <c r="AE14" s="161"/>
      <c r="AH14" s="1195">
        <v>6</v>
      </c>
    </row>
    <row r="15" spans="3:40" ht="13.5" thickBot="1">
      <c r="C15" s="34"/>
      <c r="D15" s="83"/>
      <c r="E15" s="149"/>
      <c r="F15" s="206" t="s">
        <v>284</v>
      </c>
      <c r="J15" s="43" t="s">
        <v>598</v>
      </c>
      <c r="K15" s="43"/>
      <c r="M15" s="141">
        <v>1</v>
      </c>
      <c r="N15" s="141">
        <v>2</v>
      </c>
      <c r="O15" s="141">
        <v>3</v>
      </c>
      <c r="P15" s="141">
        <v>4</v>
      </c>
      <c r="Q15" s="141">
        <v>5</v>
      </c>
      <c r="R15" s="141">
        <v>6</v>
      </c>
      <c r="S15" s="141">
        <v>7</v>
      </c>
      <c r="T15" s="141">
        <v>8</v>
      </c>
      <c r="U15" s="141">
        <v>9</v>
      </c>
      <c r="V15" s="141">
        <v>10</v>
      </c>
      <c r="W15" s="141">
        <v>11</v>
      </c>
      <c r="X15" s="141">
        <v>12</v>
      </c>
      <c r="Y15" s="141">
        <v>13</v>
      </c>
      <c r="Z15" s="141">
        <v>14</v>
      </c>
      <c r="AH15" s="162" t="s">
        <v>601</v>
      </c>
    </row>
    <row r="16" spans="3:40">
      <c r="C16" s="34"/>
      <c r="D16" s="83"/>
      <c r="E16">
        <v>1</v>
      </c>
      <c r="F16" s="163">
        <v>0.35</v>
      </c>
      <c r="G16" s="32" t="s">
        <v>605</v>
      </c>
      <c r="H16" s="32" t="s">
        <v>289</v>
      </c>
      <c r="I16">
        <v>1</v>
      </c>
      <c r="J16" s="32">
        <f t="array" aca="1" ref="J16:J41" ca="1">TRANSPOSE(INDIRECT(G14))</f>
        <v>1250</v>
      </c>
      <c r="L16">
        <v>1</v>
      </c>
      <c r="M16" s="143">
        <v>1000</v>
      </c>
      <c r="N16" s="150">
        <v>1100</v>
      </c>
      <c r="O16" s="150">
        <v>1200</v>
      </c>
      <c r="P16" s="150">
        <v>1300</v>
      </c>
      <c r="Q16" s="150">
        <v>1400</v>
      </c>
      <c r="R16" s="150">
        <v>1420</v>
      </c>
      <c r="S16" s="150">
        <v>1500</v>
      </c>
      <c r="T16" s="150">
        <v>2000</v>
      </c>
      <c r="U16" s="150">
        <v>2200</v>
      </c>
      <c r="V16" s="150">
        <v>2500</v>
      </c>
      <c r="W16" s="150"/>
      <c r="X16" s="150"/>
      <c r="Y16" s="150"/>
      <c r="Z16" s="144"/>
      <c r="AC16" s="143" t="s">
        <v>286</v>
      </c>
      <c r="AD16" s="150" t="s">
        <v>606</v>
      </c>
      <c r="AE16" s="144"/>
      <c r="AG16">
        <v>1</v>
      </c>
      <c r="AH16" s="32">
        <f t="array" aca="1" ref="AH16:AH29" ca="1">TRANSPOSE(INDIRECT(AD14))</f>
        <v>2000</v>
      </c>
    </row>
    <row r="17" spans="3:34">
      <c r="C17" s="34"/>
      <c r="D17" s="83"/>
      <c r="E17">
        <v>2</v>
      </c>
      <c r="F17" s="111">
        <v>0.4</v>
      </c>
      <c r="G17" s="109" t="s">
        <v>605</v>
      </c>
      <c r="H17" s="109" t="s">
        <v>289</v>
      </c>
      <c r="I17">
        <v>2</v>
      </c>
      <c r="J17" s="109">
        <f ca="1"/>
        <v>1400</v>
      </c>
      <c r="L17">
        <v>2</v>
      </c>
      <c r="M17" s="116">
        <v>1000</v>
      </c>
      <c r="N17" s="117">
        <v>1100</v>
      </c>
      <c r="O17" s="117">
        <v>1200</v>
      </c>
      <c r="P17" s="117">
        <v>1300</v>
      </c>
      <c r="Q17" s="117">
        <v>1400</v>
      </c>
      <c r="R17" s="117">
        <v>1420</v>
      </c>
      <c r="S17" s="117">
        <v>1500</v>
      </c>
      <c r="T17" s="117">
        <v>2000</v>
      </c>
      <c r="U17" s="117">
        <v>2200</v>
      </c>
      <c r="V17" s="117">
        <v>2500</v>
      </c>
      <c r="W17" s="117">
        <v>2800</v>
      </c>
      <c r="X17" s="117">
        <v>3000</v>
      </c>
      <c r="Y17" s="117"/>
      <c r="Z17" s="105"/>
      <c r="AC17" s="106" t="s">
        <v>290</v>
      </c>
      <c r="AD17" s="34" t="s">
        <v>607</v>
      </c>
      <c r="AE17" s="99"/>
      <c r="AG17">
        <v>2</v>
      </c>
      <c r="AH17" s="109">
        <f ca="1"/>
        <v>2200</v>
      </c>
    </row>
    <row r="18" spans="3:34">
      <c r="C18" s="34"/>
      <c r="D18" s="83"/>
      <c r="E18">
        <v>3</v>
      </c>
      <c r="F18" s="111">
        <v>0.45</v>
      </c>
      <c r="G18" s="109" t="s">
        <v>605</v>
      </c>
      <c r="H18" s="109" t="s">
        <v>289</v>
      </c>
      <c r="I18">
        <v>3</v>
      </c>
      <c r="J18" s="109">
        <f ca="1"/>
        <v>1450</v>
      </c>
      <c r="L18">
        <v>3</v>
      </c>
      <c r="M18" s="106">
        <v>1100</v>
      </c>
      <c r="N18" s="34">
        <v>1200</v>
      </c>
      <c r="O18" s="34">
        <v>1300</v>
      </c>
      <c r="P18" s="34">
        <v>1400</v>
      </c>
      <c r="Q18" s="34">
        <v>1420</v>
      </c>
      <c r="R18" s="34">
        <v>1500</v>
      </c>
      <c r="S18" s="34">
        <v>2000</v>
      </c>
      <c r="T18" s="34">
        <v>2200</v>
      </c>
      <c r="U18" s="34">
        <v>2500</v>
      </c>
      <c r="V18" s="34"/>
      <c r="W18" s="34"/>
      <c r="X18" s="34"/>
      <c r="Y18" s="34"/>
      <c r="Z18" s="99"/>
      <c r="AC18" s="106" t="s">
        <v>292</v>
      </c>
      <c r="AD18" s="34" t="s">
        <v>608</v>
      </c>
      <c r="AE18" s="99"/>
      <c r="AG18">
        <v>3</v>
      </c>
      <c r="AH18" s="109">
        <f ca="1"/>
        <v>2500</v>
      </c>
    </row>
    <row r="19" spans="3:34">
      <c r="C19" s="34"/>
      <c r="D19" s="83"/>
      <c r="E19">
        <v>4</v>
      </c>
      <c r="F19" s="110">
        <v>0.5</v>
      </c>
      <c r="G19" s="108" t="s">
        <v>605</v>
      </c>
      <c r="H19" s="108" t="s">
        <v>289</v>
      </c>
      <c r="I19">
        <v>4</v>
      </c>
      <c r="J19" s="109">
        <f ca="1"/>
        <v>1500</v>
      </c>
      <c r="L19">
        <v>4</v>
      </c>
      <c r="M19" s="116">
        <v>1100</v>
      </c>
      <c r="N19" s="117">
        <v>1200</v>
      </c>
      <c r="O19" s="117">
        <v>1300</v>
      </c>
      <c r="P19" s="117">
        <v>1400</v>
      </c>
      <c r="Q19" s="117">
        <v>1420</v>
      </c>
      <c r="R19" s="117">
        <v>1500</v>
      </c>
      <c r="S19" s="117">
        <v>2000</v>
      </c>
      <c r="T19" s="117">
        <v>2200</v>
      </c>
      <c r="U19" s="117">
        <v>2500</v>
      </c>
      <c r="V19" s="117">
        <v>2800</v>
      </c>
      <c r="W19" s="117">
        <v>3000</v>
      </c>
      <c r="X19" s="117"/>
      <c r="Y19" s="117"/>
      <c r="Z19" s="105"/>
      <c r="AC19" s="106" t="s">
        <v>294</v>
      </c>
      <c r="AD19" s="34" t="s">
        <v>609</v>
      </c>
      <c r="AE19" s="99"/>
      <c r="AG19">
        <v>4</v>
      </c>
      <c r="AH19" s="109">
        <f ca="1"/>
        <v>2800</v>
      </c>
    </row>
    <row r="20" spans="3:34">
      <c r="C20" s="34"/>
      <c r="D20" s="83"/>
      <c r="E20">
        <v>5</v>
      </c>
      <c r="F20" s="111">
        <v>0.55000000000000004</v>
      </c>
      <c r="G20" s="109" t="s">
        <v>610</v>
      </c>
      <c r="H20" s="109" t="s">
        <v>1939</v>
      </c>
      <c r="I20">
        <v>5</v>
      </c>
      <c r="J20" s="109">
        <f ca="1"/>
        <v>1600</v>
      </c>
      <c r="L20">
        <v>5</v>
      </c>
      <c r="M20" s="106">
        <v>1200</v>
      </c>
      <c r="N20" s="34">
        <v>1300</v>
      </c>
      <c r="O20" s="34">
        <v>1400</v>
      </c>
      <c r="P20" s="34">
        <v>1420</v>
      </c>
      <c r="Q20" s="34">
        <v>1500</v>
      </c>
      <c r="R20" s="34">
        <v>2000</v>
      </c>
      <c r="S20" s="34">
        <v>2200</v>
      </c>
      <c r="T20" s="34">
        <v>2500</v>
      </c>
      <c r="U20" s="34"/>
      <c r="V20" s="34"/>
      <c r="W20" s="34"/>
      <c r="X20" s="34"/>
      <c r="Y20" s="34"/>
      <c r="Z20" s="99"/>
      <c r="AC20" s="106" t="s">
        <v>611</v>
      </c>
      <c r="AD20" s="34" t="s">
        <v>612</v>
      </c>
      <c r="AE20" s="99"/>
      <c r="AG20">
        <v>5</v>
      </c>
      <c r="AH20" s="109">
        <f ca="1"/>
        <v>3000</v>
      </c>
    </row>
    <row r="21" spans="3:34">
      <c r="C21" s="34"/>
      <c r="D21" s="83"/>
      <c r="E21">
        <v>6</v>
      </c>
      <c r="F21" s="111">
        <v>0.6</v>
      </c>
      <c r="G21" s="109" t="s">
        <v>610</v>
      </c>
      <c r="H21" s="109" t="s">
        <v>1939</v>
      </c>
      <c r="I21">
        <v>6</v>
      </c>
      <c r="J21" s="109">
        <f ca="1"/>
        <v>1700</v>
      </c>
      <c r="L21">
        <v>6</v>
      </c>
      <c r="M21" s="116">
        <v>1200</v>
      </c>
      <c r="N21" s="117">
        <v>1300</v>
      </c>
      <c r="O21" s="117">
        <v>1400</v>
      </c>
      <c r="P21" s="117">
        <v>1420</v>
      </c>
      <c r="Q21" s="117">
        <v>1500</v>
      </c>
      <c r="R21" s="117">
        <v>2000</v>
      </c>
      <c r="S21" s="117">
        <v>2200</v>
      </c>
      <c r="T21" s="117">
        <v>2500</v>
      </c>
      <c r="U21" s="117">
        <v>2800</v>
      </c>
      <c r="V21" s="117">
        <v>3000</v>
      </c>
      <c r="W21" s="117">
        <v>3500</v>
      </c>
      <c r="X21" s="117"/>
      <c r="Y21" s="117"/>
      <c r="Z21" s="105"/>
      <c r="AC21" s="106" t="s">
        <v>613</v>
      </c>
      <c r="AD21" s="34" t="s">
        <v>614</v>
      </c>
      <c r="AE21" s="99"/>
      <c r="AG21">
        <v>6</v>
      </c>
      <c r="AH21" s="109">
        <f ca="1"/>
        <v>3500</v>
      </c>
    </row>
    <row r="22" spans="3:34">
      <c r="C22" s="34"/>
      <c r="D22" s="83"/>
      <c r="E22">
        <v>7</v>
      </c>
      <c r="F22" s="111">
        <v>0.65</v>
      </c>
      <c r="G22" s="109" t="s">
        <v>610</v>
      </c>
      <c r="H22" s="109" t="s">
        <v>1939</v>
      </c>
      <c r="I22">
        <v>7</v>
      </c>
      <c r="J22" s="109">
        <f ca="1"/>
        <v>1800</v>
      </c>
      <c r="L22">
        <v>7</v>
      </c>
      <c r="M22" s="106">
        <v>1300</v>
      </c>
      <c r="N22" s="34">
        <v>1400</v>
      </c>
      <c r="O22" s="34">
        <v>1420</v>
      </c>
      <c r="P22" s="34">
        <v>1500</v>
      </c>
      <c r="Q22" s="34">
        <v>2000</v>
      </c>
      <c r="R22" s="34">
        <v>2200</v>
      </c>
      <c r="S22" s="34">
        <v>2500</v>
      </c>
      <c r="T22" s="34">
        <v>2800</v>
      </c>
      <c r="U22" s="34">
        <v>3000</v>
      </c>
      <c r="V22" s="34"/>
      <c r="W22" s="34"/>
      <c r="X22" s="34"/>
      <c r="Y22" s="34"/>
      <c r="Z22" s="99"/>
      <c r="AC22" s="106" t="s">
        <v>615</v>
      </c>
      <c r="AD22" s="34" t="s">
        <v>614</v>
      </c>
      <c r="AE22" s="99"/>
      <c r="AG22">
        <v>7</v>
      </c>
      <c r="AH22" s="109">
        <f ca="1"/>
        <v>4000</v>
      </c>
    </row>
    <row r="23" spans="3:34">
      <c r="C23" s="34"/>
      <c r="D23" s="83"/>
      <c r="E23">
        <v>8</v>
      </c>
      <c r="F23" s="111">
        <v>0.7</v>
      </c>
      <c r="G23" s="109" t="s">
        <v>610</v>
      </c>
      <c r="H23" s="109" t="s">
        <v>1939</v>
      </c>
      <c r="I23">
        <v>8</v>
      </c>
      <c r="J23" s="109">
        <f ca="1"/>
        <v>1900</v>
      </c>
      <c r="L23">
        <v>8</v>
      </c>
      <c r="M23" s="116">
        <v>1300</v>
      </c>
      <c r="N23" s="117">
        <v>1400</v>
      </c>
      <c r="O23" s="117">
        <v>1420</v>
      </c>
      <c r="P23" s="117">
        <v>1500</v>
      </c>
      <c r="Q23" s="117">
        <v>2000</v>
      </c>
      <c r="R23" s="117">
        <v>2200</v>
      </c>
      <c r="S23" s="117">
        <v>2500</v>
      </c>
      <c r="T23" s="117">
        <v>2800</v>
      </c>
      <c r="U23" s="117">
        <v>3000</v>
      </c>
      <c r="V23" s="117">
        <v>3500</v>
      </c>
      <c r="W23" s="117"/>
      <c r="X23" s="117"/>
      <c r="Y23" s="117"/>
      <c r="Z23" s="105"/>
      <c r="AC23" s="106" t="s">
        <v>616</v>
      </c>
      <c r="AD23" s="34" t="s">
        <v>614</v>
      </c>
      <c r="AE23" s="99"/>
      <c r="AG23">
        <v>8</v>
      </c>
      <c r="AH23" s="109">
        <f ca="1"/>
        <v>4200</v>
      </c>
    </row>
    <row r="24" spans="3:34">
      <c r="C24" s="34"/>
      <c r="D24" s="83"/>
      <c r="E24">
        <v>9</v>
      </c>
      <c r="F24" s="110">
        <v>0.75</v>
      </c>
      <c r="G24" s="108" t="s">
        <v>610</v>
      </c>
      <c r="H24" s="108" t="s">
        <v>1939</v>
      </c>
      <c r="I24">
        <v>9</v>
      </c>
      <c r="J24" s="109">
        <f ca="1"/>
        <v>2000</v>
      </c>
      <c r="L24">
        <v>9</v>
      </c>
      <c r="M24" s="106">
        <v>1400</v>
      </c>
      <c r="N24" s="34">
        <v>1420</v>
      </c>
      <c r="O24" s="34">
        <v>1500</v>
      </c>
      <c r="P24" s="34">
        <v>2000</v>
      </c>
      <c r="Q24" s="34">
        <v>2200</v>
      </c>
      <c r="R24" s="34">
        <v>2500</v>
      </c>
      <c r="S24" s="34">
        <v>2800</v>
      </c>
      <c r="T24" s="34">
        <v>3000</v>
      </c>
      <c r="U24" s="34"/>
      <c r="V24" s="34"/>
      <c r="W24" s="34"/>
      <c r="X24" s="34"/>
      <c r="Y24" s="34"/>
      <c r="Z24" s="99"/>
      <c r="AC24" s="106" t="s">
        <v>617</v>
      </c>
      <c r="AD24" s="34" t="s">
        <v>614</v>
      </c>
      <c r="AE24" s="99"/>
      <c r="AG24">
        <v>9</v>
      </c>
      <c r="AH24" s="109">
        <f ca="1"/>
        <v>4500</v>
      </c>
    </row>
    <row r="25" spans="3:34">
      <c r="C25" s="34"/>
      <c r="D25" s="83"/>
      <c r="E25">
        <v>10</v>
      </c>
      <c r="F25" s="203">
        <v>0.8</v>
      </c>
      <c r="G25" s="204" t="s">
        <v>618</v>
      </c>
      <c r="H25" s="204" t="s">
        <v>301</v>
      </c>
      <c r="I25">
        <v>10</v>
      </c>
      <c r="J25" s="109">
        <f ca="1"/>
        <v>2100</v>
      </c>
      <c r="L25">
        <v>10</v>
      </c>
      <c r="M25" s="116">
        <v>1400</v>
      </c>
      <c r="N25" s="117">
        <v>1420</v>
      </c>
      <c r="O25" s="117">
        <v>1500</v>
      </c>
      <c r="P25" s="117">
        <v>2000</v>
      </c>
      <c r="Q25" s="117">
        <v>2200</v>
      </c>
      <c r="R25" s="117">
        <v>2500</v>
      </c>
      <c r="S25" s="117">
        <v>2800</v>
      </c>
      <c r="T25" s="117">
        <v>3000</v>
      </c>
      <c r="U25" s="117">
        <v>3500</v>
      </c>
      <c r="V25" s="117"/>
      <c r="W25" s="117"/>
      <c r="X25" s="117"/>
      <c r="Y25" s="117"/>
      <c r="Z25" s="105"/>
      <c r="AC25" s="106" t="s">
        <v>619</v>
      </c>
      <c r="AD25" s="34" t="s">
        <v>614</v>
      </c>
      <c r="AE25" s="99"/>
      <c r="AG25">
        <v>10</v>
      </c>
      <c r="AH25" s="109">
        <f ca="1"/>
        <v>0</v>
      </c>
    </row>
    <row r="26" spans="3:34">
      <c r="C26" s="34"/>
      <c r="D26" s="83"/>
      <c r="E26">
        <v>11</v>
      </c>
      <c r="F26" s="111">
        <v>0.9</v>
      </c>
      <c r="G26" s="109" t="s">
        <v>620</v>
      </c>
      <c r="H26" s="109" t="s">
        <v>305</v>
      </c>
      <c r="I26">
        <v>11</v>
      </c>
      <c r="J26" s="109">
        <f ca="1"/>
        <v>2200</v>
      </c>
      <c r="L26">
        <v>11</v>
      </c>
      <c r="M26" s="106">
        <v>1500</v>
      </c>
      <c r="N26" s="34">
        <v>2000</v>
      </c>
      <c r="O26" s="34">
        <v>2200</v>
      </c>
      <c r="P26" s="34">
        <v>2500</v>
      </c>
      <c r="Q26" s="34">
        <v>2800</v>
      </c>
      <c r="R26" s="34">
        <v>3000</v>
      </c>
      <c r="S26" s="34"/>
      <c r="T26" s="34"/>
      <c r="U26" s="34"/>
      <c r="V26" s="34"/>
      <c r="W26" s="34"/>
      <c r="X26" s="34"/>
      <c r="Y26" s="34"/>
      <c r="Z26" s="104"/>
      <c r="AC26" s="106" t="s">
        <v>621</v>
      </c>
      <c r="AD26" s="34" t="s">
        <v>614</v>
      </c>
      <c r="AE26" s="99"/>
      <c r="AG26">
        <v>11</v>
      </c>
      <c r="AH26" s="109">
        <f ca="1"/>
        <v>0</v>
      </c>
    </row>
    <row r="27" spans="3:34">
      <c r="C27" s="34"/>
      <c r="D27" s="83"/>
      <c r="E27">
        <v>12</v>
      </c>
      <c r="F27" s="110">
        <v>1</v>
      </c>
      <c r="G27" s="108" t="s">
        <v>620</v>
      </c>
      <c r="H27" s="108" t="s">
        <v>305</v>
      </c>
      <c r="I27">
        <v>12</v>
      </c>
      <c r="J27" s="109">
        <f ca="1"/>
        <v>2300</v>
      </c>
      <c r="L27">
        <v>12</v>
      </c>
      <c r="M27" s="106">
        <v>1500</v>
      </c>
      <c r="N27" s="34">
        <v>2000</v>
      </c>
      <c r="O27" s="34">
        <v>2200</v>
      </c>
      <c r="P27" s="34">
        <v>2500</v>
      </c>
      <c r="Q27" s="34">
        <v>2800</v>
      </c>
      <c r="R27" s="34">
        <v>3000</v>
      </c>
      <c r="S27" s="34">
        <v>3500</v>
      </c>
      <c r="T27" s="34"/>
      <c r="U27" s="34"/>
      <c r="V27" s="34"/>
      <c r="W27" s="34"/>
      <c r="X27" s="34"/>
      <c r="Y27" s="34"/>
      <c r="Z27" s="99"/>
      <c r="AC27" s="106" t="s">
        <v>622</v>
      </c>
      <c r="AD27" s="34" t="s">
        <v>614</v>
      </c>
      <c r="AE27" s="99"/>
      <c r="AG27">
        <v>12</v>
      </c>
      <c r="AH27" s="109">
        <f ca="1"/>
        <v>0</v>
      </c>
    </row>
    <row r="28" spans="3:34">
      <c r="C28" s="34"/>
      <c r="D28" s="83"/>
      <c r="E28">
        <v>13</v>
      </c>
      <c r="F28" s="111">
        <v>1.1000000000000001</v>
      </c>
      <c r="G28" s="109" t="s">
        <v>623</v>
      </c>
      <c r="H28" s="109" t="s">
        <v>308</v>
      </c>
      <c r="I28">
        <v>13</v>
      </c>
      <c r="J28" s="109">
        <f ca="1"/>
        <v>2350</v>
      </c>
      <c r="L28">
        <v>13</v>
      </c>
      <c r="M28" s="106">
        <v>1500</v>
      </c>
      <c r="N28" s="34">
        <v>2000</v>
      </c>
      <c r="O28" s="34">
        <v>2200</v>
      </c>
      <c r="P28" s="34">
        <v>2500</v>
      </c>
      <c r="Q28" s="34">
        <v>2800</v>
      </c>
      <c r="R28" s="34">
        <v>3000</v>
      </c>
      <c r="S28" s="34">
        <v>3500</v>
      </c>
      <c r="T28" s="34">
        <v>4000</v>
      </c>
      <c r="U28" s="34"/>
      <c r="V28" s="34"/>
      <c r="W28" s="34"/>
      <c r="X28" s="34"/>
      <c r="Y28" s="34"/>
      <c r="Z28" s="99"/>
      <c r="AC28" s="106" t="s">
        <v>624</v>
      </c>
      <c r="AD28" s="34" t="s">
        <v>625</v>
      </c>
      <c r="AE28" s="99"/>
      <c r="AG28">
        <v>13</v>
      </c>
      <c r="AH28" s="109">
        <f ca="1"/>
        <v>0</v>
      </c>
    </row>
    <row r="29" spans="3:34" ht="13.5" thickBot="1">
      <c r="C29" s="34"/>
      <c r="D29" s="83"/>
      <c r="E29">
        <v>14</v>
      </c>
      <c r="F29" s="111">
        <v>1.2</v>
      </c>
      <c r="G29" s="109" t="s">
        <v>623</v>
      </c>
      <c r="H29" s="109" t="s">
        <v>308</v>
      </c>
      <c r="I29">
        <v>14</v>
      </c>
      <c r="J29" s="109">
        <f ca="1"/>
        <v>0</v>
      </c>
      <c r="L29">
        <v>14</v>
      </c>
      <c r="M29" s="106">
        <v>1500</v>
      </c>
      <c r="N29" s="34">
        <v>2000</v>
      </c>
      <c r="O29" s="34">
        <v>2200</v>
      </c>
      <c r="P29" s="34">
        <v>2500</v>
      </c>
      <c r="Q29" s="34">
        <v>2800</v>
      </c>
      <c r="R29" s="34">
        <v>3000</v>
      </c>
      <c r="S29" s="34">
        <v>3500</v>
      </c>
      <c r="T29" s="34">
        <v>4000</v>
      </c>
      <c r="U29" s="34">
        <v>4200</v>
      </c>
      <c r="V29" s="34">
        <v>4500</v>
      </c>
      <c r="W29" s="34">
        <v>4750</v>
      </c>
      <c r="X29" s="34">
        <v>5000</v>
      </c>
      <c r="Y29" s="34">
        <v>5500</v>
      </c>
      <c r="Z29" s="99">
        <v>6000</v>
      </c>
      <c r="AC29" s="106" t="s">
        <v>626</v>
      </c>
      <c r="AD29" s="34" t="s">
        <v>625</v>
      </c>
      <c r="AE29" s="99"/>
      <c r="AG29">
        <v>14</v>
      </c>
      <c r="AH29" s="33">
        <f ca="1"/>
        <v>0</v>
      </c>
    </row>
    <row r="30" spans="3:34">
      <c r="C30" s="34"/>
      <c r="D30" s="83"/>
      <c r="E30">
        <v>15</v>
      </c>
      <c r="F30" s="110">
        <v>1.3</v>
      </c>
      <c r="G30" s="108" t="s">
        <v>623</v>
      </c>
      <c r="H30" s="108" t="s">
        <v>308</v>
      </c>
      <c r="I30">
        <v>15</v>
      </c>
      <c r="J30" s="109">
        <f ca="1"/>
        <v>0</v>
      </c>
      <c r="L30">
        <v>15</v>
      </c>
      <c r="M30" s="106">
        <v>2000</v>
      </c>
      <c r="N30" s="34">
        <v>2200</v>
      </c>
      <c r="O30" s="34">
        <v>2500</v>
      </c>
      <c r="P30" s="34">
        <v>2800</v>
      </c>
      <c r="Q30" s="34">
        <v>3000</v>
      </c>
      <c r="R30" s="34">
        <v>3500</v>
      </c>
      <c r="S30" s="34">
        <v>4000</v>
      </c>
      <c r="T30" s="34"/>
      <c r="U30" s="34"/>
      <c r="V30" s="34"/>
      <c r="W30" s="34"/>
      <c r="X30" s="34"/>
      <c r="Y30" s="34"/>
      <c r="Z30" s="99"/>
      <c r="AC30" s="106" t="s">
        <v>296</v>
      </c>
      <c r="AD30" s="34" t="s">
        <v>606</v>
      </c>
      <c r="AE30" s="99"/>
    </row>
    <row r="31" spans="3:34">
      <c r="C31" s="34"/>
      <c r="D31" s="83"/>
      <c r="E31">
        <v>16</v>
      </c>
      <c r="F31" s="111">
        <v>1.4</v>
      </c>
      <c r="G31" s="109" t="s">
        <v>627</v>
      </c>
      <c r="H31" s="109" t="s">
        <v>1531</v>
      </c>
      <c r="I31">
        <v>16</v>
      </c>
      <c r="J31" s="109">
        <f ca="1"/>
        <v>0</v>
      </c>
      <c r="L31">
        <v>16</v>
      </c>
      <c r="M31" s="106">
        <v>2000</v>
      </c>
      <c r="N31" s="34">
        <v>2200</v>
      </c>
      <c r="O31" s="34">
        <v>2500</v>
      </c>
      <c r="P31" s="34">
        <v>2800</v>
      </c>
      <c r="Q31" s="34">
        <v>3000</v>
      </c>
      <c r="R31" s="34">
        <v>3500</v>
      </c>
      <c r="S31" s="34">
        <v>4000</v>
      </c>
      <c r="T31" s="34">
        <v>4200</v>
      </c>
      <c r="U31" s="34"/>
      <c r="V31" s="34"/>
      <c r="W31" s="34"/>
      <c r="X31" s="34"/>
      <c r="Y31" s="34"/>
      <c r="Z31" s="99"/>
      <c r="AC31" s="106" t="s">
        <v>298</v>
      </c>
      <c r="AD31" s="34" t="s">
        <v>607</v>
      </c>
      <c r="AE31" s="99"/>
    </row>
    <row r="32" spans="3:34">
      <c r="C32" s="34"/>
      <c r="D32" s="83"/>
      <c r="E32">
        <v>17</v>
      </c>
      <c r="F32" s="111">
        <v>1.5</v>
      </c>
      <c r="G32" s="109" t="s">
        <v>627</v>
      </c>
      <c r="H32" s="109" t="s">
        <v>1531</v>
      </c>
      <c r="I32">
        <v>17</v>
      </c>
      <c r="J32" s="109">
        <f ca="1"/>
        <v>0</v>
      </c>
      <c r="L32">
        <v>17</v>
      </c>
      <c r="M32" s="106">
        <v>2000</v>
      </c>
      <c r="N32" s="34">
        <v>2200</v>
      </c>
      <c r="O32" s="34">
        <v>2500</v>
      </c>
      <c r="P32" s="34">
        <v>2800</v>
      </c>
      <c r="Q32" s="34">
        <v>3000</v>
      </c>
      <c r="R32" s="34">
        <v>3500</v>
      </c>
      <c r="S32" s="34">
        <v>4000</v>
      </c>
      <c r="T32" s="34">
        <v>4200</v>
      </c>
      <c r="U32" s="34">
        <v>4500</v>
      </c>
      <c r="V32" s="34"/>
      <c r="W32" s="34"/>
      <c r="X32" s="34"/>
      <c r="Y32" s="34"/>
      <c r="Z32" s="99"/>
      <c r="AC32" s="106" t="s">
        <v>299</v>
      </c>
      <c r="AD32" s="34" t="s">
        <v>608</v>
      </c>
      <c r="AE32" s="99"/>
    </row>
    <row r="33" spans="3:31">
      <c r="C33" s="34"/>
      <c r="D33" s="83"/>
      <c r="E33">
        <v>18</v>
      </c>
      <c r="F33" s="111">
        <v>1.6</v>
      </c>
      <c r="G33" s="109" t="s">
        <v>627</v>
      </c>
      <c r="H33" s="109" t="s">
        <v>1531</v>
      </c>
      <c r="I33">
        <v>18</v>
      </c>
      <c r="J33" s="109">
        <f ca="1"/>
        <v>0</v>
      </c>
      <c r="L33">
        <v>18</v>
      </c>
      <c r="M33" s="106">
        <v>2000</v>
      </c>
      <c r="N33" s="34">
        <v>2200</v>
      </c>
      <c r="O33" s="34">
        <v>2500</v>
      </c>
      <c r="P33" s="34">
        <v>2800</v>
      </c>
      <c r="Q33" s="34">
        <v>3000</v>
      </c>
      <c r="R33" s="34">
        <v>3500</v>
      </c>
      <c r="S33" s="34">
        <v>4000</v>
      </c>
      <c r="T33" s="34">
        <v>4200</v>
      </c>
      <c r="U33" s="34">
        <v>4500</v>
      </c>
      <c r="V33" s="34">
        <v>4750</v>
      </c>
      <c r="W33" s="34"/>
      <c r="X33" s="34"/>
      <c r="Y33" s="34"/>
      <c r="Z33" s="99"/>
      <c r="AC33" s="106" t="s">
        <v>302</v>
      </c>
      <c r="AD33" s="34" t="s">
        <v>609</v>
      </c>
      <c r="AE33" s="99"/>
    </row>
    <row r="34" spans="3:31">
      <c r="C34" s="34"/>
      <c r="D34" s="83"/>
      <c r="E34">
        <v>19</v>
      </c>
      <c r="F34" s="111">
        <v>1.7</v>
      </c>
      <c r="G34" s="109" t="s">
        <v>627</v>
      </c>
      <c r="H34" s="109" t="s">
        <v>1531</v>
      </c>
      <c r="I34">
        <v>19</v>
      </c>
      <c r="J34" s="109">
        <f ca="1"/>
        <v>0</v>
      </c>
      <c r="L34">
        <v>19</v>
      </c>
      <c r="M34" s="106">
        <v>2000</v>
      </c>
      <c r="N34" s="34">
        <v>2200</v>
      </c>
      <c r="O34" s="34">
        <v>2500</v>
      </c>
      <c r="P34" s="34">
        <v>2800</v>
      </c>
      <c r="Q34" s="34">
        <v>3000</v>
      </c>
      <c r="R34" s="34">
        <v>3500</v>
      </c>
      <c r="S34" s="34">
        <v>4000</v>
      </c>
      <c r="T34" s="34">
        <v>4200</v>
      </c>
      <c r="U34" s="34">
        <v>4500</v>
      </c>
      <c r="V34" s="34">
        <v>4750</v>
      </c>
      <c r="W34" s="34">
        <v>5000</v>
      </c>
      <c r="X34" s="34">
        <v>5500</v>
      </c>
      <c r="Y34" s="34">
        <v>6000</v>
      </c>
      <c r="Z34" s="99"/>
      <c r="AC34" s="106" t="s">
        <v>628</v>
      </c>
      <c r="AD34" s="34" t="s">
        <v>612</v>
      </c>
      <c r="AE34" s="99"/>
    </row>
    <row r="35" spans="3:31">
      <c r="C35" s="34"/>
      <c r="D35" s="83"/>
      <c r="E35">
        <v>20</v>
      </c>
      <c r="F35" s="111">
        <v>1.8</v>
      </c>
      <c r="G35" s="109" t="s">
        <v>627</v>
      </c>
      <c r="H35" s="109" t="s">
        <v>1531</v>
      </c>
      <c r="I35">
        <v>20</v>
      </c>
      <c r="J35" s="109">
        <f ca="1"/>
        <v>0</v>
      </c>
      <c r="L35">
        <v>20</v>
      </c>
      <c r="M35" s="106">
        <v>2200</v>
      </c>
      <c r="N35" s="34">
        <v>2500</v>
      </c>
      <c r="O35" s="34">
        <v>2800</v>
      </c>
      <c r="P35" s="34">
        <v>3000</v>
      </c>
      <c r="Q35" s="34">
        <v>3500</v>
      </c>
      <c r="R35" s="34"/>
      <c r="S35" s="34"/>
      <c r="T35" s="34"/>
      <c r="U35" s="34"/>
      <c r="V35" s="34"/>
      <c r="W35" s="34"/>
      <c r="X35" s="34"/>
      <c r="Y35" s="34"/>
      <c r="Z35" s="99"/>
      <c r="AC35" s="106" t="s">
        <v>629</v>
      </c>
      <c r="AD35" s="34" t="s">
        <v>614</v>
      </c>
      <c r="AE35" s="99"/>
    </row>
    <row r="36" spans="3:31">
      <c r="C36" s="34"/>
      <c r="D36" s="83"/>
      <c r="E36">
        <v>21</v>
      </c>
      <c r="F36" s="110">
        <v>2</v>
      </c>
      <c r="G36" s="108" t="s">
        <v>627</v>
      </c>
      <c r="H36" s="108" t="s">
        <v>1531</v>
      </c>
      <c r="I36">
        <v>21</v>
      </c>
      <c r="J36" s="109">
        <f ca="1"/>
        <v>0</v>
      </c>
      <c r="L36">
        <v>21</v>
      </c>
      <c r="M36" s="106">
        <v>2500</v>
      </c>
      <c r="N36" s="34">
        <v>2800</v>
      </c>
      <c r="O36" s="34">
        <v>3000</v>
      </c>
      <c r="P36" s="34">
        <v>3500</v>
      </c>
      <c r="Q36" s="34"/>
      <c r="R36" s="34"/>
      <c r="S36" s="34"/>
      <c r="T36" s="34"/>
      <c r="U36" s="34"/>
      <c r="V36" s="34"/>
      <c r="W36" s="34"/>
      <c r="X36" s="34"/>
      <c r="Y36" s="34"/>
      <c r="Z36" s="99"/>
      <c r="AC36" s="106" t="s">
        <v>630</v>
      </c>
      <c r="AD36" s="34" t="s">
        <v>614</v>
      </c>
      <c r="AE36" s="99"/>
    </row>
    <row r="37" spans="3:31" ht="13.5" thickBot="1">
      <c r="C37" s="34"/>
      <c r="D37" s="83"/>
      <c r="E37">
        <v>22</v>
      </c>
      <c r="F37" s="111">
        <v>2.2000000000000002</v>
      </c>
      <c r="G37" s="109" t="s">
        <v>631</v>
      </c>
      <c r="H37" s="109" t="s">
        <v>318</v>
      </c>
      <c r="I37">
        <v>22</v>
      </c>
      <c r="J37" s="109">
        <f ca="1"/>
        <v>0</v>
      </c>
      <c r="L37">
        <v>22</v>
      </c>
      <c r="M37" s="145">
        <v>2500</v>
      </c>
      <c r="N37" s="151">
        <v>2800</v>
      </c>
      <c r="O37" s="151">
        <v>3000</v>
      </c>
      <c r="P37" s="151">
        <v>3500</v>
      </c>
      <c r="Q37" s="151">
        <v>4000</v>
      </c>
      <c r="R37" s="151">
        <v>4200</v>
      </c>
      <c r="S37" s="151">
        <v>4500</v>
      </c>
      <c r="T37" s="151">
        <v>4750</v>
      </c>
      <c r="U37" s="151">
        <v>5000</v>
      </c>
      <c r="V37" s="151">
        <v>5500</v>
      </c>
      <c r="W37" s="151">
        <v>6000</v>
      </c>
      <c r="X37" s="151"/>
      <c r="Y37" s="151"/>
      <c r="Z37" s="100"/>
      <c r="AC37" s="106" t="s">
        <v>632</v>
      </c>
      <c r="AD37" s="34" t="s">
        <v>614</v>
      </c>
      <c r="AE37" s="99"/>
    </row>
    <row r="38" spans="3:31">
      <c r="C38" s="34"/>
      <c r="D38" s="83"/>
      <c r="E38">
        <v>23</v>
      </c>
      <c r="F38" s="110">
        <v>2.5</v>
      </c>
      <c r="G38" s="108" t="s">
        <v>631</v>
      </c>
      <c r="H38" s="108" t="s">
        <v>318</v>
      </c>
      <c r="I38">
        <v>23</v>
      </c>
      <c r="J38" s="109">
        <f ca="1"/>
        <v>0</v>
      </c>
      <c r="AC38" s="106" t="s">
        <v>633</v>
      </c>
      <c r="AD38" s="34" t="s">
        <v>614</v>
      </c>
      <c r="AE38" s="99"/>
    </row>
    <row r="39" spans="3:31">
      <c r="E39">
        <v>24</v>
      </c>
      <c r="F39" s="111">
        <v>2.8</v>
      </c>
      <c r="G39" s="109" t="s">
        <v>631</v>
      </c>
      <c r="H39" s="109" t="s">
        <v>325</v>
      </c>
      <c r="I39">
        <v>24</v>
      </c>
      <c r="J39" s="109">
        <f ca="1"/>
        <v>0</v>
      </c>
      <c r="AC39" s="106" t="s">
        <v>634</v>
      </c>
      <c r="AD39" s="34" t="s">
        <v>614</v>
      </c>
      <c r="AE39" s="99"/>
    </row>
    <row r="40" spans="3:31">
      <c r="E40">
        <v>25</v>
      </c>
      <c r="F40" s="111">
        <v>3</v>
      </c>
      <c r="G40" s="109" t="s">
        <v>631</v>
      </c>
      <c r="H40" s="109" t="s">
        <v>325</v>
      </c>
      <c r="I40">
        <v>25</v>
      </c>
      <c r="J40" s="109">
        <f ca="1"/>
        <v>0</v>
      </c>
      <c r="AC40" s="106" t="s">
        <v>635</v>
      </c>
      <c r="AD40" s="34" t="s">
        <v>614</v>
      </c>
      <c r="AE40" s="99"/>
    </row>
    <row r="41" spans="3:31">
      <c r="E41">
        <v>26</v>
      </c>
      <c r="F41" s="110">
        <v>3.2</v>
      </c>
      <c r="G41" s="108" t="s">
        <v>631</v>
      </c>
      <c r="H41" s="108" t="s">
        <v>325</v>
      </c>
      <c r="I41">
        <v>26</v>
      </c>
      <c r="J41" s="109">
        <f ca="1"/>
        <v>0</v>
      </c>
      <c r="AC41" s="106" t="s">
        <v>636</v>
      </c>
      <c r="AD41" s="34" t="s">
        <v>614</v>
      </c>
      <c r="AE41" s="99"/>
    </row>
    <row r="42" spans="3:31" ht="13.5" thickBot="1">
      <c r="E42">
        <v>27</v>
      </c>
      <c r="F42" s="111">
        <v>3.5</v>
      </c>
      <c r="G42" s="109" t="s">
        <v>637</v>
      </c>
      <c r="H42" s="109" t="s">
        <v>2004</v>
      </c>
      <c r="J42" s="33"/>
      <c r="AC42" s="106" t="s">
        <v>638</v>
      </c>
      <c r="AD42" s="34" t="s">
        <v>625</v>
      </c>
      <c r="AE42" s="99"/>
    </row>
    <row r="43" spans="3:31">
      <c r="E43">
        <v>28</v>
      </c>
      <c r="F43" s="111">
        <v>3.8</v>
      </c>
      <c r="G43" s="109" t="s">
        <v>637</v>
      </c>
      <c r="H43" s="109" t="s">
        <v>2004</v>
      </c>
      <c r="AC43" s="106" t="s">
        <v>639</v>
      </c>
      <c r="AD43" s="34" t="s">
        <v>625</v>
      </c>
      <c r="AE43" s="99"/>
    </row>
    <row r="44" spans="3:31">
      <c r="E44">
        <v>29</v>
      </c>
      <c r="F44" s="110">
        <v>3.9</v>
      </c>
      <c r="G44" s="108" t="s">
        <v>637</v>
      </c>
      <c r="H44" s="108" t="s">
        <v>2004</v>
      </c>
      <c r="AC44" s="106" t="s">
        <v>640</v>
      </c>
      <c r="AD44" s="34" t="s">
        <v>641</v>
      </c>
      <c r="AE44" s="99"/>
    </row>
    <row r="45" spans="3:31">
      <c r="E45">
        <v>30</v>
      </c>
      <c r="F45" s="111">
        <v>4</v>
      </c>
      <c r="G45" s="109" t="s">
        <v>637</v>
      </c>
      <c r="H45" s="109" t="s">
        <v>339</v>
      </c>
      <c r="AC45" s="106" t="s">
        <v>642</v>
      </c>
      <c r="AD45" s="34" t="s">
        <v>641</v>
      </c>
      <c r="AE45" s="99"/>
    </row>
    <row r="46" spans="3:31">
      <c r="E46">
        <v>31</v>
      </c>
      <c r="F46" s="111">
        <v>4.2</v>
      </c>
      <c r="G46" s="109" t="s">
        <v>637</v>
      </c>
      <c r="H46" s="109" t="s">
        <v>339</v>
      </c>
      <c r="AC46" s="106" t="s">
        <v>643</v>
      </c>
      <c r="AD46" s="34" t="s">
        <v>641</v>
      </c>
      <c r="AE46" s="99"/>
    </row>
    <row r="47" spans="3:31">
      <c r="E47">
        <v>32</v>
      </c>
      <c r="F47" s="111">
        <v>4.5</v>
      </c>
      <c r="G47" s="109" t="s">
        <v>637</v>
      </c>
      <c r="H47" s="109" t="s">
        <v>339</v>
      </c>
      <c r="AC47" s="106" t="s">
        <v>303</v>
      </c>
      <c r="AD47" s="34" t="s">
        <v>644</v>
      </c>
      <c r="AE47" s="99"/>
    </row>
    <row r="48" spans="3:31">
      <c r="E48">
        <v>33</v>
      </c>
      <c r="F48" s="111">
        <v>4.8</v>
      </c>
      <c r="G48" s="109" t="s">
        <v>637</v>
      </c>
      <c r="H48" s="109" t="s">
        <v>339</v>
      </c>
      <c r="AC48" s="106" t="s">
        <v>306</v>
      </c>
      <c r="AD48" s="34" t="s">
        <v>645</v>
      </c>
      <c r="AE48" s="99"/>
    </row>
    <row r="49" spans="5:31" ht="13.5" thickBot="1">
      <c r="E49">
        <v>34</v>
      </c>
      <c r="F49" s="166">
        <v>5</v>
      </c>
      <c r="G49" s="33" t="s">
        <v>637</v>
      </c>
      <c r="H49" s="33" t="s">
        <v>339</v>
      </c>
      <c r="AC49" s="106" t="s">
        <v>309</v>
      </c>
      <c r="AD49" s="34" t="s">
        <v>646</v>
      </c>
      <c r="AE49" s="99"/>
    </row>
    <row r="50" spans="5:31">
      <c r="AC50" s="106" t="s">
        <v>310</v>
      </c>
      <c r="AD50" s="34" t="s">
        <v>647</v>
      </c>
      <c r="AE50" s="99"/>
    </row>
    <row r="51" spans="5:31">
      <c r="AC51" s="106" t="s">
        <v>311</v>
      </c>
      <c r="AD51" s="34" t="s">
        <v>648</v>
      </c>
      <c r="AE51" s="99"/>
    </row>
    <row r="52" spans="5:31">
      <c r="AC52" s="106" t="s">
        <v>314</v>
      </c>
      <c r="AD52" s="34" t="s">
        <v>625</v>
      </c>
      <c r="AE52" s="99"/>
    </row>
    <row r="53" spans="5:31">
      <c r="AC53" s="106" t="s">
        <v>649</v>
      </c>
      <c r="AD53" s="34" t="s">
        <v>625</v>
      </c>
      <c r="AE53" s="99"/>
    </row>
    <row r="54" spans="5:31">
      <c r="AC54" s="106" t="s">
        <v>650</v>
      </c>
      <c r="AD54" s="34" t="s">
        <v>625</v>
      </c>
      <c r="AE54" s="99"/>
    </row>
    <row r="55" spans="5:31">
      <c r="AC55" s="106" t="s">
        <v>651</v>
      </c>
      <c r="AD55" s="34" t="s">
        <v>625</v>
      </c>
      <c r="AE55" s="99"/>
    </row>
    <row r="56" spans="5:31">
      <c r="AC56" s="106" t="s">
        <v>652</v>
      </c>
      <c r="AD56" s="34" t="s">
        <v>625</v>
      </c>
      <c r="AE56" s="99"/>
    </row>
    <row r="57" spans="5:31">
      <c r="AC57" s="106" t="s">
        <v>653</v>
      </c>
      <c r="AD57" s="34" t="s">
        <v>625</v>
      </c>
      <c r="AE57" s="99"/>
    </row>
    <row r="58" spans="5:31">
      <c r="AC58" s="106" t="s">
        <v>654</v>
      </c>
      <c r="AD58" s="34" t="s">
        <v>625</v>
      </c>
      <c r="AE58" s="99"/>
    </row>
    <row r="59" spans="5:31">
      <c r="AC59" s="106" t="s">
        <v>655</v>
      </c>
      <c r="AD59" s="34" t="s">
        <v>656</v>
      </c>
      <c r="AE59" s="99"/>
    </row>
    <row r="60" spans="5:31">
      <c r="AC60" s="106" t="s">
        <v>657</v>
      </c>
      <c r="AD60" s="34" t="s">
        <v>656</v>
      </c>
      <c r="AE60" s="99"/>
    </row>
    <row r="61" spans="5:31">
      <c r="AC61" s="106" t="s">
        <v>658</v>
      </c>
      <c r="AD61" s="34" t="s">
        <v>641</v>
      </c>
      <c r="AE61" s="99"/>
    </row>
    <row r="62" spans="5:31">
      <c r="AC62" s="106" t="s">
        <v>659</v>
      </c>
      <c r="AD62" s="34" t="s">
        <v>641</v>
      </c>
      <c r="AE62" s="99"/>
    </row>
    <row r="63" spans="5:31">
      <c r="AC63" s="106" t="s">
        <v>660</v>
      </c>
      <c r="AD63" s="34" t="s">
        <v>641</v>
      </c>
      <c r="AE63" s="99"/>
    </row>
    <row r="64" spans="5:31">
      <c r="AC64" s="106" t="s">
        <v>661</v>
      </c>
      <c r="AD64" s="34" t="s">
        <v>641</v>
      </c>
      <c r="AE64" s="99"/>
    </row>
    <row r="65" spans="29:31">
      <c r="AC65" s="106" t="s">
        <v>315</v>
      </c>
      <c r="AD65" s="34" t="s">
        <v>644</v>
      </c>
      <c r="AE65" s="99"/>
    </row>
    <row r="66" spans="29:31">
      <c r="AC66" s="106" t="s">
        <v>316</v>
      </c>
      <c r="AD66" s="34" t="s">
        <v>645</v>
      </c>
      <c r="AE66" s="99"/>
    </row>
    <row r="67" spans="29:31">
      <c r="AC67" s="106" t="s">
        <v>319</v>
      </c>
      <c r="AD67" s="34" t="s">
        <v>646</v>
      </c>
      <c r="AE67" s="99"/>
    </row>
    <row r="68" spans="29:31">
      <c r="AC68" s="106" t="s">
        <v>320</v>
      </c>
      <c r="AD68" s="34" t="s">
        <v>647</v>
      </c>
      <c r="AE68" s="99"/>
    </row>
    <row r="69" spans="29:31">
      <c r="AC69" s="106" t="s">
        <v>321</v>
      </c>
      <c r="AD69" s="34" t="s">
        <v>648</v>
      </c>
      <c r="AE69" s="99"/>
    </row>
    <row r="70" spans="29:31">
      <c r="AC70" s="106" t="s">
        <v>322</v>
      </c>
      <c r="AD70" s="34" t="s">
        <v>625</v>
      </c>
      <c r="AE70" s="99"/>
    </row>
    <row r="71" spans="29:31">
      <c r="AC71" s="106" t="s">
        <v>326</v>
      </c>
      <c r="AD71" s="34" t="s">
        <v>625</v>
      </c>
      <c r="AE71" s="99"/>
    </row>
    <row r="72" spans="29:31">
      <c r="AC72" s="106" t="s">
        <v>328</v>
      </c>
      <c r="AD72" s="34" t="s">
        <v>625</v>
      </c>
      <c r="AE72" s="99"/>
    </row>
    <row r="73" spans="29:31">
      <c r="AC73" s="106" t="s">
        <v>330</v>
      </c>
      <c r="AD73" s="34" t="s">
        <v>625</v>
      </c>
      <c r="AE73" s="99"/>
    </row>
    <row r="74" spans="29:31">
      <c r="AC74" s="106" t="s">
        <v>332</v>
      </c>
      <c r="AD74" s="34" t="s">
        <v>625</v>
      </c>
      <c r="AE74" s="99"/>
    </row>
    <row r="75" spans="29:31">
      <c r="AC75" s="106" t="s">
        <v>662</v>
      </c>
      <c r="AD75" s="34" t="s">
        <v>625</v>
      </c>
      <c r="AE75" s="99"/>
    </row>
    <row r="76" spans="29:31">
      <c r="AC76" s="106" t="s">
        <v>663</v>
      </c>
      <c r="AD76" s="34" t="s">
        <v>625</v>
      </c>
      <c r="AE76" s="99"/>
    </row>
    <row r="77" spans="29:31">
      <c r="AC77" s="106" t="s">
        <v>664</v>
      </c>
      <c r="AD77" s="34" t="s">
        <v>656</v>
      </c>
      <c r="AE77" s="99"/>
    </row>
    <row r="78" spans="29:31">
      <c r="AC78" s="106" t="s">
        <v>665</v>
      </c>
      <c r="AD78" s="34" t="s">
        <v>656</v>
      </c>
      <c r="AE78" s="99"/>
    </row>
    <row r="79" spans="29:31">
      <c r="AC79" s="106" t="s">
        <v>666</v>
      </c>
      <c r="AD79" s="34" t="s">
        <v>641</v>
      </c>
      <c r="AE79" s="99"/>
    </row>
    <row r="80" spans="29:31">
      <c r="AC80" s="106" t="s">
        <v>667</v>
      </c>
      <c r="AD80" s="34" t="s">
        <v>641</v>
      </c>
      <c r="AE80" s="99"/>
    </row>
    <row r="81" spans="29:31">
      <c r="AC81" s="106" t="s">
        <v>668</v>
      </c>
      <c r="AD81" s="34" t="s">
        <v>641</v>
      </c>
      <c r="AE81" s="99"/>
    </row>
    <row r="82" spans="29:31">
      <c r="AC82" s="106" t="s">
        <v>669</v>
      </c>
      <c r="AD82" s="34" t="s">
        <v>641</v>
      </c>
      <c r="AE82" s="99"/>
    </row>
    <row r="83" spans="29:31">
      <c r="AC83" s="106" t="s">
        <v>670</v>
      </c>
      <c r="AD83" s="34" t="s">
        <v>641</v>
      </c>
      <c r="AE83" s="99"/>
    </row>
    <row r="84" spans="29:31">
      <c r="AC84" s="106" t="s">
        <v>333</v>
      </c>
      <c r="AD84" s="34" t="s">
        <v>644</v>
      </c>
      <c r="AE84" s="99"/>
    </row>
    <row r="85" spans="29:31">
      <c r="AC85" s="106" t="s">
        <v>335</v>
      </c>
      <c r="AD85" s="34" t="s">
        <v>645</v>
      </c>
      <c r="AE85" s="99"/>
    </row>
    <row r="86" spans="29:31">
      <c r="AC86" s="106" t="s">
        <v>336</v>
      </c>
      <c r="AD86" s="34" t="s">
        <v>646</v>
      </c>
      <c r="AE86" s="99"/>
    </row>
    <row r="87" spans="29:31">
      <c r="AC87" s="106" t="s">
        <v>337</v>
      </c>
      <c r="AD87" s="34" t="s">
        <v>647</v>
      </c>
      <c r="AE87" s="99"/>
    </row>
    <row r="88" spans="29:31">
      <c r="AC88" s="106" t="s">
        <v>340</v>
      </c>
      <c r="AD88" s="34" t="s">
        <v>648</v>
      </c>
      <c r="AE88" s="99"/>
    </row>
    <row r="89" spans="29:31">
      <c r="AC89" s="106" t="s">
        <v>341</v>
      </c>
      <c r="AD89" s="34" t="s">
        <v>625</v>
      </c>
      <c r="AE89" s="99"/>
    </row>
    <row r="90" spans="29:31">
      <c r="AC90" s="106" t="s">
        <v>344</v>
      </c>
      <c r="AD90" s="34" t="s">
        <v>625</v>
      </c>
      <c r="AE90" s="99"/>
    </row>
    <row r="91" spans="29:31">
      <c r="AC91" s="106" t="s">
        <v>345</v>
      </c>
      <c r="AD91" s="34" t="s">
        <v>625</v>
      </c>
      <c r="AE91" s="99"/>
    </row>
    <row r="92" spans="29:31">
      <c r="AC92" s="106" t="s">
        <v>346</v>
      </c>
      <c r="AD92" s="34" t="s">
        <v>625</v>
      </c>
      <c r="AE92" s="99"/>
    </row>
    <row r="93" spans="29:31">
      <c r="AC93" s="106" t="s">
        <v>349</v>
      </c>
      <c r="AD93" s="34" t="s">
        <v>625</v>
      </c>
      <c r="AE93" s="99"/>
    </row>
    <row r="94" spans="29:31" ht="12" customHeight="1">
      <c r="AC94" s="106" t="s">
        <v>350</v>
      </c>
      <c r="AD94" s="34" t="s">
        <v>625</v>
      </c>
      <c r="AE94" s="99"/>
    </row>
    <row r="95" spans="29:31">
      <c r="AC95" s="106" t="s">
        <v>353</v>
      </c>
      <c r="AD95" s="34" t="s">
        <v>625</v>
      </c>
      <c r="AE95" s="99"/>
    </row>
    <row r="96" spans="29:31">
      <c r="AC96" s="106" t="s">
        <v>671</v>
      </c>
      <c r="AD96" s="34" t="s">
        <v>656</v>
      </c>
      <c r="AE96" s="99"/>
    </row>
    <row r="97" spans="29:31">
      <c r="AC97" s="106" t="s">
        <v>672</v>
      </c>
      <c r="AD97" s="34" t="s">
        <v>656</v>
      </c>
      <c r="AE97" s="99"/>
    </row>
    <row r="98" spans="29:31" ht="13.5" customHeight="1">
      <c r="AC98" s="106" t="s">
        <v>673</v>
      </c>
      <c r="AD98" s="34" t="s">
        <v>641</v>
      </c>
      <c r="AE98" s="99"/>
    </row>
    <row r="99" spans="29:31">
      <c r="AC99" s="106" t="s">
        <v>674</v>
      </c>
      <c r="AD99" s="34" t="s">
        <v>641</v>
      </c>
      <c r="AE99" s="99"/>
    </row>
    <row r="100" spans="29:31">
      <c r="AC100" s="106" t="s">
        <v>675</v>
      </c>
      <c r="AD100" s="34" t="s">
        <v>641</v>
      </c>
      <c r="AE100" s="99"/>
    </row>
    <row r="101" spans="29:31">
      <c r="AC101" s="106" t="s">
        <v>676</v>
      </c>
      <c r="AD101" s="34" t="s">
        <v>641</v>
      </c>
      <c r="AE101" s="99"/>
    </row>
    <row r="102" spans="29:31" ht="12.75" customHeight="1">
      <c r="AC102" s="106" t="s">
        <v>677</v>
      </c>
      <c r="AD102" s="34" t="s">
        <v>678</v>
      </c>
      <c r="AE102" s="99"/>
    </row>
    <row r="103" spans="29:31">
      <c r="AC103" s="106" t="s">
        <v>679</v>
      </c>
      <c r="AD103" s="34" t="s">
        <v>678</v>
      </c>
      <c r="AE103" s="99"/>
    </row>
    <row r="104" spans="29:31">
      <c r="AC104" s="106" t="s">
        <v>355</v>
      </c>
      <c r="AD104" s="34" t="s">
        <v>644</v>
      </c>
      <c r="AE104" s="99"/>
    </row>
    <row r="105" spans="29:31">
      <c r="AC105" s="106" t="s">
        <v>356</v>
      </c>
      <c r="AD105" s="34" t="s">
        <v>645</v>
      </c>
      <c r="AE105" s="99"/>
    </row>
    <row r="106" spans="29:31">
      <c r="AC106" s="106" t="s">
        <v>357</v>
      </c>
      <c r="AD106" s="34" t="s">
        <v>646</v>
      </c>
      <c r="AE106" s="99"/>
    </row>
    <row r="107" spans="29:31">
      <c r="AC107" s="106" t="s">
        <v>358</v>
      </c>
      <c r="AD107" s="34" t="s">
        <v>647</v>
      </c>
      <c r="AE107" s="99"/>
    </row>
    <row r="108" spans="29:31">
      <c r="AC108" s="106" t="s">
        <v>360</v>
      </c>
      <c r="AD108" s="34" t="s">
        <v>648</v>
      </c>
      <c r="AE108" s="99"/>
    </row>
    <row r="109" spans="29:31">
      <c r="AC109" s="106" t="s">
        <v>361</v>
      </c>
      <c r="AD109" s="34" t="s">
        <v>625</v>
      </c>
      <c r="AE109" s="99"/>
    </row>
    <row r="110" spans="29:31">
      <c r="AC110" s="106" t="s">
        <v>362</v>
      </c>
      <c r="AD110" s="34" t="s">
        <v>625</v>
      </c>
      <c r="AE110" s="99"/>
    </row>
    <row r="111" spans="29:31">
      <c r="AC111" s="106" t="s">
        <v>363</v>
      </c>
      <c r="AD111" s="34" t="s">
        <v>625</v>
      </c>
      <c r="AE111" s="99"/>
    </row>
    <row r="112" spans="29:31">
      <c r="AC112" s="106" t="s">
        <v>364</v>
      </c>
      <c r="AD112" s="34" t="s">
        <v>625</v>
      </c>
      <c r="AE112" s="99"/>
    </row>
    <row r="113" spans="29:31">
      <c r="AC113" s="106" t="s">
        <v>365</v>
      </c>
      <c r="AD113" s="34" t="s">
        <v>625</v>
      </c>
      <c r="AE113" s="99"/>
    </row>
    <row r="114" spans="29:31">
      <c r="AC114" s="106" t="s">
        <v>368</v>
      </c>
      <c r="AD114" s="34" t="s">
        <v>656</v>
      </c>
      <c r="AE114" s="99"/>
    </row>
    <row r="115" spans="29:31">
      <c r="AC115" s="106" t="s">
        <v>369</v>
      </c>
      <c r="AD115" s="34" t="s">
        <v>656</v>
      </c>
      <c r="AE115" s="99"/>
    </row>
    <row r="116" spans="29:31">
      <c r="AC116" s="106" t="s">
        <v>370</v>
      </c>
      <c r="AD116" s="34" t="s">
        <v>656</v>
      </c>
      <c r="AE116" s="99"/>
    </row>
    <row r="117" spans="29:31">
      <c r="AC117" s="106" t="s">
        <v>371</v>
      </c>
      <c r="AD117" s="34" t="s">
        <v>680</v>
      </c>
      <c r="AE117" s="99"/>
    </row>
    <row r="118" spans="29:31">
      <c r="AC118" s="106" t="s">
        <v>372</v>
      </c>
      <c r="AD118" s="34" t="s">
        <v>681</v>
      </c>
      <c r="AE118" s="99"/>
    </row>
    <row r="119" spans="29:31">
      <c r="AC119" s="106" t="s">
        <v>682</v>
      </c>
      <c r="AD119" s="34" t="s">
        <v>681</v>
      </c>
      <c r="AE119" s="99"/>
    </row>
    <row r="120" spans="29:31">
      <c r="AC120" s="106" t="s">
        <v>683</v>
      </c>
      <c r="AD120" s="34" t="s">
        <v>681</v>
      </c>
      <c r="AE120" s="99"/>
    </row>
    <row r="121" spans="29:31">
      <c r="AC121" s="106" t="s">
        <v>684</v>
      </c>
      <c r="AD121" s="34" t="s">
        <v>681</v>
      </c>
      <c r="AE121" s="99"/>
    </row>
    <row r="122" spans="29:31">
      <c r="AC122" s="106" t="s">
        <v>685</v>
      </c>
      <c r="AD122" s="34" t="s">
        <v>681</v>
      </c>
      <c r="AE122" s="99"/>
    </row>
    <row r="123" spans="29:31">
      <c r="AC123" s="106" t="s">
        <v>686</v>
      </c>
      <c r="AD123" s="34" t="s">
        <v>687</v>
      </c>
      <c r="AE123" s="99"/>
    </row>
    <row r="124" spans="29:31">
      <c r="AC124" s="106" t="s">
        <v>688</v>
      </c>
      <c r="AD124" s="34" t="s">
        <v>689</v>
      </c>
      <c r="AE124" s="99"/>
    </row>
    <row r="125" spans="29:31">
      <c r="AC125" s="106" t="s">
        <v>690</v>
      </c>
      <c r="AD125" s="34" t="s">
        <v>689</v>
      </c>
      <c r="AE125" s="99"/>
    </row>
    <row r="126" spans="29:31">
      <c r="AC126" s="106" t="s">
        <v>691</v>
      </c>
      <c r="AD126" s="34" t="s">
        <v>689</v>
      </c>
      <c r="AE126" s="99"/>
    </row>
    <row r="127" spans="29:31">
      <c r="AC127" s="106" t="s">
        <v>692</v>
      </c>
      <c r="AD127" s="34" t="s">
        <v>689</v>
      </c>
      <c r="AE127" s="99"/>
    </row>
    <row r="128" spans="29:31">
      <c r="AC128" s="106" t="s">
        <v>693</v>
      </c>
      <c r="AD128" s="34" t="s">
        <v>689</v>
      </c>
      <c r="AE128" s="99"/>
    </row>
    <row r="129" spans="29:31">
      <c r="AC129" s="106" t="s">
        <v>373</v>
      </c>
      <c r="AD129" s="34" t="s">
        <v>644</v>
      </c>
      <c r="AE129" s="99"/>
    </row>
    <row r="130" spans="29:31">
      <c r="AC130" s="106" t="s">
        <v>374</v>
      </c>
      <c r="AD130" s="34" t="s">
        <v>645</v>
      </c>
      <c r="AE130" s="99"/>
    </row>
    <row r="131" spans="29:31">
      <c r="AC131" s="106" t="s">
        <v>375</v>
      </c>
      <c r="AD131" s="34" t="s">
        <v>646</v>
      </c>
      <c r="AE131" s="99"/>
    </row>
    <row r="132" spans="29:31">
      <c r="AC132" s="106" t="s">
        <v>378</v>
      </c>
      <c r="AD132" s="34" t="s">
        <v>647</v>
      </c>
      <c r="AE132" s="99"/>
    </row>
    <row r="133" spans="29:31">
      <c r="AC133" s="106" t="s">
        <v>379</v>
      </c>
      <c r="AD133" s="34" t="s">
        <v>648</v>
      </c>
      <c r="AE133" s="99"/>
    </row>
    <row r="134" spans="29:31">
      <c r="AC134" s="106" t="s">
        <v>380</v>
      </c>
      <c r="AD134" s="34" t="s">
        <v>625</v>
      </c>
      <c r="AE134" s="99"/>
    </row>
    <row r="135" spans="29:31">
      <c r="AC135" s="106" t="s">
        <v>381</v>
      </c>
      <c r="AD135" s="34" t="s">
        <v>625</v>
      </c>
      <c r="AE135" s="99"/>
    </row>
    <row r="136" spans="29:31">
      <c r="AC136" s="106" t="s">
        <v>382</v>
      </c>
      <c r="AD136" s="34" t="s">
        <v>625</v>
      </c>
      <c r="AE136" s="99"/>
    </row>
    <row r="137" spans="29:31">
      <c r="AC137" s="106" t="s">
        <v>383</v>
      </c>
      <c r="AD137" s="34" t="s">
        <v>625</v>
      </c>
      <c r="AE137" s="99"/>
    </row>
    <row r="138" spans="29:31">
      <c r="AC138" s="106" t="s">
        <v>384</v>
      </c>
      <c r="AD138" s="34" t="s">
        <v>625</v>
      </c>
      <c r="AE138" s="99"/>
    </row>
    <row r="139" spans="29:31">
      <c r="AC139" s="106" t="s">
        <v>385</v>
      </c>
      <c r="AD139" s="34" t="s">
        <v>656</v>
      </c>
      <c r="AE139" s="99"/>
    </row>
    <row r="140" spans="29:31">
      <c r="AC140" s="106" t="s">
        <v>386</v>
      </c>
      <c r="AD140" s="34" t="s">
        <v>656</v>
      </c>
      <c r="AE140" s="99"/>
    </row>
    <row r="141" spans="29:31">
      <c r="AC141" s="106" t="s">
        <v>387</v>
      </c>
      <c r="AD141" s="34" t="s">
        <v>681</v>
      </c>
      <c r="AE141" s="99"/>
    </row>
    <row r="142" spans="29:31">
      <c r="AC142" s="106" t="s">
        <v>388</v>
      </c>
      <c r="AD142" s="34" t="s">
        <v>681</v>
      </c>
      <c r="AE142" s="99"/>
    </row>
    <row r="143" spans="29:31">
      <c r="AC143" s="106" t="s">
        <v>389</v>
      </c>
      <c r="AD143" s="34" t="s">
        <v>681</v>
      </c>
      <c r="AE143" s="99"/>
    </row>
    <row r="144" spans="29:31">
      <c r="AC144" s="106" t="s">
        <v>694</v>
      </c>
      <c r="AD144" s="34" t="s">
        <v>681</v>
      </c>
      <c r="AE144" s="99"/>
    </row>
    <row r="145" spans="29:31">
      <c r="AC145" s="106" t="s">
        <v>695</v>
      </c>
      <c r="AD145" s="34" t="s">
        <v>681</v>
      </c>
      <c r="AE145" s="99"/>
    </row>
    <row r="146" spans="29:31">
      <c r="AC146" s="106" t="s">
        <v>696</v>
      </c>
      <c r="AD146" s="34" t="s">
        <v>681</v>
      </c>
      <c r="AE146" s="99"/>
    </row>
    <row r="147" spans="29:31">
      <c r="AC147" s="106" t="s">
        <v>697</v>
      </c>
      <c r="AD147" s="34" t="s">
        <v>687</v>
      </c>
      <c r="AE147" s="99"/>
    </row>
    <row r="148" spans="29:31">
      <c r="AC148" s="106" t="s">
        <v>698</v>
      </c>
      <c r="AD148" s="34" t="s">
        <v>687</v>
      </c>
      <c r="AE148" s="99"/>
    </row>
    <row r="149" spans="29:31">
      <c r="AC149" s="106" t="s">
        <v>699</v>
      </c>
      <c r="AD149" s="34" t="s">
        <v>700</v>
      </c>
      <c r="AE149" s="99"/>
    </row>
    <row r="150" spans="29:31">
      <c r="AC150" s="106" t="s">
        <v>701</v>
      </c>
      <c r="AD150" s="34" t="s">
        <v>700</v>
      </c>
      <c r="AE150" s="99"/>
    </row>
    <row r="151" spans="29:31">
      <c r="AC151" s="106" t="s">
        <v>702</v>
      </c>
      <c r="AD151" s="34" t="s">
        <v>700</v>
      </c>
      <c r="AE151" s="99"/>
    </row>
    <row r="152" spans="29:31">
      <c r="AC152" s="106" t="s">
        <v>703</v>
      </c>
      <c r="AD152" s="34" t="s">
        <v>700</v>
      </c>
      <c r="AE152" s="99"/>
    </row>
    <row r="153" spans="29:31">
      <c r="AC153" s="106" t="s">
        <v>704</v>
      </c>
      <c r="AD153" s="34" t="s">
        <v>700</v>
      </c>
      <c r="AE153" s="99"/>
    </row>
    <row r="154" spans="29:31">
      <c r="AC154" s="106" t="s">
        <v>705</v>
      </c>
      <c r="AD154" s="34" t="s">
        <v>700</v>
      </c>
      <c r="AE154" s="99"/>
    </row>
    <row r="155" spans="29:31">
      <c r="AC155" s="106" t="s">
        <v>390</v>
      </c>
      <c r="AD155" s="34" t="s">
        <v>644</v>
      </c>
      <c r="AE155" s="99"/>
    </row>
    <row r="156" spans="29:31">
      <c r="AC156" s="106" t="s">
        <v>391</v>
      </c>
      <c r="AD156" s="34" t="s">
        <v>645</v>
      </c>
      <c r="AE156" s="99"/>
    </row>
    <row r="157" spans="29:31">
      <c r="AC157" s="106" t="s">
        <v>392</v>
      </c>
      <c r="AD157" s="34" t="s">
        <v>646</v>
      </c>
      <c r="AE157" s="99"/>
    </row>
    <row r="158" spans="29:31">
      <c r="AC158" s="106" t="s">
        <v>393</v>
      </c>
      <c r="AD158" s="34" t="s">
        <v>647</v>
      </c>
      <c r="AE158" s="99"/>
    </row>
    <row r="159" spans="29:31">
      <c r="AC159" s="106" t="s">
        <v>394</v>
      </c>
      <c r="AD159" s="34" t="s">
        <v>648</v>
      </c>
      <c r="AE159" s="99"/>
    </row>
    <row r="160" spans="29:31">
      <c r="AC160" s="106" t="s">
        <v>395</v>
      </c>
      <c r="AD160" s="34" t="s">
        <v>625</v>
      </c>
      <c r="AE160" s="99"/>
    </row>
    <row r="161" spans="29:31">
      <c r="AC161" s="106" t="s">
        <v>396</v>
      </c>
      <c r="AD161" s="34" t="s">
        <v>625</v>
      </c>
      <c r="AE161" s="99"/>
    </row>
    <row r="162" spans="29:31">
      <c r="AC162" s="106" t="s">
        <v>397</v>
      </c>
      <c r="AD162" s="34" t="s">
        <v>625</v>
      </c>
      <c r="AE162" s="99"/>
    </row>
    <row r="163" spans="29:31">
      <c r="AC163" s="106" t="s">
        <v>398</v>
      </c>
      <c r="AD163" s="34" t="s">
        <v>625</v>
      </c>
      <c r="AE163" s="99"/>
    </row>
    <row r="164" spans="29:31">
      <c r="AC164" s="106" t="s">
        <v>399</v>
      </c>
      <c r="AD164" s="34" t="s">
        <v>625</v>
      </c>
      <c r="AE164" s="99"/>
    </row>
    <row r="165" spans="29:31">
      <c r="AC165" s="106" t="s">
        <v>400</v>
      </c>
      <c r="AD165" s="34" t="s">
        <v>656</v>
      </c>
      <c r="AE165" s="99"/>
    </row>
    <row r="166" spans="29:31">
      <c r="AC166" s="106" t="s">
        <v>401</v>
      </c>
      <c r="AD166" s="34" t="s">
        <v>656</v>
      </c>
      <c r="AE166" s="99"/>
    </row>
    <row r="167" spans="29:31">
      <c r="AC167" s="106" t="s">
        <v>402</v>
      </c>
      <c r="AD167" s="34" t="s">
        <v>681</v>
      </c>
      <c r="AE167" s="99"/>
    </row>
    <row r="168" spans="29:31">
      <c r="AC168" s="106" t="s">
        <v>403</v>
      </c>
      <c r="AD168" s="34" t="s">
        <v>681</v>
      </c>
      <c r="AE168" s="99"/>
    </row>
    <row r="169" spans="29:31">
      <c r="AC169" s="106" t="s">
        <v>404</v>
      </c>
      <c r="AD169" s="34" t="s">
        <v>681</v>
      </c>
      <c r="AE169" s="99"/>
    </row>
    <row r="170" spans="29:31">
      <c r="AC170" s="106" t="s">
        <v>405</v>
      </c>
      <c r="AD170" s="34" t="s">
        <v>681</v>
      </c>
      <c r="AE170" s="99"/>
    </row>
    <row r="171" spans="29:31">
      <c r="AC171" s="106" t="s">
        <v>406</v>
      </c>
      <c r="AD171" s="34" t="s">
        <v>681</v>
      </c>
      <c r="AE171" s="99"/>
    </row>
    <row r="172" spans="29:31">
      <c r="AC172" s="106" t="s">
        <v>407</v>
      </c>
      <c r="AD172" s="34" t="s">
        <v>706</v>
      </c>
      <c r="AE172" s="99"/>
    </row>
    <row r="173" spans="29:31">
      <c r="AC173" s="106" t="s">
        <v>707</v>
      </c>
      <c r="AD173" s="34" t="s">
        <v>700</v>
      </c>
      <c r="AE173" s="99"/>
    </row>
    <row r="174" spans="29:31">
      <c r="AC174" s="106" t="s">
        <v>708</v>
      </c>
      <c r="AD174" s="34" t="s">
        <v>700</v>
      </c>
      <c r="AE174" s="99"/>
    </row>
    <row r="175" spans="29:31">
      <c r="AC175" s="106" t="s">
        <v>709</v>
      </c>
      <c r="AD175" s="34" t="s">
        <v>700</v>
      </c>
      <c r="AE175" s="99"/>
    </row>
    <row r="176" spans="29:31">
      <c r="AC176" s="106" t="s">
        <v>710</v>
      </c>
      <c r="AD176" s="34" t="s">
        <v>700</v>
      </c>
      <c r="AE176" s="99"/>
    </row>
    <row r="177" spans="29:31">
      <c r="AC177" s="106" t="s">
        <v>711</v>
      </c>
      <c r="AD177" s="34" t="s">
        <v>700</v>
      </c>
      <c r="AE177" s="99"/>
    </row>
    <row r="178" spans="29:31">
      <c r="AC178" s="106" t="s">
        <v>712</v>
      </c>
      <c r="AD178" s="34" t="s">
        <v>700</v>
      </c>
      <c r="AE178" s="99"/>
    </row>
    <row r="179" spans="29:31">
      <c r="AC179" s="106" t="s">
        <v>713</v>
      </c>
      <c r="AD179" s="34" t="s">
        <v>700</v>
      </c>
      <c r="AE179" s="99"/>
    </row>
    <row r="180" spans="29:31">
      <c r="AC180" s="106" t="s">
        <v>714</v>
      </c>
      <c r="AD180" s="34" t="s">
        <v>700</v>
      </c>
      <c r="AE180" s="99"/>
    </row>
    <row r="181" spans="29:31">
      <c r="AC181" s="106" t="s">
        <v>408</v>
      </c>
      <c r="AD181" s="34" t="s">
        <v>715</v>
      </c>
      <c r="AE181" s="99"/>
    </row>
    <row r="182" spans="29:31">
      <c r="AC182" s="106" t="s">
        <v>409</v>
      </c>
      <c r="AD182" s="34" t="s">
        <v>715</v>
      </c>
      <c r="AE182" s="99"/>
    </row>
    <row r="183" spans="29:31">
      <c r="AC183" s="106" t="s">
        <v>410</v>
      </c>
      <c r="AD183" s="34" t="s">
        <v>715</v>
      </c>
      <c r="AE183" s="99"/>
    </row>
    <row r="184" spans="29:31">
      <c r="AC184" s="106" t="s">
        <v>411</v>
      </c>
      <c r="AD184" s="34" t="s">
        <v>706</v>
      </c>
      <c r="AE184" s="99"/>
    </row>
    <row r="185" spans="29:31">
      <c r="AC185" s="106" t="s">
        <v>412</v>
      </c>
      <c r="AD185" s="34" t="s">
        <v>706</v>
      </c>
      <c r="AE185" s="99"/>
    </row>
    <row r="186" spans="29:31">
      <c r="AC186" s="106" t="s">
        <v>413</v>
      </c>
      <c r="AD186" s="34" t="s">
        <v>700</v>
      </c>
      <c r="AE186" s="99"/>
    </row>
    <row r="187" spans="29:31">
      <c r="AC187" s="106" t="s">
        <v>414</v>
      </c>
      <c r="AD187" s="34" t="s">
        <v>700</v>
      </c>
      <c r="AE187" s="99"/>
    </row>
    <row r="188" spans="29:31">
      <c r="AC188" s="106" t="s">
        <v>415</v>
      </c>
      <c r="AD188" s="34" t="s">
        <v>700</v>
      </c>
      <c r="AE188" s="99"/>
    </row>
    <row r="189" spans="29:31">
      <c r="AC189" s="106" t="s">
        <v>416</v>
      </c>
      <c r="AD189" s="34" t="s">
        <v>700</v>
      </c>
      <c r="AE189" s="99"/>
    </row>
    <row r="190" spans="29:31">
      <c r="AC190" s="106" t="s">
        <v>417</v>
      </c>
      <c r="AD190" s="34" t="s">
        <v>700</v>
      </c>
      <c r="AE190" s="99"/>
    </row>
    <row r="191" spans="29:31">
      <c r="AC191" s="106" t="s">
        <v>418</v>
      </c>
      <c r="AD191" s="34" t="s">
        <v>700</v>
      </c>
      <c r="AE191" s="99"/>
    </row>
    <row r="192" spans="29:31">
      <c r="AC192" s="106" t="s">
        <v>419</v>
      </c>
      <c r="AD192" s="34" t="s">
        <v>700</v>
      </c>
      <c r="AE192" s="99"/>
    </row>
    <row r="193" spans="29:31">
      <c r="AC193" s="106" t="s">
        <v>420</v>
      </c>
      <c r="AD193" s="34" t="s">
        <v>700</v>
      </c>
      <c r="AE193" s="99"/>
    </row>
    <row r="194" spans="29:31">
      <c r="AC194" s="106" t="s">
        <v>424</v>
      </c>
      <c r="AD194" s="34" t="s">
        <v>715</v>
      </c>
      <c r="AE194" s="99"/>
    </row>
    <row r="195" spans="29:31">
      <c r="AC195" s="106" t="s">
        <v>425</v>
      </c>
      <c r="AD195" s="34" t="s">
        <v>715</v>
      </c>
      <c r="AE195" s="99"/>
    </row>
    <row r="196" spans="29:31">
      <c r="AC196" s="106" t="s">
        <v>426</v>
      </c>
      <c r="AD196" s="34" t="s">
        <v>715</v>
      </c>
      <c r="AE196" s="99"/>
    </row>
    <row r="197" spans="29:31">
      <c r="AC197" s="106" t="s">
        <v>427</v>
      </c>
      <c r="AD197" s="34" t="s">
        <v>715</v>
      </c>
      <c r="AE197" s="99"/>
    </row>
    <row r="198" spans="29:31">
      <c r="AC198" s="106" t="s">
        <v>428</v>
      </c>
      <c r="AD198" s="34" t="s">
        <v>700</v>
      </c>
      <c r="AE198" s="99"/>
    </row>
    <row r="199" spans="29:31">
      <c r="AC199" s="106" t="s">
        <v>429</v>
      </c>
      <c r="AD199" s="34" t="s">
        <v>700</v>
      </c>
      <c r="AE199" s="99"/>
    </row>
    <row r="200" spans="29:31">
      <c r="AC200" s="106" t="s">
        <v>430</v>
      </c>
      <c r="AD200" s="34" t="s">
        <v>700</v>
      </c>
      <c r="AE200" s="99"/>
    </row>
    <row r="201" spans="29:31">
      <c r="AC201" s="106" t="s">
        <v>431</v>
      </c>
      <c r="AD201" s="34" t="s">
        <v>700</v>
      </c>
      <c r="AE201" s="99"/>
    </row>
    <row r="202" spans="29:31">
      <c r="AC202" s="106" t="s">
        <v>432</v>
      </c>
      <c r="AD202" s="34" t="s">
        <v>700</v>
      </c>
      <c r="AE202" s="99"/>
    </row>
    <row r="203" spans="29:31">
      <c r="AC203" s="106" t="s">
        <v>433</v>
      </c>
      <c r="AD203" s="34" t="s">
        <v>700</v>
      </c>
      <c r="AE203" s="99"/>
    </row>
    <row r="204" spans="29:31">
      <c r="AC204" s="106" t="s">
        <v>434</v>
      </c>
      <c r="AD204" s="34" t="s">
        <v>700</v>
      </c>
      <c r="AE204" s="99"/>
    </row>
    <row r="205" spans="29:31">
      <c r="AC205" s="106" t="s">
        <v>435</v>
      </c>
      <c r="AD205" s="34" t="s">
        <v>700</v>
      </c>
      <c r="AE205" s="99"/>
    </row>
    <row r="206" spans="29:31" ht="13.5" thickBot="1">
      <c r="AC206" s="145" t="s">
        <v>436</v>
      </c>
      <c r="AD206" s="151" t="s">
        <v>700</v>
      </c>
      <c r="AE206" s="100"/>
    </row>
  </sheetData>
  <pageMargins left="0.75" right="0.75" top="1" bottom="1" header="0.5" footer="0.5"/>
  <pageSetup paperSize="564" orientation="portrait" horizontalDpi="4294967295" verticalDpi="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List Box 1">
              <controlPr locked="0" defaultSize="0" autoFill="0" autoLine="0" autoPict="0">
                <anchor moveWithCells="1">
                  <from>
                    <xdr:col>2</xdr:col>
                    <xdr:colOff>304800</xdr:colOff>
                    <xdr:row>15</xdr:row>
                    <xdr:rowOff>47625</xdr:rowOff>
                  </from>
                  <to>
                    <xdr:col>3</xdr:col>
                    <xdr:colOff>304800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List Box 2">
              <controlPr locked="0" defaultSize="0" autoFill="0" autoLine="0" autoPict="0">
                <anchor moveWithCells="1">
                  <from>
                    <xdr:col>6</xdr:col>
                    <xdr:colOff>323850</xdr:colOff>
                    <xdr:row>15</xdr:row>
                    <xdr:rowOff>38100</xdr:rowOff>
                  </from>
                  <to>
                    <xdr:col>8</xdr:col>
                    <xdr:colOff>38100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List Box 3">
              <controlPr locked="0" defaultSize="0" autoFill="0" autoLine="0" autoPict="0">
                <anchor moveWithCells="1">
                  <from>
                    <xdr:col>10</xdr:col>
                    <xdr:colOff>95250</xdr:colOff>
                    <xdr:row>15</xdr:row>
                    <xdr:rowOff>85725</xdr:rowOff>
                  </from>
                  <to>
                    <xdr:col>11</xdr:col>
                    <xdr:colOff>247650</xdr:colOff>
                    <xdr:row>25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17"/>
  <dimension ref="B1:AL72"/>
  <sheetViews>
    <sheetView workbookViewId="0">
      <selection activeCell="A20" sqref="A20"/>
    </sheetView>
  </sheetViews>
  <sheetFormatPr defaultRowHeight="12.75"/>
  <cols>
    <col min="1" max="1" width="1.85546875" customWidth="1"/>
    <col min="2" max="2" width="1.28515625" customWidth="1"/>
    <col min="3" max="3" width="4.5703125" customWidth="1"/>
    <col min="4" max="4" width="5.140625" customWidth="1"/>
    <col min="5" max="5" width="5.42578125" customWidth="1"/>
    <col min="6" max="6" width="8.28515625" customWidth="1"/>
    <col min="7" max="7" width="7" customWidth="1"/>
    <col min="8" max="8" width="6.42578125" customWidth="1"/>
    <col min="9" max="9" width="3.7109375" customWidth="1"/>
    <col min="10" max="10" width="1.28515625" customWidth="1"/>
    <col min="11" max="11" width="3.28515625" customWidth="1"/>
    <col min="12" max="12" width="3.140625" customWidth="1"/>
    <col min="13" max="13" width="1.28515625" customWidth="1"/>
    <col min="14" max="14" width="5" customWidth="1"/>
    <col min="15" max="15" width="5.42578125" customWidth="1"/>
    <col min="16" max="16" width="5.140625" customWidth="1"/>
    <col min="17" max="17" width="8.140625" customWidth="1"/>
    <col min="18" max="18" width="6.42578125" customWidth="1"/>
    <col min="19" max="19" width="7.28515625" customWidth="1"/>
    <col min="20" max="20" width="4" customWidth="1"/>
    <col min="21" max="21" width="1.42578125" customWidth="1"/>
    <col min="22" max="22" width="3.42578125" customWidth="1"/>
    <col min="23" max="23" width="4.140625" customWidth="1"/>
    <col min="24" max="24" width="4.7109375" customWidth="1"/>
    <col min="26" max="26" width="4.5703125" hidden="1" customWidth="1"/>
    <col min="27" max="27" width="3" hidden="1" customWidth="1"/>
    <col min="28" max="28" width="5.85546875" hidden="1" customWidth="1"/>
    <col min="29" max="29" width="6.85546875" hidden="1" customWidth="1"/>
    <col min="30" max="30" width="3" hidden="1" customWidth="1"/>
    <col min="31" max="31" width="6.7109375" hidden="1" customWidth="1"/>
    <col min="32" max="32" width="5.7109375" hidden="1" customWidth="1"/>
    <col min="33" max="33" width="6.7109375" hidden="1" customWidth="1"/>
    <col min="34" max="34" width="3" hidden="1" customWidth="1"/>
    <col min="35" max="35" width="6.28515625" hidden="1" customWidth="1"/>
    <col min="36" max="36" width="7.42578125" hidden="1" customWidth="1"/>
    <col min="37" max="37" width="3" hidden="1" customWidth="1"/>
    <col min="38" max="38" width="5.85546875" hidden="1" customWidth="1"/>
    <col min="39" max="39" width="0" hidden="1" customWidth="1"/>
  </cols>
  <sheetData>
    <row r="1" spans="2:21" ht="22.5" customHeight="1" thickBot="1"/>
    <row r="2" spans="2:21" ht="12.75" customHeight="1">
      <c r="B2" s="271"/>
      <c r="C2" s="272"/>
      <c r="D2" s="272"/>
      <c r="E2" s="272"/>
      <c r="F2" s="273" t="s">
        <v>716</v>
      </c>
      <c r="G2" s="272"/>
      <c r="H2" s="272"/>
      <c r="I2" s="272"/>
      <c r="J2" s="274"/>
      <c r="M2" s="223"/>
      <c r="N2" s="224"/>
      <c r="O2" s="224"/>
      <c r="P2" s="224"/>
      <c r="Q2" s="225" t="s">
        <v>717</v>
      </c>
      <c r="R2" s="224"/>
      <c r="S2" s="224"/>
      <c r="T2" s="224"/>
      <c r="U2" s="226"/>
    </row>
    <row r="3" spans="2:21" ht="12.75" customHeight="1" thickBot="1">
      <c r="B3" s="275"/>
      <c r="C3" s="276"/>
      <c r="D3" s="276"/>
      <c r="E3" s="276"/>
      <c r="F3" s="277" t="s">
        <v>718</v>
      </c>
      <c r="G3" s="276"/>
      <c r="H3" s="276"/>
      <c r="I3" s="276"/>
      <c r="J3" s="278"/>
      <c r="M3" s="227"/>
      <c r="N3" s="217"/>
      <c r="O3" s="217"/>
      <c r="P3" s="217"/>
      <c r="Q3" s="222" t="s">
        <v>719</v>
      </c>
      <c r="R3" s="217"/>
      <c r="S3" s="217"/>
      <c r="T3" s="217"/>
      <c r="U3" s="228"/>
    </row>
    <row r="4" spans="2:21" ht="11.25" customHeight="1" thickBot="1">
      <c r="B4" s="275"/>
      <c r="C4" s="276"/>
      <c r="D4" s="276"/>
      <c r="E4" s="276"/>
      <c r="F4" s="277" t="s">
        <v>720</v>
      </c>
      <c r="G4" s="276"/>
      <c r="H4" s="276"/>
      <c r="I4" s="276"/>
      <c r="J4" s="278"/>
      <c r="M4" s="227"/>
      <c r="N4" s="302" t="s">
        <v>583</v>
      </c>
      <c r="O4" s="188"/>
      <c r="P4" s="217"/>
      <c r="Q4" s="217"/>
      <c r="R4" s="217"/>
      <c r="S4" s="303" t="s">
        <v>721</v>
      </c>
      <c r="T4" s="257"/>
      <c r="U4" s="228"/>
    </row>
    <row r="5" spans="2:21" ht="12.75" customHeight="1" thickBot="1">
      <c r="B5" s="275"/>
      <c r="C5" s="187" t="s">
        <v>722</v>
      </c>
      <c r="D5" s="188"/>
      <c r="E5" s="276"/>
      <c r="F5" s="276"/>
      <c r="G5" s="276"/>
      <c r="H5" s="256" t="s">
        <v>723</v>
      </c>
      <c r="I5" s="257"/>
      <c r="J5" s="278"/>
      <c r="M5" s="227"/>
      <c r="N5" s="194" t="s">
        <v>724</v>
      </c>
      <c r="O5" s="195"/>
      <c r="P5" s="218"/>
      <c r="Q5" s="307"/>
      <c r="R5" s="308"/>
      <c r="S5" s="258" t="s">
        <v>724</v>
      </c>
      <c r="T5" s="259"/>
      <c r="U5" s="228"/>
    </row>
    <row r="6" spans="2:21" ht="13.5" customHeight="1" thickBot="1">
      <c r="B6" s="288"/>
      <c r="C6" s="194" t="s">
        <v>724</v>
      </c>
      <c r="D6" s="195"/>
      <c r="E6" s="279"/>
      <c r="F6" s="280"/>
      <c r="G6" s="281"/>
      <c r="H6" s="258" t="s">
        <v>724</v>
      </c>
      <c r="I6" s="259"/>
      <c r="J6" s="287"/>
      <c r="M6" s="229"/>
      <c r="N6" s="260"/>
      <c r="O6" s="261"/>
      <c r="P6" s="218"/>
      <c r="Q6" s="309"/>
      <c r="R6" s="310"/>
      <c r="S6" s="266"/>
      <c r="T6" s="267"/>
      <c r="U6" s="230"/>
    </row>
    <row r="7" spans="2:21" ht="12" customHeight="1">
      <c r="B7" s="288"/>
      <c r="C7" s="260"/>
      <c r="D7" s="261"/>
      <c r="E7" s="279"/>
      <c r="F7" s="282"/>
      <c r="G7" s="283"/>
      <c r="H7" s="266"/>
      <c r="I7" s="267"/>
      <c r="J7" s="287"/>
      <c r="M7" s="229"/>
      <c r="N7" s="262"/>
      <c r="O7" s="263"/>
      <c r="P7" s="217"/>
      <c r="Q7" s="217"/>
      <c r="R7" s="217"/>
      <c r="S7" s="176"/>
      <c r="T7" s="177"/>
      <c r="U7" s="230"/>
    </row>
    <row r="8" spans="2:21" ht="12.75" customHeight="1">
      <c r="B8" s="275"/>
      <c r="C8" s="262"/>
      <c r="D8" s="263"/>
      <c r="E8" s="276"/>
      <c r="F8" s="284"/>
      <c r="G8" s="284"/>
      <c r="H8" s="176"/>
      <c r="I8" s="177"/>
      <c r="J8" s="278"/>
      <c r="M8" s="227"/>
      <c r="N8" s="262"/>
      <c r="O8" s="263"/>
      <c r="P8" s="217"/>
      <c r="Q8" s="217"/>
      <c r="R8" s="217"/>
      <c r="S8" s="176"/>
      <c r="T8" s="177"/>
      <c r="U8" s="228"/>
    </row>
    <row r="9" spans="2:21" ht="12.75" customHeight="1">
      <c r="B9" s="275"/>
      <c r="C9" s="262"/>
      <c r="D9" s="263"/>
      <c r="E9" s="276"/>
      <c r="F9" s="284"/>
      <c r="G9" s="284"/>
      <c r="H9" s="176"/>
      <c r="I9" s="177"/>
      <c r="J9" s="278"/>
      <c r="M9" s="227"/>
      <c r="N9" s="262"/>
      <c r="O9" s="263"/>
      <c r="P9" s="217"/>
      <c r="Q9" s="217"/>
      <c r="R9" s="217"/>
      <c r="S9" s="176"/>
      <c r="T9" s="177"/>
      <c r="U9" s="228"/>
    </row>
    <row r="10" spans="2:21" ht="12" customHeight="1">
      <c r="B10" s="275"/>
      <c r="C10" s="262"/>
      <c r="D10" s="263"/>
      <c r="E10" s="276"/>
      <c r="F10" s="276"/>
      <c r="G10" s="276"/>
      <c r="H10" s="176"/>
      <c r="I10" s="177"/>
      <c r="J10" s="278"/>
      <c r="M10" s="227"/>
      <c r="N10" s="262"/>
      <c r="O10" s="263"/>
      <c r="P10" s="217"/>
      <c r="Q10" s="217"/>
      <c r="R10" s="217"/>
      <c r="S10" s="176"/>
      <c r="T10" s="177"/>
      <c r="U10" s="228"/>
    </row>
    <row r="11" spans="2:21" ht="12" customHeight="1">
      <c r="B11" s="275"/>
      <c r="C11" s="262"/>
      <c r="D11" s="263"/>
      <c r="E11" s="276"/>
      <c r="F11" s="276"/>
      <c r="G11" s="276"/>
      <c r="H11" s="176"/>
      <c r="I11" s="177"/>
      <c r="J11" s="278"/>
      <c r="M11" s="227"/>
      <c r="N11" s="262"/>
      <c r="O11" s="263"/>
      <c r="P11" s="217"/>
      <c r="Q11" s="217"/>
      <c r="R11" s="217"/>
      <c r="S11" s="176"/>
      <c r="T11" s="177"/>
      <c r="U11" s="228"/>
    </row>
    <row r="12" spans="2:21" ht="12" customHeight="1">
      <c r="B12" s="275"/>
      <c r="C12" s="262"/>
      <c r="D12" s="263"/>
      <c r="E12" s="276"/>
      <c r="F12" s="276"/>
      <c r="G12" s="276"/>
      <c r="H12" s="176"/>
      <c r="I12" s="177"/>
      <c r="J12" s="278"/>
      <c r="M12" s="227"/>
      <c r="N12" s="262"/>
      <c r="O12" s="263"/>
      <c r="P12" s="217"/>
      <c r="Q12" s="311"/>
      <c r="R12" s="312"/>
      <c r="S12" s="176"/>
      <c r="T12" s="177"/>
      <c r="U12" s="228"/>
    </row>
    <row r="13" spans="2:21" ht="12" customHeight="1">
      <c r="B13" s="275"/>
      <c r="C13" s="262"/>
      <c r="D13" s="263"/>
      <c r="E13" s="276"/>
      <c r="F13" s="285"/>
      <c r="G13" s="286"/>
      <c r="H13" s="176"/>
      <c r="I13" s="177"/>
      <c r="J13" s="278"/>
      <c r="M13" s="227"/>
      <c r="N13" s="262"/>
      <c r="O13" s="263"/>
      <c r="P13" s="217"/>
      <c r="Q13" s="217"/>
      <c r="R13" s="217"/>
      <c r="S13" s="176"/>
      <c r="T13" s="177"/>
      <c r="U13" s="228"/>
    </row>
    <row r="14" spans="2:21" ht="12" customHeight="1">
      <c r="B14" s="275"/>
      <c r="C14" s="262"/>
      <c r="D14" s="263"/>
      <c r="E14" s="276"/>
      <c r="F14" s="276"/>
      <c r="G14" s="276"/>
      <c r="H14" s="176"/>
      <c r="I14" s="177"/>
      <c r="J14" s="278"/>
      <c r="M14" s="227"/>
      <c r="N14" s="262"/>
      <c r="O14" s="263"/>
      <c r="P14" s="217"/>
      <c r="Q14" s="313"/>
      <c r="R14" s="217"/>
      <c r="S14" s="176"/>
      <c r="T14" s="177"/>
      <c r="U14" s="228"/>
    </row>
    <row r="15" spans="2:21" ht="12" customHeight="1">
      <c r="B15" s="275"/>
      <c r="C15" s="262"/>
      <c r="D15" s="263"/>
      <c r="E15" s="276"/>
      <c r="F15" s="293" t="s">
        <v>725</v>
      </c>
      <c r="G15" s="276"/>
      <c r="H15" s="176"/>
      <c r="I15" s="177"/>
      <c r="J15" s="278"/>
      <c r="M15" s="227"/>
      <c r="N15" s="262"/>
      <c r="O15" s="263"/>
      <c r="P15" s="217"/>
      <c r="Q15" s="313" t="s">
        <v>725</v>
      </c>
      <c r="R15" s="217"/>
      <c r="S15" s="176"/>
      <c r="T15" s="177"/>
      <c r="U15" s="228"/>
    </row>
    <row r="16" spans="2:21" ht="12" customHeight="1">
      <c r="B16" s="275"/>
      <c r="C16" s="262"/>
      <c r="D16" s="263"/>
      <c r="E16" s="276"/>
      <c r="F16" s="294">
        <f>C17*H17*1000/1000^3*7852.2</f>
        <v>87.944639999999993</v>
      </c>
      <c r="G16" s="295" t="s">
        <v>1483</v>
      </c>
      <c r="H16" s="176"/>
      <c r="I16" s="177"/>
      <c r="J16" s="278"/>
      <c r="M16" s="227"/>
      <c r="N16" s="262"/>
      <c r="O16" s="263"/>
      <c r="P16" s="217"/>
      <c r="Q16" s="220">
        <f>N17*S17*1000/1000^3*7852.2</f>
        <v>42.401879999999998</v>
      </c>
      <c r="R16" s="221" t="s">
        <v>1483</v>
      </c>
      <c r="S16" s="176"/>
      <c r="T16" s="177"/>
      <c r="U16" s="228"/>
    </row>
    <row r="17" spans="2:38" ht="14.25" customHeight="1" thickBot="1">
      <c r="B17" s="275"/>
      <c r="C17" s="264">
        <f>AB32</f>
        <v>28</v>
      </c>
      <c r="D17" s="265" t="s">
        <v>1545</v>
      </c>
      <c r="E17" s="276"/>
      <c r="F17" s="276"/>
      <c r="G17" s="276"/>
      <c r="H17" s="178">
        <f>AE32</f>
        <v>400</v>
      </c>
      <c r="I17" s="268" t="s">
        <v>1545</v>
      </c>
      <c r="J17" s="278"/>
      <c r="M17" s="227"/>
      <c r="N17" s="264">
        <f>AI32</f>
        <v>45</v>
      </c>
      <c r="O17" s="265" t="s">
        <v>1545</v>
      </c>
      <c r="P17" s="217"/>
      <c r="Q17" s="217"/>
      <c r="R17" s="217"/>
      <c r="S17" s="304">
        <f>AL32</f>
        <v>120</v>
      </c>
      <c r="T17" s="268" t="s">
        <v>1545</v>
      </c>
      <c r="U17" s="228"/>
    </row>
    <row r="18" spans="2:38" ht="4.5" customHeight="1" thickBot="1">
      <c r="B18" s="288"/>
      <c r="C18" s="276"/>
      <c r="D18" s="276"/>
      <c r="E18" s="276"/>
      <c r="F18" s="276"/>
      <c r="G18" s="276"/>
      <c r="H18" s="276"/>
      <c r="I18" s="276"/>
      <c r="J18" s="287"/>
      <c r="M18" s="227"/>
      <c r="N18" s="217"/>
      <c r="O18" s="217"/>
      <c r="P18" s="217"/>
      <c r="Q18" s="217"/>
      <c r="R18" s="217"/>
      <c r="S18" s="217"/>
      <c r="T18" s="217"/>
      <c r="U18" s="228"/>
    </row>
    <row r="19" spans="2:38" ht="12.75" customHeight="1">
      <c r="B19" s="288"/>
      <c r="C19" s="284"/>
      <c r="D19" s="252"/>
      <c r="E19" s="269" t="s">
        <v>726</v>
      </c>
      <c r="F19" s="1196"/>
      <c r="G19" s="253" t="s">
        <v>1926</v>
      </c>
      <c r="H19" s="279"/>
      <c r="I19" s="279"/>
      <c r="J19" s="287"/>
      <c r="M19" s="229"/>
      <c r="N19" s="217"/>
      <c r="O19" s="317"/>
      <c r="P19" s="318" t="s">
        <v>726</v>
      </c>
      <c r="Q19" s="1198"/>
      <c r="R19" s="319" t="s">
        <v>1926</v>
      </c>
      <c r="S19" s="218"/>
      <c r="T19" s="218"/>
      <c r="U19" s="230"/>
    </row>
    <row r="20" spans="2:38" ht="12.75" customHeight="1">
      <c r="B20" s="288"/>
      <c r="C20" s="284"/>
      <c r="D20" s="296"/>
      <c r="E20" s="297" t="s">
        <v>727</v>
      </c>
      <c r="F20" s="305">
        <f>F16*F19</f>
        <v>0</v>
      </c>
      <c r="G20" s="298" t="s">
        <v>1483</v>
      </c>
      <c r="H20" s="279"/>
      <c r="I20" s="279"/>
      <c r="J20" s="287"/>
      <c r="M20" s="229"/>
      <c r="N20" s="217"/>
      <c r="O20" s="320"/>
      <c r="P20" s="315" t="s">
        <v>727</v>
      </c>
      <c r="Q20" s="316">
        <f>Q16*Q19</f>
        <v>0</v>
      </c>
      <c r="R20" s="321" t="s">
        <v>1483</v>
      </c>
      <c r="S20" s="218"/>
      <c r="T20" s="218"/>
      <c r="U20" s="230"/>
    </row>
    <row r="21" spans="2:38" ht="12.75" customHeight="1">
      <c r="B21" s="288"/>
      <c r="C21" s="284"/>
      <c r="D21" s="254"/>
      <c r="E21" s="270" t="s">
        <v>728</v>
      </c>
      <c r="F21" s="1197"/>
      <c r="G21" s="255" t="s">
        <v>1483</v>
      </c>
      <c r="H21" s="279"/>
      <c r="I21" s="279"/>
      <c r="J21" s="287"/>
      <c r="M21" s="229"/>
      <c r="N21" s="217"/>
      <c r="O21" s="322"/>
      <c r="P21" s="270" t="s">
        <v>728</v>
      </c>
      <c r="Q21" s="1197"/>
      <c r="R21" s="323" t="s">
        <v>1483</v>
      </c>
      <c r="S21" s="218"/>
      <c r="T21" s="218"/>
      <c r="U21" s="230"/>
    </row>
    <row r="22" spans="2:38" ht="12.75" customHeight="1" thickBot="1">
      <c r="B22" s="288"/>
      <c r="C22" s="284"/>
      <c r="D22" s="299"/>
      <c r="E22" s="300" t="s">
        <v>729</v>
      </c>
      <c r="F22" s="306">
        <f>F21/F16</f>
        <v>0</v>
      </c>
      <c r="G22" s="301" t="s">
        <v>1926</v>
      </c>
      <c r="H22" s="279"/>
      <c r="I22" s="279"/>
      <c r="J22" s="287"/>
      <c r="M22" s="229"/>
      <c r="N22" s="217"/>
      <c r="O22" s="324"/>
      <c r="P22" s="325" t="s">
        <v>729</v>
      </c>
      <c r="Q22" s="326">
        <f>Q21/Q16</f>
        <v>0</v>
      </c>
      <c r="R22" s="327" t="s">
        <v>1926</v>
      </c>
      <c r="S22" s="218"/>
      <c r="T22" s="218"/>
      <c r="U22" s="230"/>
    </row>
    <row r="23" spans="2:38" ht="4.5" customHeight="1" thickBot="1">
      <c r="B23" s="291"/>
      <c r="C23" s="292"/>
      <c r="D23" s="292"/>
      <c r="E23" s="292"/>
      <c r="F23" s="292"/>
      <c r="G23" s="292"/>
      <c r="H23" s="289"/>
      <c r="I23" s="289"/>
      <c r="J23" s="290"/>
      <c r="M23" s="231"/>
      <c r="N23" s="232"/>
      <c r="O23" s="232"/>
      <c r="P23" s="232"/>
      <c r="Q23" s="232"/>
      <c r="R23" s="232"/>
      <c r="S23" s="314"/>
      <c r="T23" s="314"/>
      <c r="U23" s="233"/>
    </row>
    <row r="24" spans="2:38" ht="12.75" customHeight="1" thickBot="1"/>
    <row r="25" spans="2:38" ht="12.75" customHeight="1" thickBot="1">
      <c r="E25" s="207" t="s">
        <v>599</v>
      </c>
      <c r="F25" s="165">
        <f>0.78522042646277*10000</f>
        <v>7852.2042646277005</v>
      </c>
      <c r="G25" t="s">
        <v>600</v>
      </c>
    </row>
    <row r="26" spans="2:38" ht="12.75" customHeight="1"/>
    <row r="27" spans="2:38" ht="12.75" customHeight="1"/>
    <row r="28" spans="2:38" ht="12.75" customHeight="1"/>
    <row r="29" spans="2:38" ht="12.75" customHeight="1"/>
    <row r="30" spans="2:38">
      <c r="AJ30">
        <f>AI32*AL32</f>
        <v>5400</v>
      </c>
    </row>
    <row r="31" spans="2:38">
      <c r="AC31" s="1" t="s">
        <v>730</v>
      </c>
      <c r="AJ31" s="1" t="s">
        <v>731</v>
      </c>
    </row>
    <row r="32" spans="2:38">
      <c r="AB32" s="149">
        <f>VLOOKUP(AB33,AA35:AB56,2,FALSE)</f>
        <v>28</v>
      </c>
      <c r="AE32" s="43">
        <f>VLOOKUP(AE33,AD35:AE67,2,FALSE)</f>
        <v>400</v>
      </c>
      <c r="AI32" s="247">
        <f>VLOOKUP(AI33,AH35:AI58,2,FALSE)</f>
        <v>45</v>
      </c>
      <c r="AL32" s="248">
        <f>VLOOKUP(AL33,AK35:AL72,2,FALSE)</f>
        <v>120</v>
      </c>
    </row>
    <row r="33" spans="27:38">
      <c r="AB33" s="1038">
        <v>14</v>
      </c>
      <c r="AE33" s="1038">
        <v>13</v>
      </c>
      <c r="AI33" s="1038">
        <v>21</v>
      </c>
      <c r="AL33" s="1038">
        <v>29</v>
      </c>
    </row>
    <row r="34" spans="27:38" ht="13.5">
      <c r="AB34" s="69" t="s">
        <v>284</v>
      </c>
      <c r="AE34" s="69" t="s">
        <v>598</v>
      </c>
      <c r="AI34" s="246" t="s">
        <v>284</v>
      </c>
      <c r="AL34" s="246" t="s">
        <v>598</v>
      </c>
    </row>
    <row r="35" spans="27:38">
      <c r="AA35">
        <v>1</v>
      </c>
      <c r="AB35">
        <v>6</v>
      </c>
      <c r="AD35">
        <v>1</v>
      </c>
      <c r="AE35">
        <v>200</v>
      </c>
      <c r="AH35">
        <v>1</v>
      </c>
      <c r="AI35">
        <v>4</v>
      </c>
      <c r="AK35">
        <v>1</v>
      </c>
      <c r="AL35" t="str">
        <f>IF(AI32=5,11,"")</f>
        <v/>
      </c>
    </row>
    <row r="36" spans="27:38">
      <c r="AA36">
        <v>2</v>
      </c>
      <c r="AB36">
        <v>7</v>
      </c>
      <c r="AD36">
        <v>2</v>
      </c>
      <c r="AE36">
        <v>210</v>
      </c>
      <c r="AH36">
        <v>2</v>
      </c>
      <c r="AI36">
        <v>5</v>
      </c>
      <c r="AK36">
        <v>2</v>
      </c>
      <c r="AL36" t="str">
        <f>IF(AI32&gt;8,"",12)</f>
        <v/>
      </c>
    </row>
    <row r="37" spans="27:38">
      <c r="AA37">
        <v>3</v>
      </c>
      <c r="AB37">
        <v>8</v>
      </c>
      <c r="AD37">
        <v>3</v>
      </c>
      <c r="AE37">
        <v>220</v>
      </c>
      <c r="AH37">
        <v>3</v>
      </c>
      <c r="AI37">
        <v>6</v>
      </c>
      <c r="AK37">
        <v>3</v>
      </c>
      <c r="AL37" t="str">
        <f>IF(AI32&gt;8,"",14)</f>
        <v/>
      </c>
    </row>
    <row r="38" spans="27:38">
      <c r="AA38">
        <v>4</v>
      </c>
      <c r="AB38">
        <v>9</v>
      </c>
      <c r="AD38">
        <v>4</v>
      </c>
      <c r="AE38">
        <v>240</v>
      </c>
      <c r="AH38">
        <v>4</v>
      </c>
      <c r="AI38">
        <v>7</v>
      </c>
      <c r="AK38">
        <v>4</v>
      </c>
      <c r="AL38" t="str">
        <f>IF(OR(AI32=11,AI32&gt;12),"",16)</f>
        <v/>
      </c>
    </row>
    <row r="39" spans="27:38">
      <c r="AA39">
        <v>5</v>
      </c>
      <c r="AB39">
        <v>10</v>
      </c>
      <c r="AD39">
        <v>5</v>
      </c>
      <c r="AE39">
        <v>250</v>
      </c>
      <c r="AH39">
        <v>5</v>
      </c>
      <c r="AI39">
        <v>8</v>
      </c>
      <c r="AK39">
        <v>5</v>
      </c>
      <c r="AL39" t="str">
        <f>IF(OR(AI32=11,AI32&gt;12),"",18)</f>
        <v/>
      </c>
    </row>
    <row r="40" spans="27:38">
      <c r="AA40">
        <v>6</v>
      </c>
      <c r="AB40">
        <v>11</v>
      </c>
      <c r="AD40">
        <v>6</v>
      </c>
      <c r="AE40">
        <v>260</v>
      </c>
      <c r="AH40">
        <v>6</v>
      </c>
      <c r="AI40">
        <v>9</v>
      </c>
      <c r="AK40">
        <v>6</v>
      </c>
      <c r="AL40" t="str">
        <f>IF(AI32&gt;16,"",20)</f>
        <v/>
      </c>
    </row>
    <row r="41" spans="27:38">
      <c r="AA41">
        <v>7</v>
      </c>
      <c r="AB41">
        <v>12</v>
      </c>
      <c r="AD41">
        <v>7</v>
      </c>
      <c r="AE41">
        <v>280</v>
      </c>
      <c r="AH41">
        <v>7</v>
      </c>
      <c r="AI41">
        <v>10</v>
      </c>
      <c r="AK41">
        <v>7</v>
      </c>
      <c r="AL41" t="str">
        <f>IF(AI32&gt;18,"",22)</f>
        <v/>
      </c>
    </row>
    <row r="42" spans="27:38">
      <c r="AA42">
        <v>8</v>
      </c>
      <c r="AB42">
        <v>14</v>
      </c>
      <c r="AD42">
        <v>8</v>
      </c>
      <c r="AE42">
        <v>300</v>
      </c>
      <c r="AH42">
        <v>8</v>
      </c>
      <c r="AI42">
        <v>11</v>
      </c>
      <c r="AK42">
        <v>8</v>
      </c>
      <c r="AL42" t="str">
        <f>IF(AI32&gt;18,"",25)</f>
        <v/>
      </c>
    </row>
    <row r="43" spans="27:38">
      <c r="AA43">
        <v>9</v>
      </c>
      <c r="AB43">
        <v>16</v>
      </c>
      <c r="AD43">
        <v>9</v>
      </c>
      <c r="AE43">
        <v>320</v>
      </c>
      <c r="AH43">
        <v>9</v>
      </c>
      <c r="AI43">
        <v>12</v>
      </c>
      <c r="AK43">
        <v>9</v>
      </c>
      <c r="AL43" s="250" t="str">
        <f>IF(AI32&gt;22,"данные",28)</f>
        <v>данные</v>
      </c>
    </row>
    <row r="44" spans="27:38">
      <c r="AA44">
        <v>10</v>
      </c>
      <c r="AB44">
        <v>18</v>
      </c>
      <c r="AD44">
        <v>10</v>
      </c>
      <c r="AE44">
        <v>340</v>
      </c>
      <c r="AH44">
        <v>10</v>
      </c>
      <c r="AI44">
        <v>14</v>
      </c>
      <c r="AK44">
        <v>10</v>
      </c>
      <c r="AL44" s="249" t="str">
        <f>IF(AI32&gt;22,"см.ниже",30)</f>
        <v>см.ниже</v>
      </c>
    </row>
    <row r="45" spans="27:38">
      <c r="AA45">
        <v>11</v>
      </c>
      <c r="AB45">
        <v>20</v>
      </c>
      <c r="AD45">
        <v>11</v>
      </c>
      <c r="AE45">
        <v>360</v>
      </c>
      <c r="AH45">
        <v>11</v>
      </c>
      <c r="AI45">
        <v>16</v>
      </c>
      <c r="AK45">
        <v>11</v>
      </c>
      <c r="AL45" t="str">
        <f>IF(AI32&gt;25,"",32)</f>
        <v/>
      </c>
    </row>
    <row r="46" spans="27:38">
      <c r="AA46">
        <v>12</v>
      </c>
      <c r="AB46">
        <v>22</v>
      </c>
      <c r="AD46">
        <v>12</v>
      </c>
      <c r="AE46">
        <v>380</v>
      </c>
      <c r="AH46">
        <v>12</v>
      </c>
      <c r="AI46">
        <v>18</v>
      </c>
      <c r="AK46">
        <v>12</v>
      </c>
      <c r="AL46" t="str">
        <f>IF(AI32&gt;25,"",36)</f>
        <v/>
      </c>
    </row>
    <row r="47" spans="27:38">
      <c r="AA47">
        <v>13</v>
      </c>
      <c r="AB47">
        <v>25</v>
      </c>
      <c r="AD47">
        <v>13</v>
      </c>
      <c r="AE47">
        <v>400</v>
      </c>
      <c r="AH47">
        <v>13</v>
      </c>
      <c r="AI47">
        <v>20</v>
      </c>
      <c r="AK47">
        <v>13</v>
      </c>
      <c r="AL47" t="str">
        <f>IF(AI32&gt;32,"",40)</f>
        <v/>
      </c>
    </row>
    <row r="48" spans="27:38">
      <c r="AA48">
        <v>14</v>
      </c>
      <c r="AB48">
        <v>28</v>
      </c>
      <c r="AD48">
        <v>14</v>
      </c>
      <c r="AE48">
        <v>420</v>
      </c>
      <c r="AH48">
        <v>14</v>
      </c>
      <c r="AI48">
        <v>22</v>
      </c>
      <c r="AK48">
        <v>14</v>
      </c>
      <c r="AL48" t="str">
        <f>IF(AI32&gt;36,"",45)</f>
        <v/>
      </c>
    </row>
    <row r="49" spans="27:38">
      <c r="AA49">
        <v>15</v>
      </c>
      <c r="AB49">
        <v>30</v>
      </c>
      <c r="AD49">
        <v>15</v>
      </c>
      <c r="AE49">
        <v>450</v>
      </c>
      <c r="AH49">
        <v>15</v>
      </c>
      <c r="AI49">
        <v>25</v>
      </c>
      <c r="AK49">
        <v>15</v>
      </c>
      <c r="AL49" t="str">
        <f>IF(AI32&gt;40,"",50)</f>
        <v/>
      </c>
    </row>
    <row r="50" spans="27:38">
      <c r="AA50">
        <v>16</v>
      </c>
      <c r="AB50">
        <v>32</v>
      </c>
      <c r="AD50">
        <v>16</v>
      </c>
      <c r="AE50">
        <v>460</v>
      </c>
      <c r="AH50">
        <v>16</v>
      </c>
      <c r="AI50">
        <v>28</v>
      </c>
      <c r="AK50">
        <v>16</v>
      </c>
      <c r="AL50" t="str">
        <f>IF(AI32&gt;40,"",55)</f>
        <v/>
      </c>
    </row>
    <row r="51" spans="27:38">
      <c r="AA51">
        <v>17</v>
      </c>
      <c r="AB51">
        <v>36</v>
      </c>
      <c r="AD51">
        <v>17</v>
      </c>
      <c r="AE51">
        <v>480</v>
      </c>
      <c r="AH51">
        <v>17</v>
      </c>
      <c r="AI51">
        <v>30</v>
      </c>
      <c r="AK51">
        <v>17</v>
      </c>
      <c r="AL51">
        <f>IF(AI32&gt;45,"",60)</f>
        <v>60</v>
      </c>
    </row>
    <row r="52" spans="27:38">
      <c r="AA52">
        <v>18</v>
      </c>
      <c r="AB52">
        <v>40</v>
      </c>
      <c r="AD52">
        <v>18</v>
      </c>
      <c r="AE52">
        <v>500</v>
      </c>
      <c r="AH52">
        <v>18</v>
      </c>
      <c r="AI52">
        <v>32</v>
      </c>
      <c r="AK52">
        <v>18</v>
      </c>
      <c r="AL52">
        <f>IF(AI32&gt;50,"",63)</f>
        <v>63</v>
      </c>
    </row>
    <row r="53" spans="27:38">
      <c r="AA53">
        <v>19</v>
      </c>
      <c r="AB53">
        <v>45</v>
      </c>
      <c r="AD53">
        <v>19</v>
      </c>
      <c r="AE53">
        <v>520</v>
      </c>
      <c r="AH53">
        <v>19</v>
      </c>
      <c r="AI53">
        <v>36</v>
      </c>
      <c r="AK53">
        <v>19</v>
      </c>
      <c r="AL53">
        <f>IF(AI32&gt;50,"",65)</f>
        <v>65</v>
      </c>
    </row>
    <row r="54" spans="27:38">
      <c r="AA54">
        <v>20</v>
      </c>
      <c r="AB54">
        <v>50</v>
      </c>
      <c r="AD54">
        <v>20</v>
      </c>
      <c r="AE54">
        <v>530</v>
      </c>
      <c r="AH54">
        <v>20</v>
      </c>
      <c r="AI54">
        <v>40</v>
      </c>
      <c r="AK54">
        <v>20</v>
      </c>
      <c r="AL54">
        <f>IF(AI32&gt;45,"",70)</f>
        <v>70</v>
      </c>
    </row>
    <row r="55" spans="27:38">
      <c r="AA55">
        <v>21</v>
      </c>
      <c r="AB55">
        <v>55</v>
      </c>
      <c r="AD55">
        <v>21</v>
      </c>
      <c r="AE55">
        <v>560</v>
      </c>
      <c r="AH55">
        <v>21</v>
      </c>
      <c r="AI55">
        <v>45</v>
      </c>
      <c r="AK55">
        <v>21</v>
      </c>
      <c r="AL55">
        <f>IF(AI32&gt;45,"",75)</f>
        <v>75</v>
      </c>
    </row>
    <row r="56" spans="27:38">
      <c r="AA56">
        <v>22</v>
      </c>
      <c r="AB56">
        <v>60</v>
      </c>
      <c r="AD56">
        <v>22</v>
      </c>
      <c r="AE56">
        <v>600</v>
      </c>
      <c r="AH56">
        <v>22</v>
      </c>
      <c r="AI56">
        <v>50</v>
      </c>
      <c r="AK56">
        <v>22</v>
      </c>
      <c r="AL56">
        <f>IF(AI32=60,"",80)</f>
        <v>80</v>
      </c>
    </row>
    <row r="57" spans="27:38">
      <c r="AD57">
        <v>23</v>
      </c>
      <c r="AE57">
        <v>630</v>
      </c>
      <c r="AH57">
        <v>23</v>
      </c>
      <c r="AI57">
        <v>56</v>
      </c>
      <c r="AK57">
        <v>23</v>
      </c>
      <c r="AL57">
        <v>85</v>
      </c>
    </row>
    <row r="58" spans="27:38">
      <c r="AD58">
        <v>24</v>
      </c>
      <c r="AE58">
        <v>650</v>
      </c>
      <c r="AH58">
        <v>24</v>
      </c>
      <c r="AI58">
        <v>60</v>
      </c>
      <c r="AK58">
        <v>24</v>
      </c>
      <c r="AL58">
        <v>90</v>
      </c>
    </row>
    <row r="59" spans="27:38">
      <c r="AD59">
        <v>25</v>
      </c>
      <c r="AE59">
        <v>670</v>
      </c>
      <c r="AK59">
        <v>25</v>
      </c>
      <c r="AL59">
        <v>95</v>
      </c>
    </row>
    <row r="60" spans="27:38">
      <c r="AD60">
        <v>26</v>
      </c>
      <c r="AE60">
        <v>700</v>
      </c>
      <c r="AK60">
        <v>26</v>
      </c>
      <c r="AL60">
        <v>100</v>
      </c>
    </row>
    <row r="61" spans="27:38">
      <c r="AD61">
        <v>27</v>
      </c>
      <c r="AE61">
        <v>750</v>
      </c>
      <c r="AK61">
        <v>27</v>
      </c>
      <c r="AL61">
        <v>105</v>
      </c>
    </row>
    <row r="62" spans="27:38">
      <c r="AD62">
        <v>28</v>
      </c>
      <c r="AE62">
        <v>800</v>
      </c>
      <c r="AK62">
        <v>28</v>
      </c>
      <c r="AL62">
        <v>110</v>
      </c>
    </row>
    <row r="63" spans="27:38">
      <c r="AD63">
        <v>29</v>
      </c>
      <c r="AE63">
        <v>850</v>
      </c>
      <c r="AK63">
        <v>29</v>
      </c>
      <c r="AL63">
        <v>120</v>
      </c>
    </row>
    <row r="64" spans="27:38">
      <c r="AD64">
        <v>30</v>
      </c>
      <c r="AE64">
        <v>900</v>
      </c>
      <c r="AK64">
        <v>30</v>
      </c>
      <c r="AL64">
        <v>125</v>
      </c>
    </row>
    <row r="65" spans="30:38">
      <c r="AD65">
        <v>31</v>
      </c>
      <c r="AE65">
        <v>950</v>
      </c>
      <c r="AK65">
        <v>31</v>
      </c>
      <c r="AL65">
        <v>130</v>
      </c>
    </row>
    <row r="66" spans="30:38">
      <c r="AD66">
        <v>32</v>
      </c>
      <c r="AE66">
        <v>1000</v>
      </c>
      <c r="AK66">
        <v>32</v>
      </c>
      <c r="AL66">
        <v>140</v>
      </c>
    </row>
    <row r="67" spans="30:38">
      <c r="AD67">
        <v>33</v>
      </c>
      <c r="AE67">
        <v>1050</v>
      </c>
      <c r="AK67">
        <v>33</v>
      </c>
      <c r="AL67">
        <v>150</v>
      </c>
    </row>
    <row r="68" spans="30:38">
      <c r="AK68">
        <v>34</v>
      </c>
      <c r="AL68">
        <v>160</v>
      </c>
    </row>
    <row r="69" spans="30:38">
      <c r="AK69">
        <v>35</v>
      </c>
      <c r="AL69">
        <v>170</v>
      </c>
    </row>
    <row r="70" spans="30:38">
      <c r="AK70">
        <v>36</v>
      </c>
      <c r="AL70">
        <v>180</v>
      </c>
    </row>
    <row r="71" spans="30:38">
      <c r="AK71">
        <v>37</v>
      </c>
      <c r="AL71">
        <v>190</v>
      </c>
    </row>
    <row r="72" spans="30:38">
      <c r="AK72">
        <v>38</v>
      </c>
      <c r="AL72">
        <v>200</v>
      </c>
    </row>
  </sheetData>
  <pageMargins left="0.75" right="0.75" top="1" bottom="1" header="0.5" footer="0.5"/>
  <pageSetup paperSize="9" orientation="portrait" horizontalDpi="300" verticalDpi="0" copies="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List Box 2">
              <controlPr defaultSize="0" print="0" autoFill="0" autoLine="0" autoPict="0">
                <anchor>
                  <from>
                    <xdr:col>2</xdr:col>
                    <xdr:colOff>95250</xdr:colOff>
                    <xdr:row>6</xdr:row>
                    <xdr:rowOff>38100</xdr:rowOff>
                  </from>
                  <to>
                    <xdr:col>3</xdr:col>
                    <xdr:colOff>171450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List Box 3">
              <controlPr defaultSize="0" print="0" autoFill="0" autoLine="0" autoPict="0">
                <anchor>
                  <from>
                    <xdr:col>7</xdr:col>
                    <xdr:colOff>57150</xdr:colOff>
                    <xdr:row>6</xdr:row>
                    <xdr:rowOff>19050</xdr:rowOff>
                  </from>
                  <to>
                    <xdr:col>8</xdr:col>
                    <xdr:colOff>152400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List Box 4">
              <controlPr defaultSize="0" print="0" autoFill="0" autoLine="0" autoPict="0">
                <anchor>
                  <from>
                    <xdr:col>13</xdr:col>
                    <xdr:colOff>66675</xdr:colOff>
                    <xdr:row>5</xdr:row>
                    <xdr:rowOff>19050</xdr:rowOff>
                  </from>
                  <to>
                    <xdr:col>14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List Box 5">
              <controlPr defaultSize="0" print="0" autoFill="0" autoLine="0" autoPict="0">
                <anchor>
                  <from>
                    <xdr:col>18</xdr:col>
                    <xdr:colOff>57150</xdr:colOff>
                    <xdr:row>5</xdr:row>
                    <xdr:rowOff>19050</xdr:rowOff>
                  </from>
                  <to>
                    <xdr:col>19</xdr:col>
                    <xdr:colOff>171450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8" name="Button 10">
              <controlPr defaultSize="0" print="0" autoFill="0" autoLine="0" autoPict="0" macro="[0]!Вначало">
                <anchor moveWithCells="1">
                  <from>
                    <xdr:col>6</xdr:col>
                    <xdr:colOff>247650</xdr:colOff>
                    <xdr:row>0</xdr:row>
                    <xdr:rowOff>47625</xdr:rowOff>
                  </from>
                  <to>
                    <xdr:col>16</xdr:col>
                    <xdr:colOff>28575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18"/>
  <dimension ref="B1:AM128"/>
  <sheetViews>
    <sheetView workbookViewId="0">
      <selection activeCell="E18" sqref="E18"/>
    </sheetView>
  </sheetViews>
  <sheetFormatPr defaultRowHeight="12.75"/>
  <cols>
    <col min="1" max="1" width="1.42578125" customWidth="1"/>
    <col min="2" max="2" width="3.42578125" customWidth="1"/>
    <col min="3" max="3" width="4.28515625" customWidth="1"/>
    <col min="4" max="4" width="7.5703125" customWidth="1"/>
    <col min="5" max="5" width="9.5703125" customWidth="1"/>
    <col min="6" max="6" width="4.28515625" customWidth="1"/>
    <col min="7" max="7" width="1.7109375" customWidth="1"/>
    <col min="8" max="8" width="2" customWidth="1"/>
    <col min="9" max="9" width="4.7109375" customWidth="1"/>
    <col min="10" max="10" width="5" customWidth="1"/>
    <col min="11" max="11" width="6.140625" customWidth="1"/>
    <col min="12" max="12" width="10" customWidth="1"/>
    <col min="13" max="13" width="3.85546875" customWidth="1"/>
    <col min="14" max="15" width="2" customWidth="1"/>
    <col min="16" max="16" width="4.42578125" customWidth="1"/>
    <col min="17" max="17" width="5.140625" customWidth="1"/>
    <col min="18" max="18" width="6.5703125" customWidth="1"/>
    <col min="19" max="19" width="10" customWidth="1"/>
    <col min="20" max="20" width="4" customWidth="1"/>
    <col min="21" max="21" width="3.7109375" customWidth="1"/>
    <col min="22" max="22" width="3.42578125" customWidth="1"/>
    <col min="28" max="28" width="8.42578125" hidden="1" customWidth="1"/>
    <col min="29" max="29" width="3.85546875" hidden="1" customWidth="1"/>
    <col min="30" max="30" width="5.7109375" hidden="1" customWidth="1"/>
    <col min="31" max="32" width="5.7109375" style="72" hidden="1" customWidth="1"/>
    <col min="33" max="33" width="3" hidden="1" customWidth="1"/>
    <col min="34" max="34" width="6.42578125" hidden="1" customWidth="1"/>
    <col min="35" max="35" width="4.85546875" hidden="1" customWidth="1"/>
    <col min="36" max="36" width="4.42578125" hidden="1" customWidth="1"/>
    <col min="37" max="37" width="3.85546875" hidden="1" customWidth="1"/>
    <col min="38" max="38" width="5.85546875" hidden="1" customWidth="1"/>
    <col min="39" max="39" width="0" hidden="1" customWidth="1"/>
  </cols>
  <sheetData>
    <row r="1" spans="2:20" ht="21.75" customHeight="1"/>
    <row r="2" spans="2:20" ht="16.5" thickBot="1">
      <c r="K2" s="405" t="s">
        <v>732</v>
      </c>
      <c r="R2" s="1"/>
    </row>
    <row r="3" spans="2:20">
      <c r="B3" s="344"/>
      <c r="C3" s="345"/>
      <c r="D3" s="346" t="s">
        <v>733</v>
      </c>
      <c r="E3" s="345"/>
      <c r="F3" s="173"/>
      <c r="I3" s="174"/>
      <c r="J3" s="367"/>
      <c r="K3" s="368" t="s">
        <v>734</v>
      </c>
      <c r="L3" s="367"/>
      <c r="M3" s="175"/>
      <c r="P3" s="385"/>
      <c r="Q3" s="386"/>
      <c r="R3" s="387" t="s">
        <v>735</v>
      </c>
      <c r="S3" s="386"/>
      <c r="T3" s="388"/>
    </row>
    <row r="4" spans="2:20">
      <c r="B4" s="169"/>
      <c r="C4" s="347"/>
      <c r="D4" s="348" t="s">
        <v>736</v>
      </c>
      <c r="E4" s="347"/>
      <c r="F4" s="170"/>
      <c r="I4" s="176"/>
      <c r="J4" s="369"/>
      <c r="K4" s="370" t="s">
        <v>737</v>
      </c>
      <c r="L4" s="369"/>
      <c r="M4" s="177"/>
      <c r="P4" s="389"/>
      <c r="Q4" s="390"/>
      <c r="R4" s="391" t="s">
        <v>738</v>
      </c>
      <c r="S4" s="390"/>
      <c r="T4" s="392"/>
    </row>
    <row r="5" spans="2:20">
      <c r="B5" s="350"/>
      <c r="C5" s="351"/>
      <c r="D5" s="351"/>
      <c r="E5" s="351"/>
      <c r="F5" s="332"/>
      <c r="I5" s="371"/>
      <c r="J5" s="372"/>
      <c r="K5" s="372"/>
      <c r="L5" s="372"/>
      <c r="M5" s="373"/>
      <c r="P5" s="393"/>
      <c r="Q5" s="394"/>
      <c r="R5" s="394"/>
      <c r="S5" s="394"/>
      <c r="T5" s="336"/>
    </row>
    <row r="6" spans="2:20" ht="6" customHeight="1">
      <c r="B6" s="350"/>
      <c r="C6" s="351"/>
      <c r="D6" s="351"/>
      <c r="E6" s="351"/>
      <c r="F6" s="332"/>
      <c r="I6" s="371"/>
      <c r="J6" s="372"/>
      <c r="K6" s="372"/>
      <c r="L6" s="372"/>
      <c r="M6" s="373"/>
      <c r="P6" s="393"/>
      <c r="Q6" s="394"/>
      <c r="R6" s="394"/>
      <c r="S6" s="394"/>
      <c r="T6" s="336"/>
    </row>
    <row r="7" spans="2:20" ht="6.75" customHeight="1">
      <c r="B7" s="350"/>
      <c r="C7" s="351"/>
      <c r="D7" s="351"/>
      <c r="E7" s="351"/>
      <c r="F7" s="332"/>
      <c r="I7" s="371"/>
      <c r="J7" s="372"/>
      <c r="K7" s="372"/>
      <c r="L7" s="372"/>
      <c r="M7" s="373"/>
      <c r="P7" s="393"/>
      <c r="Q7" s="394"/>
      <c r="R7" s="394"/>
      <c r="S7" s="394"/>
      <c r="T7" s="336"/>
    </row>
    <row r="8" spans="2:20">
      <c r="B8" s="350"/>
      <c r="C8" s="351"/>
      <c r="D8" s="351"/>
      <c r="E8" s="351"/>
      <c r="F8" s="332"/>
      <c r="I8" s="371"/>
      <c r="J8" s="372"/>
      <c r="K8" s="372"/>
      <c r="L8" s="372"/>
      <c r="M8" s="373"/>
      <c r="P8" s="393"/>
      <c r="Q8" s="394"/>
      <c r="R8" s="394"/>
      <c r="S8" s="394"/>
      <c r="T8" s="336"/>
    </row>
    <row r="9" spans="2:20">
      <c r="B9" s="350"/>
      <c r="C9" s="351"/>
      <c r="D9" s="351"/>
      <c r="E9" s="351"/>
      <c r="F9" s="332"/>
      <c r="I9" s="371"/>
      <c r="J9" s="372"/>
      <c r="K9" s="372"/>
      <c r="L9" s="372"/>
      <c r="M9" s="373"/>
      <c r="P9" s="393"/>
      <c r="Q9" s="394"/>
      <c r="R9" s="394"/>
      <c r="S9" s="394"/>
      <c r="T9" s="336"/>
    </row>
    <row r="10" spans="2:20">
      <c r="B10" s="350"/>
      <c r="C10" s="351"/>
      <c r="D10" s="351"/>
      <c r="E10" s="351"/>
      <c r="F10" s="332"/>
      <c r="I10" s="371"/>
      <c r="J10" s="372"/>
      <c r="K10" s="372"/>
      <c r="L10" s="372"/>
      <c r="M10" s="373"/>
      <c r="P10" s="393"/>
      <c r="Q10" s="394"/>
      <c r="R10" s="394"/>
      <c r="S10" s="394"/>
      <c r="T10" s="336"/>
    </row>
    <row r="11" spans="2:20">
      <c r="B11" s="350"/>
      <c r="C11" s="351"/>
      <c r="D11" s="351"/>
      <c r="E11" s="351"/>
      <c r="F11" s="332"/>
      <c r="H11" s="1"/>
      <c r="I11" s="371"/>
      <c r="J11" s="372"/>
      <c r="K11" s="372"/>
      <c r="L11" s="372"/>
      <c r="M11" s="373"/>
      <c r="P11" s="393"/>
      <c r="Q11" s="394"/>
      <c r="R11" s="394"/>
      <c r="S11" s="394"/>
      <c r="T11" s="336"/>
    </row>
    <row r="12" spans="2:20">
      <c r="B12" s="350"/>
      <c r="C12" s="351"/>
      <c r="D12" s="351"/>
      <c r="E12" s="351"/>
      <c r="F12" s="332"/>
      <c r="I12" s="371"/>
      <c r="J12" s="372"/>
      <c r="K12" s="372"/>
      <c r="L12" s="372"/>
      <c r="M12" s="373"/>
      <c r="P12" s="393"/>
      <c r="Q12" s="394"/>
      <c r="R12" s="394"/>
      <c r="S12" s="394"/>
      <c r="T12" s="336"/>
    </row>
    <row r="13" spans="2:20">
      <c r="B13" s="350"/>
      <c r="C13" s="351"/>
      <c r="D13" s="351"/>
      <c r="E13" s="351"/>
      <c r="F13" s="332"/>
      <c r="H13" s="1"/>
      <c r="I13" s="371"/>
      <c r="J13" s="372"/>
      <c r="K13" s="372"/>
      <c r="L13" s="372"/>
      <c r="M13" s="373"/>
      <c r="P13" s="393"/>
      <c r="Q13" s="394"/>
      <c r="R13" s="394"/>
      <c r="S13" s="394"/>
      <c r="T13" s="336"/>
    </row>
    <row r="14" spans="2:20" ht="14.25" customHeight="1">
      <c r="B14" s="169"/>
      <c r="C14" s="347"/>
      <c r="D14" s="358" t="s">
        <v>739</v>
      </c>
      <c r="E14" s="359">
        <f>E15*D23/10000</f>
        <v>178.1793543391621</v>
      </c>
      <c r="F14" s="360" t="s">
        <v>1483</v>
      </c>
      <c r="I14" s="176"/>
      <c r="J14" s="369"/>
      <c r="K14" s="380" t="s">
        <v>739</v>
      </c>
      <c r="L14" s="381">
        <f>L15*D23/10000</f>
        <v>1.3266500000000001</v>
      </c>
      <c r="M14" s="382" t="s">
        <v>1483</v>
      </c>
      <c r="P14" s="389"/>
      <c r="Q14" s="390"/>
      <c r="R14" s="395" t="s">
        <v>739</v>
      </c>
      <c r="S14" s="396">
        <f>S15*D23/10000</f>
        <v>55.06622529963353</v>
      </c>
      <c r="T14" s="397" t="s">
        <v>1483</v>
      </c>
    </row>
    <row r="15" spans="2:20" ht="13.5" customHeight="1">
      <c r="B15" s="169"/>
      <c r="C15" s="347"/>
      <c r="D15" s="358" t="s">
        <v>740</v>
      </c>
      <c r="E15" s="361">
        <f>(PI()*AD32^2)/4/100</f>
        <v>226.98006922186255</v>
      </c>
      <c r="F15" s="360" t="s">
        <v>741</v>
      </c>
      <c r="I15" s="176"/>
      <c r="J15" s="369"/>
      <c r="K15" s="380" t="s">
        <v>740</v>
      </c>
      <c r="L15" s="383">
        <f>AH32^2/100</f>
        <v>1.69</v>
      </c>
      <c r="M15" s="382" t="s">
        <v>741</v>
      </c>
      <c r="P15" s="389"/>
      <c r="Q15" s="390"/>
      <c r="R15" s="395" t="s">
        <v>740</v>
      </c>
      <c r="S15" s="396">
        <f>((TAN(30*PI()/180)*AL32)/10*(AL32/2)/10)/2*6</f>
        <v>70.148057706539518</v>
      </c>
      <c r="T15" s="397" t="s">
        <v>741</v>
      </c>
    </row>
    <row r="16" spans="2:20" ht="6" customHeight="1">
      <c r="B16" s="350"/>
      <c r="C16" s="351"/>
      <c r="D16" s="351"/>
      <c r="E16" s="351"/>
      <c r="F16" s="332"/>
      <c r="I16" s="371"/>
      <c r="J16" s="372"/>
      <c r="K16" s="372"/>
      <c r="L16" s="372"/>
      <c r="M16" s="373"/>
      <c r="P16" s="393"/>
      <c r="Q16" s="394"/>
      <c r="R16" s="394"/>
      <c r="S16" s="394"/>
      <c r="T16" s="336"/>
    </row>
    <row r="17" spans="2:38" ht="12" customHeight="1">
      <c r="B17" s="350"/>
      <c r="C17" s="351"/>
      <c r="D17" s="352" t="s">
        <v>742</v>
      </c>
      <c r="E17" s="1201">
        <v>10</v>
      </c>
      <c r="F17" s="353" t="s">
        <v>1926</v>
      </c>
      <c r="I17" s="371"/>
      <c r="J17" s="372"/>
      <c r="K17" s="374" t="s">
        <v>742</v>
      </c>
      <c r="L17" s="1202">
        <v>10</v>
      </c>
      <c r="M17" s="375" t="s">
        <v>1926</v>
      </c>
      <c r="P17" s="393"/>
      <c r="Q17" s="394"/>
      <c r="R17" s="399" t="s">
        <v>742</v>
      </c>
      <c r="S17" s="1203">
        <v>3</v>
      </c>
      <c r="T17" s="400" t="s">
        <v>1926</v>
      </c>
    </row>
    <row r="18" spans="2:38" ht="13.5" customHeight="1">
      <c r="B18" s="350"/>
      <c r="C18" s="351"/>
      <c r="D18" s="352" t="s">
        <v>743</v>
      </c>
      <c r="E18" s="1201">
        <v>3</v>
      </c>
      <c r="F18" s="353" t="s">
        <v>744</v>
      </c>
      <c r="I18" s="371"/>
      <c r="J18" s="372"/>
      <c r="K18" s="374" t="s">
        <v>743</v>
      </c>
      <c r="L18" s="1202">
        <v>3</v>
      </c>
      <c r="M18" s="375" t="s">
        <v>744</v>
      </c>
      <c r="P18" s="393"/>
      <c r="Q18" s="394"/>
      <c r="R18" s="399" t="s">
        <v>743</v>
      </c>
      <c r="S18" s="1203">
        <v>2</v>
      </c>
      <c r="T18" s="400" t="s">
        <v>744</v>
      </c>
    </row>
    <row r="19" spans="2:38">
      <c r="B19" s="362"/>
      <c r="C19" s="363"/>
      <c r="D19" s="364" t="s">
        <v>745</v>
      </c>
      <c r="E19" s="365">
        <f>IF(E18=0,1*E17*E14,E18*E17*E14)</f>
        <v>5345.3806301748627</v>
      </c>
      <c r="F19" s="366" t="s">
        <v>1483</v>
      </c>
      <c r="I19" s="176"/>
      <c r="J19" s="369"/>
      <c r="K19" s="380" t="s">
        <v>745</v>
      </c>
      <c r="L19" s="384">
        <f>IF(L18=0,1*L17*L14,L18*L17*L14)</f>
        <v>39.799500000000002</v>
      </c>
      <c r="M19" s="382" t="s">
        <v>1483</v>
      </c>
      <c r="P19" s="389"/>
      <c r="Q19" s="390"/>
      <c r="R19" s="395" t="s">
        <v>745</v>
      </c>
      <c r="S19" s="398">
        <f>IF(S18=0,1*S17*S14,S18*S17*S14)</f>
        <v>330.39735179780121</v>
      </c>
      <c r="T19" s="397" t="s">
        <v>1483</v>
      </c>
    </row>
    <row r="20" spans="2:38" ht="13.5" customHeight="1">
      <c r="B20" s="362"/>
      <c r="C20" s="363"/>
      <c r="D20" s="364" t="s">
        <v>746</v>
      </c>
      <c r="E20" s="365">
        <f>E18*E15</f>
        <v>680.94020766558765</v>
      </c>
      <c r="F20" s="366" t="s">
        <v>741</v>
      </c>
      <c r="I20" s="176"/>
      <c r="J20" s="369"/>
      <c r="K20" s="380" t="s">
        <v>746</v>
      </c>
      <c r="L20" s="384">
        <f>L18*L15</f>
        <v>5.07</v>
      </c>
      <c r="M20" s="382" t="s">
        <v>741</v>
      </c>
      <c r="P20" s="389"/>
      <c r="Q20" s="390"/>
      <c r="R20" s="395" t="s">
        <v>746</v>
      </c>
      <c r="S20" s="398">
        <f>S18*S15</f>
        <v>140.29611541307904</v>
      </c>
      <c r="T20" s="397" t="s">
        <v>741</v>
      </c>
    </row>
    <row r="21" spans="2:38" ht="7.5" customHeight="1" thickBot="1">
      <c r="B21" s="354"/>
      <c r="C21" s="355"/>
      <c r="D21" s="356"/>
      <c r="E21" s="355"/>
      <c r="F21" s="357"/>
      <c r="I21" s="376"/>
      <c r="J21" s="377"/>
      <c r="K21" s="378"/>
      <c r="L21" s="377"/>
      <c r="M21" s="379"/>
      <c r="P21" s="401"/>
      <c r="Q21" s="402"/>
      <c r="R21" s="403"/>
      <c r="S21" s="402"/>
      <c r="T21" s="404"/>
    </row>
    <row r="22" spans="2:38" ht="13.5" customHeight="1">
      <c r="D22" s="30"/>
      <c r="F22" s="349"/>
    </row>
    <row r="23" spans="2:38">
      <c r="D23" s="691">
        <f>0.785*10000</f>
        <v>7850</v>
      </c>
    </row>
    <row r="31" spans="2:38">
      <c r="AL31" s="186">
        <f>(TAN(30*PI()/180)*$AL$32)</f>
        <v>51.961524227066313</v>
      </c>
    </row>
    <row r="32" spans="2:38">
      <c r="AD32" s="149">
        <f>VLOOKUP(AD33,AC36:AD128,2,FALSE)</f>
        <v>170</v>
      </c>
      <c r="AH32" s="162">
        <f>VLOOKUP(AH33,AG36:AH100,2,FALSE)</f>
        <v>13</v>
      </c>
      <c r="AL32" s="342">
        <f>VLOOKUP(AL33,AK36:AL76,2,FALSE)</f>
        <v>90</v>
      </c>
    </row>
    <row r="33" spans="29:39" ht="13.5" thickBot="1">
      <c r="AD33" s="1038">
        <v>87</v>
      </c>
      <c r="AH33" s="1038">
        <v>8</v>
      </c>
      <c r="AL33" s="1038">
        <v>39</v>
      </c>
    </row>
    <row r="34" spans="29:39" ht="13.5" thickBot="1">
      <c r="AK34" s="143"/>
      <c r="AL34" s="338" t="s">
        <v>747</v>
      </c>
    </row>
    <row r="35" spans="29:39">
      <c r="AC35" s="328"/>
      <c r="AD35" s="329" t="s">
        <v>748</v>
      </c>
      <c r="AE35" s="334"/>
      <c r="AF35" s="334"/>
      <c r="AG35" s="143"/>
      <c r="AH35" s="335" t="s">
        <v>749</v>
      </c>
      <c r="AJ35" s="342"/>
      <c r="AK35" s="343"/>
      <c r="AL35" s="339" t="s">
        <v>750</v>
      </c>
      <c r="AM35" s="342"/>
    </row>
    <row r="36" spans="29:39">
      <c r="AC36" s="330">
        <v>1</v>
      </c>
      <c r="AD36" s="332">
        <v>5</v>
      </c>
      <c r="AE36" s="251"/>
      <c r="AF36" s="251"/>
      <c r="AG36" s="330">
        <v>1</v>
      </c>
      <c r="AH36" s="336">
        <v>6</v>
      </c>
      <c r="AK36" s="330">
        <v>1</v>
      </c>
      <c r="AL36" s="340">
        <v>8</v>
      </c>
    </row>
    <row r="37" spans="29:39">
      <c r="AC37" s="330">
        <v>2</v>
      </c>
      <c r="AD37" s="332">
        <v>5.5</v>
      </c>
      <c r="AE37" s="251"/>
      <c r="AF37" s="251"/>
      <c r="AG37" s="330">
        <v>2</v>
      </c>
      <c r="AH37" s="336">
        <v>7</v>
      </c>
      <c r="AK37" s="330">
        <v>2</v>
      </c>
      <c r="AL37" s="340">
        <v>9</v>
      </c>
    </row>
    <row r="38" spans="29:39">
      <c r="AC38" s="330">
        <v>3</v>
      </c>
      <c r="AD38" s="332">
        <v>6</v>
      </c>
      <c r="AE38" s="251"/>
      <c r="AF38" s="251"/>
      <c r="AG38" s="330">
        <v>3</v>
      </c>
      <c r="AH38" s="336">
        <v>8</v>
      </c>
      <c r="AK38" s="330">
        <v>3</v>
      </c>
      <c r="AL38" s="340">
        <v>10</v>
      </c>
    </row>
    <row r="39" spans="29:39">
      <c r="AC39" s="330">
        <v>4</v>
      </c>
      <c r="AD39" s="332">
        <v>6.3</v>
      </c>
      <c r="AE39" s="251"/>
      <c r="AF39" s="251"/>
      <c r="AG39" s="330">
        <v>4</v>
      </c>
      <c r="AH39" s="336">
        <v>9</v>
      </c>
      <c r="AK39" s="330">
        <v>4</v>
      </c>
      <c r="AL39" s="340">
        <v>11</v>
      </c>
    </row>
    <row r="40" spans="29:39">
      <c r="AC40" s="330">
        <v>5</v>
      </c>
      <c r="AD40" s="332">
        <v>6.5</v>
      </c>
      <c r="AE40" s="251"/>
      <c r="AF40" s="251"/>
      <c r="AG40" s="330">
        <v>5</v>
      </c>
      <c r="AH40" s="336">
        <v>10</v>
      </c>
      <c r="AK40" s="330">
        <v>5</v>
      </c>
      <c r="AL40" s="340">
        <v>12</v>
      </c>
    </row>
    <row r="41" spans="29:39">
      <c r="AC41" s="330">
        <v>6</v>
      </c>
      <c r="AD41" s="332">
        <v>7</v>
      </c>
      <c r="AE41" s="251"/>
      <c r="AF41" s="251"/>
      <c r="AG41" s="330">
        <v>6</v>
      </c>
      <c r="AH41" s="336">
        <v>11</v>
      </c>
      <c r="AK41" s="330">
        <v>6</v>
      </c>
      <c r="AL41" s="340">
        <v>13</v>
      </c>
    </row>
    <row r="42" spans="29:39">
      <c r="AC42" s="330">
        <v>7</v>
      </c>
      <c r="AD42" s="332">
        <v>8</v>
      </c>
      <c r="AE42" s="251"/>
      <c r="AF42" s="251"/>
      <c r="AG42" s="330">
        <v>7</v>
      </c>
      <c r="AH42" s="336">
        <v>12</v>
      </c>
      <c r="AK42" s="330">
        <v>7</v>
      </c>
      <c r="AL42" s="340">
        <v>14</v>
      </c>
    </row>
    <row r="43" spans="29:39">
      <c r="AC43" s="330">
        <v>8</v>
      </c>
      <c r="AD43" s="332">
        <v>9</v>
      </c>
      <c r="AE43" s="251"/>
      <c r="AF43" s="251"/>
      <c r="AG43" s="330">
        <v>8</v>
      </c>
      <c r="AH43" s="336">
        <v>13</v>
      </c>
      <c r="AK43" s="330">
        <v>8</v>
      </c>
      <c r="AL43" s="340">
        <v>15</v>
      </c>
    </row>
    <row r="44" spans="29:39">
      <c r="AC44" s="330">
        <v>9</v>
      </c>
      <c r="AD44" s="332">
        <v>10</v>
      </c>
      <c r="AE44" s="251"/>
      <c r="AF44" s="251"/>
      <c r="AG44" s="330">
        <v>9</v>
      </c>
      <c r="AH44" s="336">
        <v>14</v>
      </c>
      <c r="AK44" s="330">
        <v>9</v>
      </c>
      <c r="AL44" s="340">
        <v>16</v>
      </c>
    </row>
    <row r="45" spans="29:39">
      <c r="AC45" s="330">
        <v>10</v>
      </c>
      <c r="AD45" s="332">
        <v>11</v>
      </c>
      <c r="AE45" s="251"/>
      <c r="AF45" s="251"/>
      <c r="AG45" s="330">
        <v>10</v>
      </c>
      <c r="AH45" s="336">
        <v>15</v>
      </c>
      <c r="AK45" s="330">
        <v>10</v>
      </c>
      <c r="AL45" s="340">
        <v>17</v>
      </c>
    </row>
    <row r="46" spans="29:39">
      <c r="AC46" s="330">
        <v>11</v>
      </c>
      <c r="AD46" s="332">
        <v>12</v>
      </c>
      <c r="AE46" s="251"/>
      <c r="AF46" s="251"/>
      <c r="AG46" s="330">
        <v>11</v>
      </c>
      <c r="AH46" s="336">
        <v>16</v>
      </c>
      <c r="AK46" s="330">
        <v>11</v>
      </c>
      <c r="AL46" s="340">
        <v>18</v>
      </c>
    </row>
    <row r="47" spans="29:39">
      <c r="AC47" s="330">
        <v>12</v>
      </c>
      <c r="AD47" s="332">
        <v>13</v>
      </c>
      <c r="AE47" s="251"/>
      <c r="AF47" s="251"/>
      <c r="AG47" s="330">
        <v>12</v>
      </c>
      <c r="AH47" s="336">
        <v>17</v>
      </c>
      <c r="AK47" s="330">
        <v>12</v>
      </c>
      <c r="AL47" s="340">
        <v>19</v>
      </c>
    </row>
    <row r="48" spans="29:39">
      <c r="AC48" s="330">
        <v>13</v>
      </c>
      <c r="AD48" s="332">
        <v>14</v>
      </c>
      <c r="AE48" s="251"/>
      <c r="AF48" s="251"/>
      <c r="AG48" s="330">
        <v>13</v>
      </c>
      <c r="AH48" s="336">
        <v>18</v>
      </c>
      <c r="AK48" s="330">
        <v>13</v>
      </c>
      <c r="AL48" s="340">
        <v>20</v>
      </c>
    </row>
    <row r="49" spans="29:38">
      <c r="AC49" s="330">
        <v>14</v>
      </c>
      <c r="AD49" s="332">
        <v>15</v>
      </c>
      <c r="AE49" s="251"/>
      <c r="AF49" s="251"/>
      <c r="AG49" s="330">
        <v>14</v>
      </c>
      <c r="AH49" s="336">
        <v>19</v>
      </c>
      <c r="AK49" s="330">
        <v>14</v>
      </c>
      <c r="AL49" s="340">
        <v>21</v>
      </c>
    </row>
    <row r="50" spans="29:38">
      <c r="AC50" s="330">
        <v>15</v>
      </c>
      <c r="AD50" s="332">
        <v>16</v>
      </c>
      <c r="AE50" s="251"/>
      <c r="AF50" s="251"/>
      <c r="AG50" s="330">
        <v>15</v>
      </c>
      <c r="AH50" s="336">
        <v>20</v>
      </c>
      <c r="AK50" s="330">
        <v>15</v>
      </c>
      <c r="AL50" s="340">
        <v>22</v>
      </c>
    </row>
    <row r="51" spans="29:38">
      <c r="AC51" s="330">
        <v>16</v>
      </c>
      <c r="AD51" s="332">
        <v>17</v>
      </c>
      <c r="AE51" s="251"/>
      <c r="AF51" s="251"/>
      <c r="AG51" s="330">
        <v>16</v>
      </c>
      <c r="AH51" s="336">
        <v>21</v>
      </c>
      <c r="AK51" s="330">
        <v>16</v>
      </c>
      <c r="AL51" s="340">
        <v>24</v>
      </c>
    </row>
    <row r="52" spans="29:38">
      <c r="AC52" s="330">
        <v>17</v>
      </c>
      <c r="AD52" s="332">
        <v>18</v>
      </c>
      <c r="AE52" s="251"/>
      <c r="AF52" s="251"/>
      <c r="AG52" s="330">
        <v>17</v>
      </c>
      <c r="AH52" s="336">
        <v>22</v>
      </c>
      <c r="AK52" s="330">
        <v>17</v>
      </c>
      <c r="AL52" s="340">
        <v>25</v>
      </c>
    </row>
    <row r="53" spans="29:38">
      <c r="AC53" s="330">
        <v>18</v>
      </c>
      <c r="AD53" s="332">
        <v>19</v>
      </c>
      <c r="AE53" s="251"/>
      <c r="AF53" s="251"/>
      <c r="AG53" s="330">
        <v>18</v>
      </c>
      <c r="AH53" s="336">
        <v>23</v>
      </c>
      <c r="AK53" s="330">
        <v>18</v>
      </c>
      <c r="AL53" s="340">
        <v>26</v>
      </c>
    </row>
    <row r="54" spans="29:38">
      <c r="AC54" s="330">
        <v>19</v>
      </c>
      <c r="AD54" s="332">
        <v>20</v>
      </c>
      <c r="AE54" s="251"/>
      <c r="AF54" s="251"/>
      <c r="AG54" s="330">
        <v>19</v>
      </c>
      <c r="AH54" s="336">
        <v>24</v>
      </c>
      <c r="AK54" s="330">
        <v>19</v>
      </c>
      <c r="AL54" s="340">
        <v>28</v>
      </c>
    </row>
    <row r="55" spans="29:38">
      <c r="AC55" s="330">
        <v>20</v>
      </c>
      <c r="AD55" s="332">
        <v>21</v>
      </c>
      <c r="AE55" s="251"/>
      <c r="AF55" s="251"/>
      <c r="AG55" s="330">
        <v>20</v>
      </c>
      <c r="AH55" s="336">
        <v>25</v>
      </c>
      <c r="AK55" s="330">
        <v>20</v>
      </c>
      <c r="AL55" s="340">
        <v>30</v>
      </c>
    </row>
    <row r="56" spans="29:38">
      <c r="AC56" s="330">
        <v>21</v>
      </c>
      <c r="AD56" s="332">
        <v>22</v>
      </c>
      <c r="AE56" s="251"/>
      <c r="AF56" s="251"/>
      <c r="AG56" s="330">
        <v>21</v>
      </c>
      <c r="AH56" s="336">
        <v>26</v>
      </c>
      <c r="AK56" s="330">
        <v>21</v>
      </c>
      <c r="AL56" s="340">
        <v>32</v>
      </c>
    </row>
    <row r="57" spans="29:38">
      <c r="AC57" s="330">
        <v>22</v>
      </c>
      <c r="AD57" s="332">
        <v>23</v>
      </c>
      <c r="AE57" s="251"/>
      <c r="AF57" s="251"/>
      <c r="AG57" s="330">
        <v>22</v>
      </c>
      <c r="AH57" s="336">
        <v>27</v>
      </c>
      <c r="AK57" s="330">
        <v>22</v>
      </c>
      <c r="AL57" s="340">
        <v>34</v>
      </c>
    </row>
    <row r="58" spans="29:38">
      <c r="AC58" s="330">
        <v>23</v>
      </c>
      <c r="AD58" s="332">
        <v>24</v>
      </c>
      <c r="AE58" s="251"/>
      <c r="AF58" s="251"/>
      <c r="AG58" s="330">
        <v>23</v>
      </c>
      <c r="AH58" s="336">
        <v>28</v>
      </c>
      <c r="AK58" s="330">
        <v>23</v>
      </c>
      <c r="AL58" s="340">
        <v>36</v>
      </c>
    </row>
    <row r="59" spans="29:38">
      <c r="AC59" s="330">
        <v>24</v>
      </c>
      <c r="AD59" s="332">
        <v>25</v>
      </c>
      <c r="AE59" s="251"/>
      <c r="AF59" s="251"/>
      <c r="AG59" s="330">
        <v>24</v>
      </c>
      <c r="AH59" s="336">
        <v>29</v>
      </c>
      <c r="AK59" s="330">
        <v>24</v>
      </c>
      <c r="AL59" s="340">
        <v>38</v>
      </c>
    </row>
    <row r="60" spans="29:38">
      <c r="AC60" s="330">
        <v>25</v>
      </c>
      <c r="AD60" s="332">
        <v>26</v>
      </c>
      <c r="AE60" s="251"/>
      <c r="AF60" s="251"/>
      <c r="AG60" s="330">
        <v>25</v>
      </c>
      <c r="AH60" s="336">
        <v>30</v>
      </c>
      <c r="AK60" s="330">
        <v>25</v>
      </c>
      <c r="AL60" s="340">
        <v>40</v>
      </c>
    </row>
    <row r="61" spans="29:38">
      <c r="AC61" s="330">
        <v>26</v>
      </c>
      <c r="AD61" s="332">
        <v>27</v>
      </c>
      <c r="AE61" s="251"/>
      <c r="AF61" s="251"/>
      <c r="AG61" s="330">
        <v>26</v>
      </c>
      <c r="AH61" s="336">
        <v>32</v>
      </c>
      <c r="AK61" s="330">
        <v>26</v>
      </c>
      <c r="AL61" s="340">
        <v>42</v>
      </c>
    </row>
    <row r="62" spans="29:38">
      <c r="AC62" s="330">
        <v>27</v>
      </c>
      <c r="AD62" s="332">
        <v>28</v>
      </c>
      <c r="AE62" s="251"/>
      <c r="AF62" s="251"/>
      <c r="AG62" s="330">
        <v>27</v>
      </c>
      <c r="AH62" s="336">
        <v>34</v>
      </c>
      <c r="AK62" s="330">
        <v>27</v>
      </c>
      <c r="AL62" s="340">
        <v>47</v>
      </c>
    </row>
    <row r="63" spans="29:38">
      <c r="AC63" s="330">
        <v>28</v>
      </c>
      <c r="AD63" s="332">
        <v>29</v>
      </c>
      <c r="AE63" s="251"/>
      <c r="AF63" s="251"/>
      <c r="AG63" s="330">
        <v>28</v>
      </c>
      <c r="AH63" s="336">
        <v>35</v>
      </c>
      <c r="AK63" s="330">
        <v>28</v>
      </c>
      <c r="AL63" s="340">
        <v>48</v>
      </c>
    </row>
    <row r="64" spans="29:38">
      <c r="AC64" s="330">
        <v>29</v>
      </c>
      <c r="AD64" s="332">
        <v>30</v>
      </c>
      <c r="AE64" s="251"/>
      <c r="AF64" s="251"/>
      <c r="AG64" s="330">
        <v>29</v>
      </c>
      <c r="AH64" s="336">
        <v>36</v>
      </c>
      <c r="AK64" s="330">
        <v>29</v>
      </c>
      <c r="AL64" s="340">
        <v>50</v>
      </c>
    </row>
    <row r="65" spans="29:38">
      <c r="AC65" s="330">
        <v>30</v>
      </c>
      <c r="AD65" s="332">
        <v>31</v>
      </c>
      <c r="AE65" s="251"/>
      <c r="AF65" s="251"/>
      <c r="AG65" s="330">
        <v>30</v>
      </c>
      <c r="AH65" s="336">
        <v>38</v>
      </c>
      <c r="AK65" s="330">
        <v>30</v>
      </c>
      <c r="AL65" s="340">
        <v>52</v>
      </c>
    </row>
    <row r="66" spans="29:38">
      <c r="AC66" s="330">
        <v>31</v>
      </c>
      <c r="AD66" s="332">
        <v>32</v>
      </c>
      <c r="AE66" s="251"/>
      <c r="AF66" s="251"/>
      <c r="AG66" s="330">
        <v>31</v>
      </c>
      <c r="AH66" s="336">
        <v>40</v>
      </c>
      <c r="AK66" s="330">
        <v>31</v>
      </c>
      <c r="AL66" s="340">
        <v>55</v>
      </c>
    </row>
    <row r="67" spans="29:38">
      <c r="AC67" s="330">
        <v>32</v>
      </c>
      <c r="AD67" s="332">
        <v>33</v>
      </c>
      <c r="AE67" s="251"/>
      <c r="AF67" s="251"/>
      <c r="AG67" s="330">
        <v>32</v>
      </c>
      <c r="AH67" s="336">
        <v>42</v>
      </c>
      <c r="AK67" s="330">
        <v>32</v>
      </c>
      <c r="AL67" s="340">
        <v>60</v>
      </c>
    </row>
    <row r="68" spans="29:38">
      <c r="AC68" s="330">
        <v>33</v>
      </c>
      <c r="AD68" s="332">
        <v>34</v>
      </c>
      <c r="AE68" s="251"/>
      <c r="AF68" s="251"/>
      <c r="AG68" s="330">
        <v>33</v>
      </c>
      <c r="AH68" s="336">
        <v>45</v>
      </c>
      <c r="AK68" s="330">
        <v>33</v>
      </c>
      <c r="AL68" s="340">
        <v>63</v>
      </c>
    </row>
    <row r="69" spans="29:38">
      <c r="AC69" s="330">
        <v>34</v>
      </c>
      <c r="AD69" s="332">
        <v>35</v>
      </c>
      <c r="AE69" s="251"/>
      <c r="AF69" s="251"/>
      <c r="AG69" s="330">
        <v>34</v>
      </c>
      <c r="AH69" s="336">
        <v>46</v>
      </c>
      <c r="AK69" s="330">
        <v>34</v>
      </c>
      <c r="AL69" s="340">
        <v>65</v>
      </c>
    </row>
    <row r="70" spans="29:38">
      <c r="AC70" s="330">
        <v>35</v>
      </c>
      <c r="AD70" s="332">
        <v>36</v>
      </c>
      <c r="AE70" s="251"/>
      <c r="AF70" s="251"/>
      <c r="AG70" s="330">
        <v>35</v>
      </c>
      <c r="AH70" s="336">
        <v>48</v>
      </c>
      <c r="AK70" s="330">
        <v>35</v>
      </c>
      <c r="AL70" s="340">
        <v>70</v>
      </c>
    </row>
    <row r="71" spans="29:38">
      <c r="AC71" s="330">
        <v>36</v>
      </c>
      <c r="AD71" s="332">
        <v>37</v>
      </c>
      <c r="AE71" s="251"/>
      <c r="AF71" s="251"/>
      <c r="AG71" s="330">
        <v>36</v>
      </c>
      <c r="AH71" s="336">
        <v>50</v>
      </c>
      <c r="AK71" s="330">
        <v>36</v>
      </c>
      <c r="AL71" s="340">
        <v>75</v>
      </c>
    </row>
    <row r="72" spans="29:38">
      <c r="AC72" s="330">
        <v>37</v>
      </c>
      <c r="AD72" s="332">
        <v>38</v>
      </c>
      <c r="AE72" s="251"/>
      <c r="AF72" s="251"/>
      <c r="AG72" s="330">
        <v>37</v>
      </c>
      <c r="AH72" s="336">
        <v>52</v>
      </c>
      <c r="AK72" s="330">
        <v>37</v>
      </c>
      <c r="AL72" s="340">
        <v>80</v>
      </c>
    </row>
    <row r="73" spans="29:38">
      <c r="AC73" s="330">
        <v>38</v>
      </c>
      <c r="AD73" s="332">
        <v>39</v>
      </c>
      <c r="AE73" s="251"/>
      <c r="AF73" s="251"/>
      <c r="AG73" s="330">
        <v>38</v>
      </c>
      <c r="AH73" s="336">
        <v>55</v>
      </c>
      <c r="AK73" s="330">
        <v>38</v>
      </c>
      <c r="AL73" s="340">
        <v>85</v>
      </c>
    </row>
    <row r="74" spans="29:38">
      <c r="AC74" s="330">
        <v>39</v>
      </c>
      <c r="AD74" s="332">
        <v>40</v>
      </c>
      <c r="AE74" s="251"/>
      <c r="AF74" s="251"/>
      <c r="AG74" s="330">
        <v>39</v>
      </c>
      <c r="AH74" s="336">
        <v>58</v>
      </c>
      <c r="AK74" s="330">
        <v>39</v>
      </c>
      <c r="AL74" s="340">
        <v>90</v>
      </c>
    </row>
    <row r="75" spans="29:38">
      <c r="AC75" s="330">
        <v>40</v>
      </c>
      <c r="AD75" s="332">
        <v>41</v>
      </c>
      <c r="AE75" s="251"/>
      <c r="AF75" s="251"/>
      <c r="AG75" s="330">
        <v>40</v>
      </c>
      <c r="AH75" s="336">
        <v>60</v>
      </c>
      <c r="AK75" s="330">
        <v>40</v>
      </c>
      <c r="AL75" s="340">
        <v>95</v>
      </c>
    </row>
    <row r="76" spans="29:38" ht="13.5" thickBot="1">
      <c r="AC76" s="330">
        <v>41</v>
      </c>
      <c r="AD76" s="332">
        <v>42</v>
      </c>
      <c r="AE76" s="251"/>
      <c r="AF76" s="251"/>
      <c r="AG76" s="330">
        <v>41</v>
      </c>
      <c r="AH76" s="336">
        <v>63</v>
      </c>
      <c r="AK76" s="331">
        <v>41</v>
      </c>
      <c r="AL76" s="341">
        <v>100</v>
      </c>
    </row>
    <row r="77" spans="29:38">
      <c r="AC77" s="330">
        <v>42</v>
      </c>
      <c r="AD77" s="332">
        <v>43</v>
      </c>
      <c r="AE77" s="251"/>
      <c r="AF77" s="251"/>
      <c r="AG77" s="330">
        <v>42</v>
      </c>
      <c r="AH77" s="336">
        <v>65</v>
      </c>
    </row>
    <row r="78" spans="29:38">
      <c r="AC78" s="330">
        <v>43</v>
      </c>
      <c r="AD78" s="332">
        <v>44</v>
      </c>
      <c r="AE78" s="251"/>
      <c r="AF78" s="251"/>
      <c r="AG78" s="330">
        <v>43</v>
      </c>
      <c r="AH78" s="336">
        <v>70</v>
      </c>
    </row>
    <row r="79" spans="29:38">
      <c r="AC79" s="330">
        <v>44</v>
      </c>
      <c r="AD79" s="332">
        <v>45</v>
      </c>
      <c r="AE79" s="251"/>
      <c r="AF79" s="251"/>
      <c r="AG79" s="330">
        <v>44</v>
      </c>
      <c r="AH79" s="336">
        <v>75</v>
      </c>
    </row>
    <row r="80" spans="29:38">
      <c r="AC80" s="330">
        <v>45</v>
      </c>
      <c r="AD80" s="332">
        <v>46</v>
      </c>
      <c r="AE80" s="251"/>
      <c r="AF80" s="251"/>
      <c r="AG80" s="330">
        <v>45</v>
      </c>
      <c r="AH80" s="336">
        <v>80</v>
      </c>
    </row>
    <row r="81" spans="29:34">
      <c r="AC81" s="330">
        <v>46</v>
      </c>
      <c r="AD81" s="332">
        <v>47</v>
      </c>
      <c r="AE81" s="251"/>
      <c r="AF81" s="251"/>
      <c r="AG81" s="330">
        <v>46</v>
      </c>
      <c r="AH81" s="336">
        <v>85</v>
      </c>
    </row>
    <row r="82" spans="29:34">
      <c r="AC82" s="330">
        <v>47</v>
      </c>
      <c r="AD82" s="332">
        <v>48</v>
      </c>
      <c r="AE82" s="251"/>
      <c r="AF82" s="251"/>
      <c r="AG82" s="330">
        <v>47</v>
      </c>
      <c r="AH82" s="336">
        <v>90</v>
      </c>
    </row>
    <row r="83" spans="29:34">
      <c r="AC83" s="330">
        <v>48</v>
      </c>
      <c r="AD83" s="332">
        <v>50</v>
      </c>
      <c r="AE83" s="251"/>
      <c r="AF83" s="251"/>
      <c r="AG83" s="330">
        <v>48</v>
      </c>
      <c r="AH83" s="336">
        <v>93</v>
      </c>
    </row>
    <row r="84" spans="29:34">
      <c r="AC84" s="330">
        <v>49</v>
      </c>
      <c r="AD84" s="332">
        <v>52</v>
      </c>
      <c r="AE84" s="251"/>
      <c r="AF84" s="251"/>
      <c r="AG84" s="330">
        <v>49</v>
      </c>
      <c r="AH84" s="336">
        <v>95</v>
      </c>
    </row>
    <row r="85" spans="29:34">
      <c r="AC85" s="330">
        <v>50</v>
      </c>
      <c r="AD85" s="332">
        <v>53</v>
      </c>
      <c r="AE85" s="251"/>
      <c r="AF85" s="251"/>
      <c r="AG85" s="330">
        <v>50</v>
      </c>
      <c r="AH85" s="336">
        <v>100</v>
      </c>
    </row>
    <row r="86" spans="29:34">
      <c r="AC86" s="330">
        <v>51</v>
      </c>
      <c r="AD86" s="332">
        <v>54</v>
      </c>
      <c r="AE86" s="251"/>
      <c r="AF86" s="251"/>
      <c r="AG86" s="330">
        <v>51</v>
      </c>
      <c r="AH86" s="336">
        <v>105</v>
      </c>
    </row>
    <row r="87" spans="29:34">
      <c r="AC87" s="330">
        <v>52</v>
      </c>
      <c r="AD87" s="332">
        <v>55</v>
      </c>
      <c r="AE87" s="251"/>
      <c r="AF87" s="251"/>
      <c r="AG87" s="330">
        <v>52</v>
      </c>
      <c r="AH87" s="336">
        <v>110</v>
      </c>
    </row>
    <row r="88" spans="29:34">
      <c r="AC88" s="330">
        <v>53</v>
      </c>
      <c r="AD88" s="332">
        <v>56</v>
      </c>
      <c r="AE88" s="251"/>
      <c r="AF88" s="251"/>
      <c r="AG88" s="330">
        <v>53</v>
      </c>
      <c r="AH88" s="336">
        <v>115</v>
      </c>
    </row>
    <row r="89" spans="29:34">
      <c r="AC89" s="330">
        <v>54</v>
      </c>
      <c r="AD89" s="332">
        <v>58</v>
      </c>
      <c r="AE89" s="251"/>
      <c r="AF89" s="251"/>
      <c r="AG89" s="330">
        <v>54</v>
      </c>
      <c r="AH89" s="336">
        <v>120</v>
      </c>
    </row>
    <row r="90" spans="29:34">
      <c r="AC90" s="330">
        <v>55</v>
      </c>
      <c r="AD90" s="332">
        <v>60</v>
      </c>
      <c r="AE90" s="251"/>
      <c r="AF90" s="251"/>
      <c r="AG90" s="330">
        <v>55</v>
      </c>
      <c r="AH90" s="336">
        <v>125</v>
      </c>
    </row>
    <row r="91" spans="29:34">
      <c r="AC91" s="330">
        <v>56</v>
      </c>
      <c r="AD91" s="332">
        <v>62</v>
      </c>
      <c r="AE91" s="251"/>
      <c r="AF91" s="251"/>
      <c r="AG91" s="330">
        <v>56</v>
      </c>
      <c r="AH91" s="336">
        <v>130</v>
      </c>
    </row>
    <row r="92" spans="29:34">
      <c r="AC92" s="330">
        <v>57</v>
      </c>
      <c r="AD92" s="332">
        <v>63</v>
      </c>
      <c r="AE92" s="251"/>
      <c r="AF92" s="251"/>
      <c r="AG92" s="330">
        <v>57</v>
      </c>
      <c r="AH92" s="336">
        <v>135</v>
      </c>
    </row>
    <row r="93" spans="29:34">
      <c r="AC93" s="330">
        <v>58</v>
      </c>
      <c r="AD93" s="332">
        <v>65</v>
      </c>
      <c r="AE93" s="251"/>
      <c r="AF93" s="251"/>
      <c r="AG93" s="330">
        <v>58</v>
      </c>
      <c r="AH93" s="336">
        <v>140</v>
      </c>
    </row>
    <row r="94" spans="29:34">
      <c r="AC94" s="330">
        <v>59</v>
      </c>
      <c r="AD94" s="332">
        <v>67</v>
      </c>
      <c r="AE94" s="251"/>
      <c r="AF94" s="251"/>
      <c r="AG94" s="330">
        <v>59</v>
      </c>
      <c r="AH94" s="336">
        <v>145</v>
      </c>
    </row>
    <row r="95" spans="29:34">
      <c r="AC95" s="330">
        <v>60</v>
      </c>
      <c r="AD95" s="332">
        <v>68</v>
      </c>
      <c r="AE95" s="251"/>
      <c r="AF95" s="251"/>
      <c r="AG95" s="330">
        <v>60</v>
      </c>
      <c r="AH95" s="336">
        <v>150</v>
      </c>
    </row>
    <row r="96" spans="29:34">
      <c r="AC96" s="330">
        <v>61</v>
      </c>
      <c r="AD96" s="332">
        <v>70</v>
      </c>
      <c r="AE96" s="251"/>
      <c r="AF96" s="251"/>
      <c r="AG96" s="330">
        <v>61</v>
      </c>
      <c r="AH96" s="336">
        <v>160</v>
      </c>
    </row>
    <row r="97" spans="29:34">
      <c r="AC97" s="330">
        <v>62</v>
      </c>
      <c r="AD97" s="332">
        <v>72</v>
      </c>
      <c r="AE97" s="251"/>
      <c r="AF97" s="251"/>
      <c r="AG97" s="330">
        <v>62</v>
      </c>
      <c r="AH97" s="336">
        <v>170</v>
      </c>
    </row>
    <row r="98" spans="29:34">
      <c r="AC98" s="330">
        <v>63</v>
      </c>
      <c r="AD98" s="332">
        <v>75</v>
      </c>
      <c r="AE98" s="251"/>
      <c r="AF98" s="251"/>
      <c r="AG98" s="330">
        <v>63</v>
      </c>
      <c r="AH98" s="336">
        <v>180</v>
      </c>
    </row>
    <row r="99" spans="29:34">
      <c r="AC99" s="330">
        <v>64</v>
      </c>
      <c r="AD99" s="332">
        <v>78</v>
      </c>
      <c r="AE99" s="251"/>
      <c r="AF99" s="251"/>
      <c r="AG99" s="330">
        <v>64</v>
      </c>
      <c r="AH99" s="336">
        <v>190</v>
      </c>
    </row>
    <row r="100" spans="29:34" ht="13.5" thickBot="1">
      <c r="AC100" s="330">
        <v>65</v>
      </c>
      <c r="AD100" s="332">
        <v>80</v>
      </c>
      <c r="AE100" s="251"/>
      <c r="AF100" s="251"/>
      <c r="AG100" s="331">
        <v>65</v>
      </c>
      <c r="AH100" s="337">
        <v>200</v>
      </c>
    </row>
    <row r="101" spans="29:34">
      <c r="AC101" s="330">
        <v>66</v>
      </c>
      <c r="AD101" s="332">
        <v>82</v>
      </c>
      <c r="AE101" s="251"/>
      <c r="AF101" s="251"/>
    </row>
    <row r="102" spans="29:34">
      <c r="AC102" s="330">
        <v>67</v>
      </c>
      <c r="AD102" s="332">
        <v>85</v>
      </c>
      <c r="AE102" s="251"/>
      <c r="AF102" s="251"/>
    </row>
    <row r="103" spans="29:34">
      <c r="AC103" s="330">
        <v>68</v>
      </c>
      <c r="AD103" s="332">
        <v>87</v>
      </c>
      <c r="AE103" s="251"/>
      <c r="AF103" s="251"/>
    </row>
    <row r="104" spans="29:34">
      <c r="AC104" s="330">
        <v>69</v>
      </c>
      <c r="AD104" s="332">
        <v>90</v>
      </c>
      <c r="AE104" s="251"/>
      <c r="AF104" s="251"/>
    </row>
    <row r="105" spans="29:34">
      <c r="AC105" s="330">
        <v>70</v>
      </c>
      <c r="AD105" s="332">
        <v>92</v>
      </c>
      <c r="AE105" s="251"/>
      <c r="AF105" s="251"/>
    </row>
    <row r="106" spans="29:34">
      <c r="AC106" s="330">
        <v>71</v>
      </c>
      <c r="AD106" s="332">
        <v>95</v>
      </c>
      <c r="AE106" s="251"/>
      <c r="AF106" s="251"/>
    </row>
    <row r="107" spans="29:34">
      <c r="AC107" s="330">
        <v>72</v>
      </c>
      <c r="AD107" s="332">
        <v>97</v>
      </c>
      <c r="AE107" s="251"/>
      <c r="AF107" s="251"/>
    </row>
    <row r="108" spans="29:34">
      <c r="AC108" s="330">
        <v>73</v>
      </c>
      <c r="AD108" s="332">
        <v>100</v>
      </c>
      <c r="AE108" s="251"/>
      <c r="AF108" s="251"/>
    </row>
    <row r="109" spans="29:34">
      <c r="AC109" s="330">
        <v>74</v>
      </c>
      <c r="AD109" s="332">
        <v>105</v>
      </c>
      <c r="AE109" s="251"/>
      <c r="AF109" s="251"/>
    </row>
    <row r="110" spans="29:34">
      <c r="AC110" s="330">
        <v>75</v>
      </c>
      <c r="AD110" s="332">
        <v>110</v>
      </c>
      <c r="AE110" s="251"/>
      <c r="AF110" s="251"/>
    </row>
    <row r="111" spans="29:34">
      <c r="AC111" s="330">
        <v>76</v>
      </c>
      <c r="AD111" s="332">
        <v>115</v>
      </c>
      <c r="AE111" s="251"/>
      <c r="AF111" s="251"/>
    </row>
    <row r="112" spans="29:34">
      <c r="AC112" s="330">
        <v>77</v>
      </c>
      <c r="AD112" s="332">
        <v>120</v>
      </c>
      <c r="AE112" s="251"/>
      <c r="AF112" s="251"/>
    </row>
    <row r="113" spans="29:32">
      <c r="AC113" s="330">
        <v>78</v>
      </c>
      <c r="AD113" s="332">
        <v>125</v>
      </c>
      <c r="AE113" s="251"/>
      <c r="AF113" s="251"/>
    </row>
    <row r="114" spans="29:32">
      <c r="AC114" s="330">
        <v>79</v>
      </c>
      <c r="AD114" s="332">
        <v>130</v>
      </c>
      <c r="AE114" s="251"/>
      <c r="AF114" s="251"/>
    </row>
    <row r="115" spans="29:32">
      <c r="AC115" s="330">
        <v>80</v>
      </c>
      <c r="AD115" s="332">
        <v>135</v>
      </c>
      <c r="AE115" s="251"/>
      <c r="AF115" s="251"/>
    </row>
    <row r="116" spans="29:32">
      <c r="AC116" s="330">
        <v>81</v>
      </c>
      <c r="AD116" s="332">
        <v>140</v>
      </c>
      <c r="AE116" s="251"/>
      <c r="AF116" s="251"/>
    </row>
    <row r="117" spans="29:32">
      <c r="AC117" s="330">
        <v>82</v>
      </c>
      <c r="AD117" s="332">
        <v>145</v>
      </c>
      <c r="AE117" s="251"/>
      <c r="AF117" s="251"/>
    </row>
    <row r="118" spans="29:32">
      <c r="AC118" s="330">
        <v>83</v>
      </c>
      <c r="AD118" s="332">
        <v>150</v>
      </c>
      <c r="AE118" s="251"/>
      <c r="AF118" s="251"/>
    </row>
    <row r="119" spans="29:32">
      <c r="AC119" s="330">
        <v>84</v>
      </c>
      <c r="AD119" s="332">
        <v>155</v>
      </c>
      <c r="AE119" s="251"/>
      <c r="AF119" s="251"/>
    </row>
    <row r="120" spans="29:32">
      <c r="AC120" s="330">
        <v>85</v>
      </c>
      <c r="AD120" s="332">
        <v>160</v>
      </c>
      <c r="AE120" s="251"/>
      <c r="AF120" s="251"/>
    </row>
    <row r="121" spans="29:32">
      <c r="AC121" s="330">
        <v>86</v>
      </c>
      <c r="AD121" s="332">
        <v>165</v>
      </c>
      <c r="AE121" s="251"/>
      <c r="AF121" s="251"/>
    </row>
    <row r="122" spans="29:32">
      <c r="AC122" s="330">
        <v>87</v>
      </c>
      <c r="AD122" s="332">
        <v>170</v>
      </c>
      <c r="AE122" s="251"/>
      <c r="AF122" s="251"/>
    </row>
    <row r="123" spans="29:32">
      <c r="AC123" s="330">
        <v>88</v>
      </c>
      <c r="AD123" s="332">
        <v>175</v>
      </c>
      <c r="AE123" s="251"/>
      <c r="AF123" s="251"/>
    </row>
    <row r="124" spans="29:32">
      <c r="AC124" s="330">
        <v>89</v>
      </c>
      <c r="AD124" s="332">
        <v>180</v>
      </c>
      <c r="AE124" s="251"/>
      <c r="AF124" s="251"/>
    </row>
    <row r="125" spans="29:32">
      <c r="AC125" s="330">
        <v>90</v>
      </c>
      <c r="AD125" s="332">
        <v>185</v>
      </c>
      <c r="AE125" s="251"/>
      <c r="AF125" s="251"/>
    </row>
    <row r="126" spans="29:32">
      <c r="AC126" s="330">
        <v>91</v>
      </c>
      <c r="AD126" s="332">
        <v>190</v>
      </c>
      <c r="AE126" s="251"/>
      <c r="AF126" s="251"/>
    </row>
    <row r="127" spans="29:32">
      <c r="AC127" s="330">
        <v>92</v>
      </c>
      <c r="AD127" s="332">
        <v>195</v>
      </c>
      <c r="AE127" s="251"/>
      <c r="AF127" s="251"/>
    </row>
    <row r="128" spans="29:32" ht="13.5" thickBot="1">
      <c r="AC128" s="331">
        <v>93</v>
      </c>
      <c r="AD128" s="333">
        <v>200</v>
      </c>
      <c r="AE128" s="251"/>
      <c r="AF128" s="251"/>
    </row>
  </sheetData>
  <pageMargins left="0.75" right="0.75" top="1" bottom="1" header="0.5" footer="0.5"/>
  <pageSetup paperSize="9" orientation="portrait" horizontalDpi="300" verticalDpi="240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4" r:id="rId4" name="Label 84">
              <controlPr defaultSize="0" print="0" autoFill="0" autoPict="0">
                <anchor>
                  <from>
                    <xdr:col>11</xdr:col>
                    <xdr:colOff>95250</xdr:colOff>
                    <xdr:row>10</xdr:row>
                    <xdr:rowOff>57150</xdr:rowOff>
                  </from>
                  <to>
                    <xdr:col>12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5" name="Label 21">
              <controlPr defaultSize="0" print="0" autoFill="0" autoPict="0">
                <anchor>
                  <from>
                    <xdr:col>4</xdr:col>
                    <xdr:colOff>9525</xdr:colOff>
                    <xdr:row>10</xdr:row>
                    <xdr:rowOff>57150</xdr:rowOff>
                  </from>
                  <to>
                    <xdr:col>4</xdr:col>
                    <xdr:colOff>504825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" r:id="rId6" name="List Box 1">
              <controlPr defaultSize="0" autoFill="0" autoLine="0" autoPict="0" macro="[0]!Круг">
                <anchor moveWithCells="1">
                  <from>
                    <xdr:col>1</xdr:col>
                    <xdr:colOff>104775</xdr:colOff>
                    <xdr:row>4</xdr:row>
                    <xdr:rowOff>19050</xdr:rowOff>
                  </from>
                  <to>
                    <xdr:col>3</xdr:col>
                    <xdr:colOff>104775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List Box 2">
              <controlPr defaultSize="0" autoFill="0" autoLine="0" autoPict="0" macro="[0]!Квадрат">
                <anchor>
                  <from>
                    <xdr:col>8</xdr:col>
                    <xdr:colOff>114300</xdr:colOff>
                    <xdr:row>4</xdr:row>
                    <xdr:rowOff>0</xdr:rowOff>
                  </from>
                  <to>
                    <xdr:col>10</xdr:col>
                    <xdr:colOff>19050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8" name="List Box 7">
              <controlPr defaultSize="0" print="0" autoFill="0" autoLine="0" autoPict="0" macro="[0]!Шестигранник">
                <anchor>
                  <from>
                    <xdr:col>15</xdr:col>
                    <xdr:colOff>47625</xdr:colOff>
                    <xdr:row>4</xdr:row>
                    <xdr:rowOff>0</xdr:rowOff>
                  </from>
                  <to>
                    <xdr:col>16</xdr:col>
                    <xdr:colOff>228600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4" r:id="rId9" name="Button 124">
              <controlPr defaultSize="0" print="0" autoFill="0" autoLine="0" autoPict="0" macro="[0]!Вначало">
                <anchor moveWithCells="1">
                  <from>
                    <xdr:col>7</xdr:col>
                    <xdr:colOff>9525</xdr:colOff>
                    <xdr:row>0</xdr:row>
                    <xdr:rowOff>76200</xdr:rowOff>
                  </from>
                  <to>
                    <xdr:col>14</xdr:col>
                    <xdr:colOff>66675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19"/>
  <dimension ref="B1:R354"/>
  <sheetViews>
    <sheetView workbookViewId="0"/>
  </sheetViews>
  <sheetFormatPr defaultRowHeight="12.75"/>
  <cols>
    <col min="1" max="1" width="2" customWidth="1"/>
    <col min="2" max="2" width="1.7109375" customWidth="1"/>
    <col min="3" max="3" width="8.5703125" customWidth="1"/>
    <col min="4" max="4" width="11.85546875" customWidth="1"/>
    <col min="5" max="5" width="7.7109375" customWidth="1"/>
    <col min="6" max="6" width="1.7109375" customWidth="1"/>
    <col min="7" max="7" width="2" customWidth="1"/>
    <col min="8" max="8" width="1.5703125" customWidth="1"/>
    <col min="10" max="10" width="12.5703125" customWidth="1"/>
    <col min="12" max="12" width="1.140625" customWidth="1"/>
    <col min="13" max="13" width="2" customWidth="1"/>
    <col min="14" max="14" width="1.85546875" customWidth="1"/>
    <col min="15" max="15" width="8.5703125" customWidth="1"/>
    <col min="16" max="16" width="12.42578125" customWidth="1"/>
    <col min="17" max="17" width="8.42578125" customWidth="1"/>
    <col min="18" max="18" width="1.7109375" customWidth="1"/>
  </cols>
  <sheetData>
    <row r="1" spans="2:18" ht="10.5" customHeight="1"/>
    <row r="2" spans="2:18" ht="10.5" customHeight="1" thickBot="1"/>
    <row r="3" spans="2:18" ht="11.25" customHeight="1">
      <c r="B3" s="631"/>
      <c r="C3" s="632"/>
      <c r="D3" s="652" t="s">
        <v>751</v>
      </c>
      <c r="E3" s="632"/>
      <c r="F3" s="633"/>
      <c r="H3" s="1086"/>
      <c r="I3" s="1087"/>
      <c r="J3" s="1204" t="s">
        <v>752</v>
      </c>
      <c r="K3" s="1087"/>
      <c r="L3" s="1089"/>
      <c r="N3" s="1210"/>
      <c r="O3" s="1211"/>
      <c r="P3" s="1212" t="s">
        <v>751</v>
      </c>
      <c r="Q3" s="1211"/>
      <c r="R3" s="1213"/>
    </row>
    <row r="4" spans="2:18" ht="11.25" customHeight="1">
      <c r="B4" s="634"/>
      <c r="C4" s="635"/>
      <c r="D4" s="653" t="s">
        <v>753</v>
      </c>
      <c r="E4" s="635"/>
      <c r="F4" s="636"/>
      <c r="H4" s="393"/>
      <c r="I4" s="394"/>
      <c r="J4" s="1205" t="s">
        <v>754</v>
      </c>
      <c r="K4" s="394"/>
      <c r="L4" s="336"/>
      <c r="N4" s="1214"/>
      <c r="O4" s="1215"/>
      <c r="P4" s="1216" t="s">
        <v>755</v>
      </c>
      <c r="Q4" s="1215"/>
      <c r="R4" s="1217"/>
    </row>
    <row r="5" spans="2:18" ht="10.5" customHeight="1">
      <c r="B5" s="634"/>
      <c r="C5" s="635"/>
      <c r="D5" s="649" t="s">
        <v>756</v>
      </c>
      <c r="E5" s="635"/>
      <c r="F5" s="636"/>
      <c r="H5" s="393"/>
      <c r="I5" s="394"/>
      <c r="J5" s="1206" t="s">
        <v>757</v>
      </c>
      <c r="K5" s="394"/>
      <c r="L5" s="336"/>
      <c r="N5" s="1214"/>
      <c r="O5" s="1215"/>
      <c r="P5" s="1218" t="s">
        <v>758</v>
      </c>
      <c r="Q5" s="1215"/>
      <c r="R5" s="1217"/>
    </row>
    <row r="6" spans="2:18" s="629" customFormat="1" ht="20.25" customHeight="1">
      <c r="B6" s="637"/>
      <c r="C6" s="638" t="s">
        <v>759</v>
      </c>
      <c r="D6" s="638"/>
      <c r="E6" s="638" t="s">
        <v>760</v>
      </c>
      <c r="F6" s="639"/>
      <c r="H6" s="1207"/>
      <c r="I6" s="660" t="s">
        <v>759</v>
      </c>
      <c r="J6" s="660"/>
      <c r="K6" s="660" t="s">
        <v>760</v>
      </c>
      <c r="L6" s="1208"/>
      <c r="N6" s="1219"/>
      <c r="O6" s="664" t="s">
        <v>759</v>
      </c>
      <c r="P6" s="664"/>
      <c r="Q6" s="664" t="s">
        <v>760</v>
      </c>
      <c r="R6" s="1220"/>
    </row>
    <row r="7" spans="2:18" ht="21.75" customHeight="1">
      <c r="B7" s="634"/>
      <c r="C7" s="635"/>
      <c r="D7" s="640" t="s">
        <v>761</v>
      </c>
      <c r="E7" s="635"/>
      <c r="F7" s="636"/>
      <c r="H7" s="393"/>
      <c r="I7" s="394"/>
      <c r="J7" s="657" t="s">
        <v>762</v>
      </c>
      <c r="K7" s="394"/>
      <c r="L7" s="336"/>
      <c r="N7" s="1214"/>
      <c r="O7" s="1215"/>
      <c r="P7" s="665" t="s">
        <v>762</v>
      </c>
      <c r="Q7" s="1215"/>
      <c r="R7" s="1217"/>
    </row>
    <row r="8" spans="2:18" ht="12" customHeight="1">
      <c r="B8" s="634"/>
      <c r="C8" s="635"/>
      <c r="D8" s="650">
        <f>IF(I63=0,0,F60)</f>
        <v>0.94505290857178992</v>
      </c>
      <c r="E8" s="635"/>
      <c r="F8" s="636"/>
      <c r="H8" s="393"/>
      <c r="I8" s="394"/>
      <c r="J8" s="658">
        <f>IF(I146=0,0,F143)</f>
        <v>0.55375987575843733</v>
      </c>
      <c r="K8" s="394"/>
      <c r="L8" s="336"/>
      <c r="N8" s="1214"/>
      <c r="O8" s="1215"/>
      <c r="P8" s="666">
        <f>IF(I236=0,0,I236)</f>
        <v>2.5</v>
      </c>
      <c r="Q8" s="1215"/>
      <c r="R8" s="1217"/>
    </row>
    <row r="9" spans="2:18" ht="24" customHeight="1">
      <c r="B9" s="634"/>
      <c r="C9" s="635"/>
      <c r="D9" s="640" t="s">
        <v>763</v>
      </c>
      <c r="E9" s="635"/>
      <c r="F9" s="636"/>
      <c r="H9" s="393"/>
      <c r="I9" s="394"/>
      <c r="J9" s="657" t="s">
        <v>763</v>
      </c>
      <c r="K9" s="394"/>
      <c r="L9" s="336"/>
      <c r="N9" s="1214"/>
      <c r="O9" s="1215"/>
      <c r="P9" s="665" t="s">
        <v>763</v>
      </c>
      <c r="Q9" s="1215"/>
      <c r="R9" s="1217"/>
    </row>
    <row r="10" spans="2:18" ht="11.25" customHeight="1">
      <c r="B10" s="634"/>
      <c r="C10" s="635"/>
      <c r="D10" s="651">
        <f>F62</f>
        <v>2.913827186204534</v>
      </c>
      <c r="E10" s="635"/>
      <c r="F10" s="636"/>
      <c r="H10" s="393"/>
      <c r="I10" s="394"/>
      <c r="J10" s="659">
        <f>F145</f>
        <v>0.68612383554401057</v>
      </c>
      <c r="K10" s="394"/>
      <c r="L10" s="336"/>
      <c r="N10" s="1214"/>
      <c r="O10" s="1215"/>
      <c r="P10" s="667">
        <f>F235</f>
        <v>12.370021073509811</v>
      </c>
      <c r="Q10" s="1215"/>
      <c r="R10" s="1217"/>
    </row>
    <row r="11" spans="2:18" ht="23.25" customHeight="1">
      <c r="B11" s="634"/>
      <c r="C11" s="635"/>
      <c r="D11" s="647" t="s">
        <v>764</v>
      </c>
      <c r="E11" s="635"/>
      <c r="F11" s="636"/>
      <c r="H11" s="393"/>
      <c r="I11" s="394"/>
      <c r="J11" s="687" t="s">
        <v>764</v>
      </c>
      <c r="K11" s="394"/>
      <c r="L11" s="336"/>
      <c r="N11" s="1214"/>
      <c r="O11" s="1215"/>
      <c r="P11" s="689" t="s">
        <v>764</v>
      </c>
      <c r="Q11" s="1215"/>
      <c r="R11" s="1217"/>
    </row>
    <row r="12" spans="2:18">
      <c r="B12" s="634"/>
      <c r="C12" s="635"/>
      <c r="D12" s="648">
        <f>F61</f>
        <v>2.28735227</v>
      </c>
      <c r="E12" s="635"/>
      <c r="F12" s="636"/>
      <c r="H12" s="393"/>
      <c r="I12" s="394"/>
      <c r="J12" s="688">
        <f>F144</f>
        <v>0.53860672319999991</v>
      </c>
      <c r="K12" s="394"/>
      <c r="L12" s="336"/>
      <c r="N12" s="1214"/>
      <c r="O12" s="1215"/>
      <c r="P12" s="690">
        <f>F234</f>
        <v>9.7104577499999998</v>
      </c>
      <c r="Q12" s="1215"/>
      <c r="R12" s="1217"/>
    </row>
    <row r="13" spans="2:18" ht="9.75" hidden="1" customHeight="1">
      <c r="B13" s="634"/>
      <c r="C13" s="635"/>
      <c r="D13" s="646"/>
      <c r="E13" s="635"/>
      <c r="F13" s="636"/>
      <c r="H13" s="393"/>
      <c r="I13" s="394"/>
      <c r="J13" s="394"/>
      <c r="K13" s="394"/>
      <c r="L13" s="336"/>
      <c r="N13" s="1214"/>
      <c r="O13" s="1215"/>
      <c r="P13" s="1215"/>
      <c r="Q13" s="1215"/>
      <c r="R13" s="1217"/>
    </row>
    <row r="14" spans="2:18">
      <c r="B14" s="634"/>
      <c r="C14" s="641"/>
      <c r="D14" s="684" t="str">
        <f>C59</f>
        <v>см. примечание</v>
      </c>
      <c r="E14" s="635"/>
      <c r="F14" s="636"/>
      <c r="H14" s="393"/>
      <c r="I14" s="394"/>
      <c r="J14" s="1209" t="str">
        <f>C142</f>
        <v>см. примечание</v>
      </c>
      <c r="K14" s="394"/>
      <c r="L14" s="336"/>
      <c r="N14" s="1214"/>
      <c r="O14" s="1215"/>
      <c r="P14" s="1221" t="str">
        <f>F232</f>
        <v>особотонкостенные</v>
      </c>
      <c r="Q14" s="1215"/>
      <c r="R14" s="1217"/>
    </row>
    <row r="15" spans="2:18" ht="12" customHeight="1">
      <c r="B15" s="634"/>
      <c r="C15" s="686" t="s">
        <v>765</v>
      </c>
      <c r="D15" s="1225">
        <v>3</v>
      </c>
      <c r="E15" s="642" t="s">
        <v>1926</v>
      </c>
      <c r="F15" s="636"/>
      <c r="H15" s="393"/>
      <c r="I15" s="399" t="s">
        <v>766</v>
      </c>
      <c r="J15" s="1225">
        <v>10</v>
      </c>
      <c r="K15" s="661" t="s">
        <v>1926</v>
      </c>
      <c r="L15" s="336"/>
      <c r="N15" s="1214"/>
      <c r="O15" s="685" t="s">
        <v>765</v>
      </c>
      <c r="P15" s="1225">
        <v>10</v>
      </c>
      <c r="Q15" s="669" t="s">
        <v>1926</v>
      </c>
      <c r="R15" s="1217"/>
    </row>
    <row r="16" spans="2:18" ht="11.25" customHeight="1" thickBot="1">
      <c r="B16" s="634"/>
      <c r="C16" s="654" t="s">
        <v>767</v>
      </c>
      <c r="D16" s="655">
        <f>D15*D12</f>
        <v>6.8620568100000003</v>
      </c>
      <c r="E16" s="656" t="s">
        <v>1483</v>
      </c>
      <c r="F16" s="636"/>
      <c r="H16" s="393"/>
      <c r="I16" s="403" t="s">
        <v>767</v>
      </c>
      <c r="J16" s="662">
        <f>J15*J12</f>
        <v>5.3860672319999994</v>
      </c>
      <c r="K16" s="663" t="s">
        <v>1483</v>
      </c>
      <c r="L16" s="336"/>
      <c r="N16" s="1214"/>
      <c r="O16" s="670" t="s">
        <v>767</v>
      </c>
      <c r="P16" s="671">
        <f>P15*P12</f>
        <v>97.104577500000005</v>
      </c>
      <c r="Q16" s="672" t="s">
        <v>1483</v>
      </c>
      <c r="R16" s="1217"/>
    </row>
    <row r="17" spans="2:18" ht="11.25" customHeight="1">
      <c r="B17" s="634"/>
      <c r="C17" s="686" t="s">
        <v>768</v>
      </c>
      <c r="D17" s="1226">
        <v>100</v>
      </c>
      <c r="E17" s="642" t="s">
        <v>1483</v>
      </c>
      <c r="F17" s="636"/>
      <c r="H17" s="393"/>
      <c r="I17" s="399" t="s">
        <v>768</v>
      </c>
      <c r="J17" s="1226">
        <v>100</v>
      </c>
      <c r="K17" s="661" t="s">
        <v>1483</v>
      </c>
      <c r="L17" s="336"/>
      <c r="N17" s="1214"/>
      <c r="O17" s="685" t="s">
        <v>768</v>
      </c>
      <c r="P17" s="1226">
        <v>100</v>
      </c>
      <c r="Q17" s="669" t="s">
        <v>1483</v>
      </c>
      <c r="R17" s="1217"/>
    </row>
    <row r="18" spans="2:18">
      <c r="B18" s="634"/>
      <c r="C18" s="641" t="s">
        <v>769</v>
      </c>
      <c r="D18" s="651">
        <f>IF(OR(D17=0,D12=0),"",D17/D12)</f>
        <v>43.718670408384455</v>
      </c>
      <c r="E18" s="642" t="s">
        <v>1926</v>
      </c>
      <c r="F18" s="636"/>
      <c r="H18" s="393"/>
      <c r="I18" s="399" t="s">
        <v>769</v>
      </c>
      <c r="J18" s="659">
        <f>IF(OR(J17=0,J12=0),"",J17/J12)</f>
        <v>185.66422529201733</v>
      </c>
      <c r="K18" s="661" t="s">
        <v>1926</v>
      </c>
      <c r="L18" s="336"/>
      <c r="N18" s="1214"/>
      <c r="O18" s="668" t="s">
        <v>769</v>
      </c>
      <c r="P18" s="667">
        <f>IF(OR(P17=0,P12=0),"",P17/P12)</f>
        <v>10.298175696197227</v>
      </c>
      <c r="Q18" s="669" t="s">
        <v>1926</v>
      </c>
      <c r="R18" s="1217"/>
    </row>
    <row r="19" spans="2:18" ht="5.25" customHeight="1" thickBot="1">
      <c r="B19" s="643"/>
      <c r="C19" s="644"/>
      <c r="D19" s="644"/>
      <c r="E19" s="644"/>
      <c r="F19" s="645"/>
      <c r="H19" s="401"/>
      <c r="I19" s="402"/>
      <c r="J19" s="402"/>
      <c r="K19" s="402"/>
      <c r="L19" s="337"/>
      <c r="N19" s="1222"/>
      <c r="O19" s="1223"/>
      <c r="P19" s="1223"/>
      <c r="Q19" s="1223"/>
      <c r="R19" s="1224"/>
    </row>
    <row r="20" spans="2:18" s="189" customFormat="1" ht="11.1" customHeight="1">
      <c r="B20" s="673"/>
      <c r="C20" s="674" t="s">
        <v>770</v>
      </c>
      <c r="D20" s="675" t="str">
        <f>IF(F59=0,"",F59)</f>
        <v/>
      </c>
      <c r="E20" s="676"/>
      <c r="F20" s="677"/>
      <c r="G20" s="678"/>
      <c r="H20" s="678"/>
      <c r="I20" s="678"/>
      <c r="J20" s="678"/>
      <c r="K20" s="678"/>
      <c r="L20" s="244"/>
      <c r="M20" s="244"/>
      <c r="N20" s="244"/>
      <c r="O20" s="244"/>
      <c r="P20" s="244"/>
    </row>
    <row r="21" spans="2:18" s="189" customFormat="1" ht="11.1" customHeight="1">
      <c r="B21" s="679"/>
      <c r="D21" s="675" t="str">
        <f>G59</f>
        <v>Применяют в договорно-правовых отношениях по экономическому и научно-техническому сотрудничеству</v>
      </c>
      <c r="E21" s="676"/>
      <c r="F21" s="676"/>
      <c r="G21" s="678"/>
      <c r="H21" s="678"/>
      <c r="I21" s="678"/>
      <c r="J21" s="678"/>
      <c r="K21" s="678"/>
      <c r="L21" s="678"/>
      <c r="M21" s="678"/>
      <c r="N21" s="678"/>
      <c r="O21" s="678"/>
      <c r="P21" s="678"/>
    </row>
    <row r="22" spans="2:18" s="189" customFormat="1" ht="11.1" customHeight="1">
      <c r="B22" s="679"/>
      <c r="C22" s="679"/>
      <c r="D22" s="675" t="str">
        <f>H59</f>
        <v/>
      </c>
      <c r="E22" s="676"/>
      <c r="F22" s="676"/>
      <c r="G22" s="678"/>
      <c r="H22" s="678"/>
      <c r="I22" s="678"/>
      <c r="J22" s="678"/>
      <c r="K22" s="678"/>
      <c r="L22" s="244"/>
      <c r="M22" s="244"/>
      <c r="N22" s="244"/>
      <c r="O22" s="244"/>
      <c r="P22" s="244"/>
    </row>
    <row r="23" spans="2:18" s="189" customFormat="1" ht="11.1" customHeight="1">
      <c r="D23" s="680" t="str">
        <f>F142</f>
        <v>при  новом проектировании применять не рекомендуется</v>
      </c>
      <c r="E23" s="681"/>
      <c r="F23" s="681"/>
      <c r="G23" s="681"/>
      <c r="H23" s="681"/>
      <c r="I23" s="681"/>
      <c r="J23" s="681"/>
      <c r="K23" s="681"/>
    </row>
    <row r="24" spans="2:18" s="189" customFormat="1" ht="11.1" customHeight="1">
      <c r="D24" s="682" t="str">
        <f>G232</f>
        <v>поставляются по согласованной с заказчиком технической документации</v>
      </c>
      <c r="E24" s="683"/>
      <c r="F24" s="683"/>
      <c r="G24" s="683"/>
      <c r="H24" s="683"/>
      <c r="I24" s="683"/>
      <c r="J24" s="683"/>
      <c r="K24" s="683"/>
    </row>
    <row r="25" spans="2:18" ht="6" customHeight="1"/>
    <row r="26" spans="2:18" ht="9" customHeight="1"/>
    <row r="55" spans="2:14" hidden="1"/>
    <row r="56" spans="2:14" ht="13.5" hidden="1" thickBot="1"/>
    <row r="57" spans="2:14" hidden="1">
      <c r="B57" s="143"/>
      <c r="C57" s="150"/>
      <c r="D57" s="150"/>
      <c r="E57" s="150">
        <v>1</v>
      </c>
      <c r="F57" s="150"/>
      <c r="G57" s="613" t="s">
        <v>771</v>
      </c>
      <c r="H57" s="150"/>
      <c r="I57" s="150"/>
      <c r="J57" s="150"/>
      <c r="K57" s="150"/>
      <c r="L57" s="150"/>
      <c r="M57" s="150"/>
      <c r="N57" s="144"/>
    </row>
    <row r="58" spans="2:14" hidden="1">
      <c r="B58" s="106"/>
      <c r="C58" s="34"/>
      <c r="D58" s="34"/>
      <c r="E58" s="34"/>
      <c r="F58" s="34"/>
      <c r="G58" s="35" t="s">
        <v>772</v>
      </c>
      <c r="H58" s="34"/>
      <c r="I58" s="34"/>
      <c r="J58" s="83"/>
      <c r="K58" s="34"/>
      <c r="L58" s="34"/>
      <c r="M58" s="34"/>
      <c r="N58" s="99"/>
    </row>
    <row r="59" spans="2:14" ht="13.5" hidden="1" thickBot="1">
      <c r="B59" s="106"/>
      <c r="C59" s="630" t="str">
        <f>IF($I$63=0,"не производится",IF(AND(OR(F63&lt;&gt;0,L63&lt;&gt;0),I63&lt;&gt;0),"см. примечание",""))</f>
        <v>см. примечание</v>
      </c>
      <c r="D59" s="34"/>
      <c r="E59" s="611" t="s">
        <v>773</v>
      </c>
      <c r="F59" s="626">
        <f>IF(I63=0,"",VLOOKUP(H63,H65:N115,7,FALSE))</f>
        <v>0</v>
      </c>
      <c r="G59" s="626" t="str">
        <f>IF(I63=0,"",IF(OR(VLOOKUP($C$63,$C$65:$F$134,4,FALSE)="*",VLOOKUP($H$63,$H$65:$L$115,5,FALSE)="*"),"Применяют в договорно-правовых отношениях по экономическому и научно-техническому сотрудничеству",""))</f>
        <v>Применяют в договорно-правовых отношениях по экономическому и научно-техническому сотрудничеству</v>
      </c>
      <c r="H59" s="626" t="str">
        <f>IF(I63=0,"",IF(OR(VLOOKUP($C$63,$C$65:$F$134,4,FALSE)="()",VLOOKUP($H$63,$H$65:$L$115,5,FALSE)="()"),"При проектировании нового оборудования не применять",""))</f>
        <v/>
      </c>
      <c r="I59" s="34"/>
      <c r="J59" s="623"/>
      <c r="K59" s="34"/>
      <c r="L59" s="34"/>
      <c r="M59" s="34"/>
      <c r="N59" s="99"/>
    </row>
    <row r="60" spans="2:14" ht="13.5" hidden="1" thickBot="1">
      <c r="B60" s="106"/>
      <c r="C60" s="34"/>
      <c r="D60" s="34"/>
      <c r="E60" s="611" t="s">
        <v>774</v>
      </c>
      <c r="F60" s="625">
        <f>(($J$60^2+$J$61^2)/4)^0.5</f>
        <v>0.94505290857178992</v>
      </c>
      <c r="G60" s="251" t="s">
        <v>1549</v>
      </c>
      <c r="H60" s="34"/>
      <c r="I60" s="606" t="s">
        <v>775</v>
      </c>
      <c r="J60" s="613">
        <f>K60/10/2</f>
        <v>1.5</v>
      </c>
      <c r="K60" s="150">
        <f>D63</f>
        <v>30</v>
      </c>
      <c r="L60" s="144" t="s">
        <v>776</v>
      </c>
      <c r="M60" s="34"/>
      <c r="N60" s="99"/>
    </row>
    <row r="61" spans="2:14" ht="13.5" hidden="1" thickBot="1">
      <c r="B61" s="106"/>
      <c r="C61" s="34"/>
      <c r="D61" s="34"/>
      <c r="E61" s="207" t="s">
        <v>777</v>
      </c>
      <c r="F61" s="205">
        <f>0.02466148*I63*(D63-I63)</f>
        <v>2.28735227</v>
      </c>
      <c r="G61" s="34" t="s">
        <v>1483</v>
      </c>
      <c r="H61" s="34"/>
      <c r="I61" s="612" t="s">
        <v>778</v>
      </c>
      <c r="J61" s="614">
        <f>J60-K61/10</f>
        <v>1.1499999999999999</v>
      </c>
      <c r="K61" s="151">
        <f>I63</f>
        <v>3.5</v>
      </c>
      <c r="L61" s="100" t="s">
        <v>779</v>
      </c>
      <c r="M61" s="34"/>
      <c r="N61" s="99"/>
    </row>
    <row r="62" spans="2:14" ht="15" hidden="1" thickBot="1">
      <c r="B62" s="106"/>
      <c r="C62" s="34"/>
      <c r="D62" s="34"/>
      <c r="E62" s="406" t="s">
        <v>1486</v>
      </c>
      <c r="F62" s="622">
        <f>PI()*((D63/10/2)^2-((D63-2*I63)/10/2)^2)</f>
        <v>2.913827186204534</v>
      </c>
      <c r="G62" s="34" t="s">
        <v>1487</v>
      </c>
      <c r="H62" s="34"/>
      <c r="I62" s="34"/>
      <c r="J62" s="34"/>
      <c r="K62" s="34"/>
      <c r="L62" s="34"/>
      <c r="M62" s="34"/>
      <c r="N62" s="99"/>
    </row>
    <row r="63" spans="2:14" ht="13.5" hidden="1" thickBot="1">
      <c r="B63" s="106"/>
      <c r="C63" s="1227">
        <v>7</v>
      </c>
      <c r="D63" s="621">
        <f>VLOOKUP(C63,C65:F134,3,FALSE)</f>
        <v>30</v>
      </c>
      <c r="E63" s="150"/>
      <c r="F63" s="144" t="str">
        <f>VLOOKUP(C63,C65:F134,4,FALSE)</f>
        <v>*</v>
      </c>
      <c r="G63" s="34"/>
      <c r="H63" s="1227">
        <v>6</v>
      </c>
      <c r="I63" s="621">
        <f>VLOOKUP(H63,H65:M115,4,FALSE)</f>
        <v>3.5</v>
      </c>
      <c r="J63" s="150"/>
      <c r="K63" s="150"/>
      <c r="L63" s="150">
        <f>VLOOKUP(H63,H65:L115,5,FALSE)</f>
        <v>0</v>
      </c>
      <c r="M63" s="144"/>
      <c r="N63" s="99"/>
    </row>
    <row r="64" spans="2:14" hidden="1">
      <c r="B64" s="106"/>
      <c r="C64" s="106"/>
      <c r="D64" s="34" t="s">
        <v>780</v>
      </c>
      <c r="E64" s="34"/>
      <c r="F64" s="99"/>
      <c r="G64" s="34"/>
      <c r="H64" s="106"/>
      <c r="I64" s="34"/>
      <c r="J64" s="34" t="s">
        <v>781</v>
      </c>
      <c r="K64" s="34"/>
      <c r="L64" s="34"/>
      <c r="M64" s="99"/>
      <c r="N64" s="99"/>
    </row>
    <row r="65" spans="2:14" hidden="1">
      <c r="B65" s="106"/>
      <c r="C65" s="615">
        <v>1</v>
      </c>
      <c r="D65" s="616" t="str">
        <f>E65&amp;LEFT(F65,1)</f>
        <v>20*</v>
      </c>
      <c r="E65" s="34">
        <v>20</v>
      </c>
      <c r="F65" s="99" t="s">
        <v>1550</v>
      </c>
      <c r="G65" s="34"/>
      <c r="H65" s="615">
        <v>1</v>
      </c>
      <c r="I65" s="423" t="s">
        <v>782</v>
      </c>
      <c r="J65" s="616" t="str">
        <f>K65&amp;L65</f>
        <v>2,5</v>
      </c>
      <c r="K65" s="34">
        <f>IF($C$63&gt;19,0,M65)</f>
        <v>2.5</v>
      </c>
      <c r="L65" s="34"/>
      <c r="M65" s="99">
        <v>2.5</v>
      </c>
      <c r="N65" s="99"/>
    </row>
    <row r="66" spans="2:14" hidden="1">
      <c r="B66" s="106"/>
      <c r="C66" s="615">
        <v>2</v>
      </c>
      <c r="D66" s="616" t="str">
        <f t="shared" ref="D66:D81" si="0">E66&amp;F66</f>
        <v>21,3*</v>
      </c>
      <c r="E66" s="34">
        <v>21.3</v>
      </c>
      <c r="F66" s="99" t="s">
        <v>1550</v>
      </c>
      <c r="G66" s="34"/>
      <c r="H66" s="615">
        <v>2</v>
      </c>
      <c r="I66" s="423" t="s">
        <v>783</v>
      </c>
      <c r="J66" s="616" t="str">
        <f t="shared" ref="J66:J81" si="1">K66&amp;L66</f>
        <v>2,6*</v>
      </c>
      <c r="K66" s="34">
        <f>IF($C$63&gt;19,0,M66)</f>
        <v>2.6</v>
      </c>
      <c r="L66" s="34" t="s">
        <v>1550</v>
      </c>
      <c r="M66" s="99">
        <v>2.6</v>
      </c>
      <c r="N66" s="99"/>
    </row>
    <row r="67" spans="2:14" hidden="1">
      <c r="B67" s="106"/>
      <c r="C67" s="615">
        <v>3</v>
      </c>
      <c r="D67" s="616" t="str">
        <f t="shared" si="0"/>
        <v>22*</v>
      </c>
      <c r="E67" s="34">
        <v>22</v>
      </c>
      <c r="F67" s="99" t="s">
        <v>1550</v>
      </c>
      <c r="G67" s="34"/>
      <c r="H67" s="615">
        <v>3</v>
      </c>
      <c r="I67" s="423" t="s">
        <v>784</v>
      </c>
      <c r="J67" s="616" t="str">
        <f t="shared" si="1"/>
        <v>2,8</v>
      </c>
      <c r="K67" s="34">
        <f>IF($C$63&gt;19,0,M67)</f>
        <v>2.8</v>
      </c>
      <c r="L67" s="34"/>
      <c r="M67" s="99">
        <v>2.8</v>
      </c>
      <c r="N67" s="99"/>
    </row>
    <row r="68" spans="2:14" hidden="1">
      <c r="B68" s="106"/>
      <c r="C68" s="615">
        <v>4</v>
      </c>
      <c r="D68" s="616" t="str">
        <f t="shared" si="0"/>
        <v>25</v>
      </c>
      <c r="E68" s="34">
        <v>25</v>
      </c>
      <c r="F68" s="99"/>
      <c r="G68" s="34"/>
      <c r="H68" s="615">
        <v>4</v>
      </c>
      <c r="I68" s="423" t="s">
        <v>1577</v>
      </c>
      <c r="J68" s="616" t="str">
        <f t="shared" si="1"/>
        <v>3</v>
      </c>
      <c r="K68" s="34">
        <f>IF($C$63&gt;29,0,M68)</f>
        <v>3</v>
      </c>
      <c r="L68" s="34"/>
      <c r="M68" s="99">
        <v>3</v>
      </c>
      <c r="N68" s="99"/>
    </row>
    <row r="69" spans="2:14" hidden="1">
      <c r="B69" s="106"/>
      <c r="C69" s="615">
        <v>5</v>
      </c>
      <c r="D69" s="616" t="str">
        <f t="shared" si="0"/>
        <v>26,9*</v>
      </c>
      <c r="E69" s="34">
        <v>26.9</v>
      </c>
      <c r="F69" s="99" t="s">
        <v>1550</v>
      </c>
      <c r="G69" s="34"/>
      <c r="H69" s="615">
        <v>5</v>
      </c>
      <c r="I69" s="423" t="s">
        <v>785</v>
      </c>
      <c r="J69" s="616" t="str">
        <f t="shared" si="1"/>
        <v>3,2*</v>
      </c>
      <c r="K69" s="34">
        <f>IF($C$63&gt;29,0,M69)</f>
        <v>3.2</v>
      </c>
      <c r="L69" s="34" t="s">
        <v>1550</v>
      </c>
      <c r="M69" s="99">
        <v>3.2</v>
      </c>
      <c r="N69" s="99"/>
    </row>
    <row r="70" spans="2:14" hidden="1">
      <c r="B70" s="106"/>
      <c r="C70" s="615">
        <v>6</v>
      </c>
      <c r="D70" s="616" t="str">
        <f t="shared" si="0"/>
        <v>28</v>
      </c>
      <c r="E70" s="34">
        <v>28</v>
      </c>
      <c r="F70" s="99"/>
      <c r="G70" s="34"/>
      <c r="H70" s="615">
        <v>6</v>
      </c>
      <c r="I70" s="423" t="s">
        <v>786</v>
      </c>
      <c r="J70" s="616" t="str">
        <f t="shared" si="1"/>
        <v>3,5</v>
      </c>
      <c r="K70" s="34">
        <f>IF($C$63&gt;34,0,M70)</f>
        <v>3.5</v>
      </c>
      <c r="L70" s="34"/>
      <c r="M70" s="99">
        <v>3.5</v>
      </c>
      <c r="N70" s="99"/>
    </row>
    <row r="71" spans="2:14" hidden="1">
      <c r="B71" s="106"/>
      <c r="C71" s="615">
        <v>7</v>
      </c>
      <c r="D71" s="616" t="str">
        <f t="shared" si="0"/>
        <v>30*</v>
      </c>
      <c r="E71" s="34">
        <v>30</v>
      </c>
      <c r="F71" s="99" t="s">
        <v>1550</v>
      </c>
      <c r="G71" s="34"/>
      <c r="H71" s="615">
        <v>7</v>
      </c>
      <c r="I71" s="423" t="s">
        <v>1555</v>
      </c>
      <c r="J71" s="616" t="str">
        <f t="shared" si="1"/>
        <v>4</v>
      </c>
      <c r="K71" s="34">
        <f>IF($C$63&gt;40,0,M71)</f>
        <v>4</v>
      </c>
      <c r="L71" s="34"/>
      <c r="M71" s="99">
        <v>4</v>
      </c>
      <c r="N71" s="99"/>
    </row>
    <row r="72" spans="2:14" hidden="1">
      <c r="B72" s="106"/>
      <c r="C72" s="615">
        <v>8</v>
      </c>
      <c r="D72" s="616" t="str">
        <f t="shared" si="0"/>
        <v>31,8*</v>
      </c>
      <c r="E72" s="34">
        <v>31.8</v>
      </c>
      <c r="F72" s="99" t="s">
        <v>1550</v>
      </c>
      <c r="G72" s="34"/>
      <c r="H72" s="615">
        <v>8</v>
      </c>
      <c r="I72" s="423" t="s">
        <v>787</v>
      </c>
      <c r="J72" s="616" t="str">
        <f t="shared" si="1"/>
        <v>4,5</v>
      </c>
      <c r="K72" s="34">
        <f>IF(OR($C$63&lt;4,$C$63&gt;44,),0,M72)</f>
        <v>4.5</v>
      </c>
      <c r="L72" s="34"/>
      <c r="M72" s="99">
        <v>4.5</v>
      </c>
      <c r="N72" s="99"/>
    </row>
    <row r="73" spans="2:14" hidden="1">
      <c r="B73" s="106"/>
      <c r="C73" s="615">
        <v>9</v>
      </c>
      <c r="D73" s="616" t="str">
        <f t="shared" si="0"/>
        <v>32</v>
      </c>
      <c r="E73" s="34">
        <v>32</v>
      </c>
      <c r="F73" s="99"/>
      <c r="G73" s="34"/>
      <c r="H73" s="615">
        <v>9</v>
      </c>
      <c r="I73" s="423" t="s">
        <v>1551</v>
      </c>
      <c r="J73" s="616" t="str">
        <f t="shared" si="1"/>
        <v>5</v>
      </c>
      <c r="K73" s="34">
        <f>IF(OR($C$63&lt;4,$C$63&gt;49,),0,M73)</f>
        <v>5</v>
      </c>
      <c r="L73" s="34"/>
      <c r="M73" s="99">
        <v>5</v>
      </c>
      <c r="N73" s="99" t="str">
        <f>IF(AND($C$63&gt;44,$C$63&lt;50,$H$63=9),"Изготавливают по согласованию изготовителя с потребителем","")</f>
        <v/>
      </c>
    </row>
    <row r="74" spans="2:14" hidden="1">
      <c r="B74" s="106"/>
      <c r="C74" s="615">
        <v>10</v>
      </c>
      <c r="D74" s="616" t="str">
        <f t="shared" si="0"/>
        <v>33,7*</v>
      </c>
      <c r="E74" s="34">
        <v>33.700000000000003</v>
      </c>
      <c r="F74" s="99" t="s">
        <v>1550</v>
      </c>
      <c r="G74" s="34"/>
      <c r="H74" s="615">
        <v>10</v>
      </c>
      <c r="I74" s="423" t="s">
        <v>788</v>
      </c>
      <c r="J74" s="616" t="str">
        <f t="shared" si="1"/>
        <v>5,5</v>
      </c>
      <c r="K74" s="34">
        <f>IF(OR($C$63&lt;4,$C$63&gt;49,),0,M74)</f>
        <v>5.5</v>
      </c>
      <c r="L74" s="34"/>
      <c r="M74" s="99">
        <v>5.5</v>
      </c>
      <c r="N74" s="99"/>
    </row>
    <row r="75" spans="2:14" hidden="1">
      <c r="B75" s="106"/>
      <c r="C75" s="615">
        <v>11</v>
      </c>
      <c r="D75" s="616" t="str">
        <f t="shared" si="0"/>
        <v>35*</v>
      </c>
      <c r="E75" s="34">
        <v>35</v>
      </c>
      <c r="F75" s="99" t="s">
        <v>1550</v>
      </c>
      <c r="G75" s="34"/>
      <c r="H75" s="615">
        <v>11</v>
      </c>
      <c r="I75" s="423" t="s">
        <v>1552</v>
      </c>
      <c r="J75" s="616" t="str">
        <f t="shared" si="1"/>
        <v>6</v>
      </c>
      <c r="K75" s="34">
        <f>IF(OR($C$63&lt;4,$C$63&gt;51,),0,M75)</f>
        <v>6</v>
      </c>
      <c r="L75" s="34"/>
      <c r="M75" s="99">
        <v>6</v>
      </c>
      <c r="N75" s="99"/>
    </row>
    <row r="76" spans="2:14" hidden="1">
      <c r="B76" s="106"/>
      <c r="C76" s="615">
        <v>12</v>
      </c>
      <c r="D76" s="616" t="str">
        <f t="shared" si="0"/>
        <v>38</v>
      </c>
      <c r="E76" s="34">
        <v>38</v>
      </c>
      <c r="F76" s="99"/>
      <c r="G76" s="34"/>
      <c r="H76" s="615">
        <v>12</v>
      </c>
      <c r="I76" s="617" t="s">
        <v>789</v>
      </c>
      <c r="J76" s="616" t="str">
        <f>LEFT(L76,1)&amp;K76&amp;RIGHT(L76,1)</f>
        <v>(6,5)</v>
      </c>
      <c r="K76" s="34">
        <f>IF(OR($C$63&lt;4,$C$63&gt;53,),0,M76)</f>
        <v>6.5</v>
      </c>
      <c r="L76" s="34" t="s">
        <v>790</v>
      </c>
      <c r="M76" s="99">
        <v>6.5</v>
      </c>
      <c r="N76" s="99" t="str">
        <f>IF(AND($C$63&gt;51,$C$63&lt;54,$H$63=12),"Изготавливают по согласованию изготовителя с потребителем","")</f>
        <v/>
      </c>
    </row>
    <row r="77" spans="2:14" hidden="1">
      <c r="B77" s="106"/>
      <c r="C77" s="615">
        <v>13</v>
      </c>
      <c r="D77" s="616" t="str">
        <f t="shared" si="0"/>
        <v>40*</v>
      </c>
      <c r="E77" s="34">
        <v>40</v>
      </c>
      <c r="F77" s="99" t="s">
        <v>1550</v>
      </c>
      <c r="G77" s="34"/>
      <c r="H77" s="615">
        <v>13</v>
      </c>
      <c r="I77" s="423" t="s">
        <v>1553</v>
      </c>
      <c r="J77" s="616" t="str">
        <f t="shared" si="1"/>
        <v>7</v>
      </c>
      <c r="K77" s="34">
        <f>IF(OR($C$63&lt;4,$C$63&gt;53,),0,M77)</f>
        <v>7</v>
      </c>
      <c r="L77" s="34"/>
      <c r="M77" s="99">
        <v>7</v>
      </c>
      <c r="N77" s="99"/>
    </row>
    <row r="78" spans="2:14" hidden="1">
      <c r="B78" s="106"/>
      <c r="C78" s="615">
        <v>14</v>
      </c>
      <c r="D78" s="616" t="str">
        <f t="shared" si="0"/>
        <v>42</v>
      </c>
      <c r="E78" s="34">
        <v>42</v>
      </c>
      <c r="F78" s="99"/>
      <c r="G78" s="34"/>
      <c r="H78" s="615">
        <v>14</v>
      </c>
      <c r="I78" s="617" t="s">
        <v>791</v>
      </c>
      <c r="J78" s="616" t="str">
        <f>LEFT(L78,1)&amp;K78&amp;RIGHT(L78,1)</f>
        <v>(7,5)</v>
      </c>
      <c r="K78" s="34">
        <f>IF(OR($C$63&lt;4,$C$63&gt;56,),0,M78)</f>
        <v>7.5</v>
      </c>
      <c r="L78" s="34" t="s">
        <v>790</v>
      </c>
      <c r="M78" s="99">
        <v>7.5</v>
      </c>
      <c r="N78" s="99" t="str">
        <f>IF(AND($C$63&gt;53,$C$63&lt;57,$H$63=H78),"Изготавливают по согласованию изготовителя с потребителем","")</f>
        <v/>
      </c>
    </row>
    <row r="79" spans="2:14" hidden="1">
      <c r="B79" s="106"/>
      <c r="C79" s="615">
        <v>15</v>
      </c>
      <c r="D79" s="616" t="str">
        <f t="shared" si="0"/>
        <v>42,4*</v>
      </c>
      <c r="E79" s="34">
        <v>42.4</v>
      </c>
      <c r="F79" s="99" t="s">
        <v>1550</v>
      </c>
      <c r="G79" s="34"/>
      <c r="H79" s="615">
        <v>15</v>
      </c>
      <c r="I79" s="423" t="s">
        <v>1554</v>
      </c>
      <c r="J79" s="616" t="str">
        <f t="shared" si="1"/>
        <v>8</v>
      </c>
      <c r="K79" s="34">
        <f>IF(OR($C$63&lt;4,$C$63&gt;58,),0,M79)</f>
        <v>8</v>
      </c>
      <c r="L79" s="34"/>
      <c r="M79" s="99">
        <v>8</v>
      </c>
      <c r="N79" s="99" t="str">
        <f>IF(AND($C$63=58,$H$63=H79),"Изготавливают по согласованию изготовителя с потребителем","")</f>
        <v/>
      </c>
    </row>
    <row r="80" spans="2:14" hidden="1">
      <c r="B80" s="106"/>
      <c r="C80" s="615">
        <v>16</v>
      </c>
      <c r="D80" s="616" t="str">
        <f t="shared" si="0"/>
        <v>44,5*</v>
      </c>
      <c r="E80" s="34">
        <v>44.5</v>
      </c>
      <c r="F80" s="99" t="s">
        <v>1550</v>
      </c>
      <c r="G80" s="34"/>
      <c r="H80" s="615">
        <v>16</v>
      </c>
      <c r="I80" s="617" t="s">
        <v>792</v>
      </c>
      <c r="J80" s="616" t="str">
        <f>LEFT(L80,1)&amp;K80&amp;RIGHT(L80,1)</f>
        <v>(0)</v>
      </c>
      <c r="K80" s="34">
        <f>IF(OR($C$63&lt;14,$C$63&gt;57),0,M80)</f>
        <v>0</v>
      </c>
      <c r="L80" s="34" t="s">
        <v>790</v>
      </c>
      <c r="M80" s="99">
        <v>8.5</v>
      </c>
      <c r="N80" s="99" t="str">
        <f>IF(AND($C$63&gt;13,$C$63&lt;22,$H$63=H80),"Изготавливают по согласованию изготовителя с потребителем","")</f>
        <v/>
      </c>
    </row>
    <row r="81" spans="2:14" hidden="1">
      <c r="B81" s="106"/>
      <c r="C81" s="615">
        <v>17</v>
      </c>
      <c r="D81" s="616" t="str">
        <f t="shared" si="0"/>
        <v>45</v>
      </c>
      <c r="E81" s="34">
        <v>45</v>
      </c>
      <c r="F81" s="99"/>
      <c r="G81" s="34"/>
      <c r="H81" s="615">
        <v>17</v>
      </c>
      <c r="I81" s="423" t="s">
        <v>1578</v>
      </c>
      <c r="J81" s="616" t="str">
        <f t="shared" si="1"/>
        <v>0</v>
      </c>
      <c r="K81" s="34">
        <f>IF($C$63&lt;14,0,M81)</f>
        <v>0</v>
      </c>
      <c r="L81" s="34"/>
      <c r="M81" s="99">
        <v>9</v>
      </c>
      <c r="N81" s="99" t="str">
        <f>IF(AND($C$63&gt;13,$C$63&lt;22,$H$63=H81),"Изготавливают по согласованию изготовителя с потребителем",IF(AND($C$63&gt;62,$H$63=H81),"Изготавливают по согласованию изготовителя с потребителем",""))</f>
        <v/>
      </c>
    </row>
    <row r="82" spans="2:14" hidden="1">
      <c r="B82" s="106"/>
      <c r="C82" s="615">
        <v>18</v>
      </c>
      <c r="D82" s="616" t="str">
        <f t="shared" ref="D82:D97" si="2">E82&amp;F82</f>
        <v>48,3*</v>
      </c>
      <c r="E82" s="34">
        <v>48.3</v>
      </c>
      <c r="F82" s="99" t="s">
        <v>1550</v>
      </c>
      <c r="G82" s="34"/>
      <c r="H82" s="615">
        <v>18</v>
      </c>
      <c r="I82" s="617" t="s">
        <v>793</v>
      </c>
      <c r="J82" s="616" t="str">
        <f>LEFT(L82,1)&amp;K82&amp;RIGHT(L82,1)</f>
        <v>(0)</v>
      </c>
      <c r="K82" s="34">
        <f>IF($C$63&lt;14,0,M82)</f>
        <v>0</v>
      </c>
      <c r="L82" s="34" t="s">
        <v>790</v>
      </c>
      <c r="M82" s="99">
        <v>9.5</v>
      </c>
      <c r="N82" s="99" t="str">
        <f>IF(AND($C$63&gt;13,$C$63&lt;22,$H$63=H82),"Изготавливают по согласованию изготовителя с потребителем",IF(AND($C$63&gt;62,$H$63=H82),"Изготавливают по согласованию изготовителя с потребителем",""))</f>
        <v/>
      </c>
    </row>
    <row r="83" spans="2:14" hidden="1">
      <c r="B83" s="106"/>
      <c r="C83" s="615">
        <v>19</v>
      </c>
      <c r="D83" s="616" t="str">
        <f t="shared" si="2"/>
        <v>50</v>
      </c>
      <c r="E83" s="34">
        <v>50</v>
      </c>
      <c r="F83" s="99"/>
      <c r="G83" s="34"/>
      <c r="H83" s="615">
        <v>19</v>
      </c>
      <c r="I83" s="423" t="s">
        <v>1484</v>
      </c>
      <c r="J83" s="616" t="str">
        <f t="shared" ref="J83:J96" si="3">K83&amp;L83</f>
        <v>0</v>
      </c>
      <c r="K83" s="34">
        <f>IF($C$63&lt;14,0,M83)</f>
        <v>0</v>
      </c>
      <c r="L83" s="34"/>
      <c r="M83" s="99">
        <v>10</v>
      </c>
      <c r="N83" s="99" t="str">
        <f>IF(AND($C$63&gt;13,$C$63&lt;22,$H$63=H83),"Изготавливают по согласованию изготовителя с потребителем",IF(AND($C$63&gt;62,$H$63=H83),"Изготавливают по согласованию изготовителя с потребителем",""))</f>
        <v/>
      </c>
    </row>
    <row r="84" spans="2:14" hidden="1">
      <c r="B84" s="106"/>
      <c r="C84" s="615">
        <v>20</v>
      </c>
      <c r="D84" s="616" t="str">
        <f t="shared" si="2"/>
        <v>51*</v>
      </c>
      <c r="E84" s="34">
        <v>51</v>
      </c>
      <c r="F84" s="99" t="s">
        <v>1550</v>
      </c>
      <c r="G84" s="34"/>
      <c r="H84" s="615">
        <v>20</v>
      </c>
      <c r="I84" s="423" t="s">
        <v>794</v>
      </c>
      <c r="J84" s="616" t="str">
        <f t="shared" si="3"/>
        <v>0</v>
      </c>
      <c r="K84" s="34">
        <f>IF($C$63&lt;21,0,M84)</f>
        <v>0</v>
      </c>
      <c r="L84" s="34"/>
      <c r="M84" s="99">
        <v>11</v>
      </c>
      <c r="N84" s="99" t="str">
        <f t="shared" ref="N84:N89" si="4">IF(AND($C$63&gt;62,$H$63=H84),"Изготавливают по согласованию изготовителя с потребителем","")</f>
        <v/>
      </c>
    </row>
    <row r="85" spans="2:14" hidden="1">
      <c r="B85" s="106"/>
      <c r="C85" s="615">
        <v>21</v>
      </c>
      <c r="D85" s="616" t="str">
        <f t="shared" si="2"/>
        <v>54</v>
      </c>
      <c r="E85" s="34">
        <v>54</v>
      </c>
      <c r="F85" s="99"/>
      <c r="G85" s="34"/>
      <c r="H85" s="615">
        <v>21</v>
      </c>
      <c r="I85" s="423" t="s">
        <v>1482</v>
      </c>
      <c r="J85" s="616" t="str">
        <f t="shared" si="3"/>
        <v>0</v>
      </c>
      <c r="K85" s="34">
        <f>IF($C$63&lt;22,0,M85)</f>
        <v>0</v>
      </c>
      <c r="L85" s="34"/>
      <c r="M85" s="99">
        <v>12</v>
      </c>
      <c r="N85" s="99" t="str">
        <f t="shared" si="4"/>
        <v/>
      </c>
    </row>
    <row r="86" spans="2:14" hidden="1">
      <c r="B86" s="106"/>
      <c r="C86" s="615">
        <v>22</v>
      </c>
      <c r="D86" s="616" t="str">
        <f t="shared" si="2"/>
        <v>57</v>
      </c>
      <c r="E86" s="34">
        <v>57</v>
      </c>
      <c r="F86" s="99"/>
      <c r="G86" s="34"/>
      <c r="H86" s="615">
        <v>22</v>
      </c>
      <c r="I86" s="617" t="s">
        <v>795</v>
      </c>
      <c r="J86" s="616" t="str">
        <f>LEFT(L86,1)&amp;K86&amp;RIGHT(L86,1)</f>
        <v>(0)</v>
      </c>
      <c r="K86" s="34">
        <f>IF($C$63&lt;22,0,M86)</f>
        <v>0</v>
      </c>
      <c r="L86" s="34" t="s">
        <v>790</v>
      </c>
      <c r="M86" s="99">
        <v>13</v>
      </c>
      <c r="N86" s="99" t="str">
        <f t="shared" si="4"/>
        <v/>
      </c>
    </row>
    <row r="87" spans="2:14" hidden="1">
      <c r="B87" s="106"/>
      <c r="C87" s="615">
        <v>23</v>
      </c>
      <c r="D87" s="616" t="str">
        <f t="shared" si="2"/>
        <v>60*</v>
      </c>
      <c r="E87" s="34">
        <v>60</v>
      </c>
      <c r="F87" s="99" t="s">
        <v>1550</v>
      </c>
      <c r="G87" s="34"/>
      <c r="H87" s="615">
        <v>23</v>
      </c>
      <c r="I87" s="423" t="s">
        <v>796</v>
      </c>
      <c r="J87" s="616" t="str">
        <f t="shared" si="3"/>
        <v>0</v>
      </c>
      <c r="K87" s="34">
        <f>IF($C$63&lt;23,0,M87)</f>
        <v>0</v>
      </c>
      <c r="L87" s="34"/>
      <c r="M87" s="99">
        <v>14</v>
      </c>
      <c r="N87" s="99" t="str">
        <f t="shared" si="4"/>
        <v/>
      </c>
    </row>
    <row r="88" spans="2:14" hidden="1">
      <c r="B88" s="106"/>
      <c r="C88" s="615">
        <v>24</v>
      </c>
      <c r="D88" s="616" t="str">
        <f t="shared" si="2"/>
        <v>60,3*</v>
      </c>
      <c r="E88" s="34">
        <v>60.3</v>
      </c>
      <c r="F88" s="99" t="s">
        <v>1550</v>
      </c>
      <c r="G88" s="34"/>
      <c r="H88" s="615">
        <v>24</v>
      </c>
      <c r="I88" s="617" t="s">
        <v>797</v>
      </c>
      <c r="J88" s="616" t="str">
        <f>LEFT(L88,1)&amp;K88&amp;RIGHT(L88,1)</f>
        <v>(0)</v>
      </c>
      <c r="K88" s="34">
        <f>IF($C$63&lt;26,0,M88)</f>
        <v>0</v>
      </c>
      <c r="L88" s="34" t="s">
        <v>790</v>
      </c>
      <c r="M88" s="99">
        <v>15</v>
      </c>
      <c r="N88" s="99" t="str">
        <f t="shared" si="4"/>
        <v/>
      </c>
    </row>
    <row r="89" spans="2:14" hidden="1">
      <c r="B89" s="106"/>
      <c r="C89" s="615">
        <v>25</v>
      </c>
      <c r="D89" s="616" t="str">
        <f t="shared" si="2"/>
        <v>63,5</v>
      </c>
      <c r="E89" s="34">
        <v>63.5</v>
      </c>
      <c r="F89" s="99"/>
      <c r="G89" s="34"/>
      <c r="H89" s="615">
        <v>25</v>
      </c>
      <c r="I89" s="423" t="s">
        <v>798</v>
      </c>
      <c r="J89" s="616" t="str">
        <f t="shared" si="3"/>
        <v>0</v>
      </c>
      <c r="K89" s="34">
        <f>IF(OR($C$63&lt;26,$C$63=65,$C$63=66,$C$63=67,$C$63&gt;68),0,M89)</f>
        <v>0</v>
      </c>
      <c r="L89" s="34"/>
      <c r="M89" s="99">
        <v>16</v>
      </c>
      <c r="N89" s="99" t="str">
        <f t="shared" si="4"/>
        <v/>
      </c>
    </row>
    <row r="90" spans="2:14" hidden="1">
      <c r="B90" s="106"/>
      <c r="C90" s="615">
        <v>26</v>
      </c>
      <c r="D90" s="616" t="str">
        <f t="shared" si="2"/>
        <v>68</v>
      </c>
      <c r="E90" s="34">
        <v>68</v>
      </c>
      <c r="F90" s="99"/>
      <c r="G90" s="34"/>
      <c r="H90" s="615">
        <v>26</v>
      </c>
      <c r="I90" s="423" t="s">
        <v>799</v>
      </c>
      <c r="J90" s="616" t="str">
        <f t="shared" si="3"/>
        <v>0</v>
      </c>
      <c r="K90" s="34">
        <f>IF(OR($C$63&lt;26,$C$63=65,$C$63=66,$C$63=67,$C$63&gt;68),0,M90)</f>
        <v>0</v>
      </c>
      <c r="L90" s="34"/>
      <c r="M90" s="99">
        <v>17</v>
      </c>
      <c r="N90" s="99" t="str">
        <f>IF(AND($C$63&gt;56,$H$63=H90),"Изготавливают по согласованию изготовителя с потребителем","")</f>
        <v/>
      </c>
    </row>
    <row r="91" spans="2:14" hidden="1">
      <c r="B91" s="106"/>
      <c r="C91" s="615">
        <v>27</v>
      </c>
      <c r="D91" s="616" t="str">
        <f t="shared" si="2"/>
        <v>70</v>
      </c>
      <c r="E91" s="34">
        <v>70</v>
      </c>
      <c r="F91" s="99"/>
      <c r="G91" s="34"/>
      <c r="H91" s="615">
        <v>27</v>
      </c>
      <c r="I91" s="423" t="s">
        <v>1557</v>
      </c>
      <c r="J91" s="616" t="str">
        <f t="shared" si="3"/>
        <v>0</v>
      </c>
      <c r="K91" s="34">
        <f>IF(OR($C$63&lt;26,$C$63=65,$C$63=66,$C$63=67,$C$63&gt;68),0,M91)</f>
        <v>0</v>
      </c>
      <c r="L91" s="34"/>
      <c r="M91" s="99">
        <v>18</v>
      </c>
      <c r="N91" s="99" t="str">
        <f>IF(AND($C$63&gt;56,$H$63=H91),"Изготавливают по согласованию изготовителя с потребителем","")</f>
        <v/>
      </c>
    </row>
    <row r="92" spans="2:14" hidden="1">
      <c r="B92" s="106"/>
      <c r="C92" s="615">
        <v>28</v>
      </c>
      <c r="D92" s="616" t="str">
        <f t="shared" si="2"/>
        <v>73</v>
      </c>
      <c r="E92" s="34">
        <v>73</v>
      </c>
      <c r="F92" s="99"/>
      <c r="G92" s="34"/>
      <c r="H92" s="615">
        <v>28</v>
      </c>
      <c r="I92" s="617" t="s">
        <v>800</v>
      </c>
      <c r="J92" s="616" t="str">
        <f>LEFT(L92,1)&amp;K92&amp;RIGHT(L92,1)</f>
        <v>(0)</v>
      </c>
      <c r="K92" s="34">
        <f>IF(OR($C$63&lt;28,$C$63&gt;63),0,M92)</f>
        <v>0</v>
      </c>
      <c r="L92" s="34" t="s">
        <v>790</v>
      </c>
      <c r="M92" s="99">
        <v>19</v>
      </c>
      <c r="N92" s="99" t="str">
        <f t="shared" ref="N92:N107" si="5">IF(AND($C$63&gt;56,$H$63=H92),"Изготавливают по согласованию изготовителя с потребителем","")</f>
        <v/>
      </c>
    </row>
    <row r="93" spans="2:14" hidden="1">
      <c r="B93" s="106"/>
      <c r="C93" s="615">
        <v>29</v>
      </c>
      <c r="D93" s="616" t="str">
        <f t="shared" si="2"/>
        <v>76</v>
      </c>
      <c r="E93" s="34">
        <v>76</v>
      </c>
      <c r="F93" s="99"/>
      <c r="G93" s="34"/>
      <c r="H93" s="615">
        <v>29</v>
      </c>
      <c r="I93" s="423" t="s">
        <v>1558</v>
      </c>
      <c r="J93" s="616" t="str">
        <f t="shared" si="3"/>
        <v>0</v>
      </c>
      <c r="K93" s="34">
        <f>IF(OR($C$63&lt;32,$C$63=66,$C$63=67,$C$63&gt;68),0,M93)</f>
        <v>0</v>
      </c>
      <c r="L93" s="34"/>
      <c r="M93" s="99">
        <v>20</v>
      </c>
      <c r="N93" s="99" t="str">
        <f t="shared" si="5"/>
        <v/>
      </c>
    </row>
    <row r="94" spans="2:14" hidden="1">
      <c r="B94" s="106"/>
      <c r="C94" s="615">
        <v>30</v>
      </c>
      <c r="D94" s="616" t="str">
        <f t="shared" si="2"/>
        <v>82,5*</v>
      </c>
      <c r="E94" s="34">
        <v>82.5</v>
      </c>
      <c r="F94" s="99" t="s">
        <v>1550</v>
      </c>
      <c r="G94" s="34"/>
      <c r="H94" s="615">
        <v>30</v>
      </c>
      <c r="I94" s="423" t="s">
        <v>1925</v>
      </c>
      <c r="J94" s="616" t="str">
        <f t="shared" si="3"/>
        <v>0</v>
      </c>
      <c r="K94" s="34">
        <f>IF(OR($C$63&lt;32,$C$63=66,$C$63=67,$C$63&gt;68),0,M94)</f>
        <v>0</v>
      </c>
      <c r="L94" s="34"/>
      <c r="M94" s="99">
        <v>22</v>
      </c>
      <c r="N94" s="99" t="str">
        <f t="shared" si="5"/>
        <v/>
      </c>
    </row>
    <row r="95" spans="2:14" hidden="1">
      <c r="B95" s="106"/>
      <c r="C95" s="615">
        <v>31</v>
      </c>
      <c r="D95" s="616" t="str">
        <f t="shared" si="2"/>
        <v>83</v>
      </c>
      <c r="E95" s="34">
        <v>83</v>
      </c>
      <c r="F95" s="99"/>
      <c r="G95" s="34"/>
      <c r="H95" s="615">
        <v>31</v>
      </c>
      <c r="I95" s="617" t="s">
        <v>801</v>
      </c>
      <c r="J95" s="616" t="str">
        <f>LEFT(L95,1)&amp;K95&amp;RIGHT(L95,1)</f>
        <v>(0)</v>
      </c>
      <c r="K95" s="34">
        <f>IF(OR($C$63&lt;32,$C$63=66,$C$63=67,$C$63&gt;68),0,M95)</f>
        <v>0</v>
      </c>
      <c r="L95" s="34" t="s">
        <v>790</v>
      </c>
      <c r="M95" s="99">
        <v>24</v>
      </c>
      <c r="N95" s="99" t="str">
        <f t="shared" si="5"/>
        <v/>
      </c>
    </row>
    <row r="96" spans="2:14" hidden="1">
      <c r="B96" s="106"/>
      <c r="C96" s="615">
        <v>32</v>
      </c>
      <c r="D96" s="616" t="str">
        <f t="shared" si="2"/>
        <v>89</v>
      </c>
      <c r="E96" s="34">
        <v>89</v>
      </c>
      <c r="F96" s="99"/>
      <c r="G96" s="34"/>
      <c r="H96" s="615">
        <v>32</v>
      </c>
      <c r="I96" s="423" t="s">
        <v>802</v>
      </c>
      <c r="J96" s="616" t="str">
        <f t="shared" si="3"/>
        <v>0</v>
      </c>
      <c r="K96" s="34">
        <f>IF($C$63&lt;36,0,M96)</f>
        <v>0</v>
      </c>
      <c r="L96" s="34"/>
      <c r="M96" s="99">
        <v>25</v>
      </c>
      <c r="N96" s="99" t="str">
        <f t="shared" si="5"/>
        <v/>
      </c>
    </row>
    <row r="97" spans="2:14" hidden="1">
      <c r="B97" s="106"/>
      <c r="C97" s="615">
        <v>33</v>
      </c>
      <c r="D97" s="616" t="str">
        <f t="shared" si="2"/>
        <v>95</v>
      </c>
      <c r="E97" s="34">
        <v>95</v>
      </c>
      <c r="F97" s="99"/>
      <c r="G97" s="34"/>
      <c r="H97" s="615">
        <v>33</v>
      </c>
      <c r="I97" s="617" t="s">
        <v>803</v>
      </c>
      <c r="J97" s="616" t="str">
        <f>LEFT(L97,1)&amp;K97&amp;RIGHT(L97,1)</f>
        <v>(0)</v>
      </c>
      <c r="K97" s="34">
        <f>IF($C$63&lt;36,0,M97)</f>
        <v>0</v>
      </c>
      <c r="L97" s="34" t="s">
        <v>790</v>
      </c>
      <c r="M97" s="99">
        <v>26</v>
      </c>
      <c r="N97" s="99" t="str">
        <f t="shared" si="5"/>
        <v/>
      </c>
    </row>
    <row r="98" spans="2:14" hidden="1">
      <c r="B98" s="106"/>
      <c r="C98" s="615">
        <v>34</v>
      </c>
      <c r="D98" s="616" t="str">
        <f t="shared" ref="D98:D113" si="6">E98&amp;F98</f>
        <v>102</v>
      </c>
      <c r="E98" s="34">
        <v>102</v>
      </c>
      <c r="F98" s="99"/>
      <c r="G98" s="34"/>
      <c r="H98" s="615">
        <v>34</v>
      </c>
      <c r="I98" s="423" t="s">
        <v>804</v>
      </c>
      <c r="J98" s="616" t="str">
        <f t="shared" ref="J98:J112" si="7">K98&amp;L98</f>
        <v>0</v>
      </c>
      <c r="K98" s="34">
        <f>IF($C$63&lt;36,0,M98)</f>
        <v>0</v>
      </c>
      <c r="L98" s="34"/>
      <c r="M98" s="99">
        <v>28</v>
      </c>
      <c r="N98" s="99" t="str">
        <f t="shared" si="5"/>
        <v/>
      </c>
    </row>
    <row r="99" spans="2:14" hidden="1">
      <c r="B99" s="106"/>
      <c r="C99" s="615">
        <v>35</v>
      </c>
      <c r="D99" s="616" t="str">
        <f t="shared" si="6"/>
        <v>104*</v>
      </c>
      <c r="E99" s="34">
        <v>104</v>
      </c>
      <c r="F99" s="99" t="s">
        <v>1550</v>
      </c>
      <c r="G99" s="34"/>
      <c r="H99" s="615">
        <v>35</v>
      </c>
      <c r="I99" s="423" t="s">
        <v>805</v>
      </c>
      <c r="J99" s="616" t="str">
        <f t="shared" si="7"/>
        <v>0</v>
      </c>
      <c r="K99" s="34">
        <f>IF($C$63&lt;39,0,M99)</f>
        <v>0</v>
      </c>
      <c r="L99" s="34"/>
      <c r="M99" s="99">
        <v>30</v>
      </c>
      <c r="N99" s="99" t="str">
        <f t="shared" si="5"/>
        <v/>
      </c>
    </row>
    <row r="100" spans="2:14" hidden="1">
      <c r="B100" s="106"/>
      <c r="C100" s="615">
        <v>36</v>
      </c>
      <c r="D100" s="616" t="str">
        <f t="shared" si="6"/>
        <v>108</v>
      </c>
      <c r="E100" s="34">
        <v>108</v>
      </c>
      <c r="F100" s="99"/>
      <c r="G100" s="34"/>
      <c r="H100" s="615">
        <v>36</v>
      </c>
      <c r="I100" s="423" t="s">
        <v>806</v>
      </c>
      <c r="J100" s="616" t="str">
        <f t="shared" si="7"/>
        <v>0</v>
      </c>
      <c r="K100" s="34">
        <f>IF($C$63&lt;40,0,M100)</f>
        <v>0</v>
      </c>
      <c r="L100" s="34"/>
      <c r="M100" s="99">
        <v>32</v>
      </c>
      <c r="N100" s="99" t="str">
        <f t="shared" si="5"/>
        <v/>
      </c>
    </row>
    <row r="101" spans="2:14" hidden="1">
      <c r="B101" s="106"/>
      <c r="C101" s="615">
        <v>37</v>
      </c>
      <c r="D101" s="616" t="str">
        <f t="shared" si="6"/>
        <v>114</v>
      </c>
      <c r="E101" s="34">
        <v>114</v>
      </c>
      <c r="F101" s="99"/>
      <c r="G101" s="34"/>
      <c r="H101" s="615">
        <v>37</v>
      </c>
      <c r="I101" s="617" t="s">
        <v>807</v>
      </c>
      <c r="J101" s="616" t="str">
        <f>LEFT(L101,1)&amp;K101&amp;RIGHT(L101,1)</f>
        <v>(0)</v>
      </c>
      <c r="K101" s="34">
        <f>IF($C$63&lt;41,0,M101)</f>
        <v>0</v>
      </c>
      <c r="L101" s="34" t="s">
        <v>790</v>
      </c>
      <c r="M101" s="99">
        <v>34</v>
      </c>
      <c r="N101" s="99" t="str">
        <f t="shared" si="5"/>
        <v/>
      </c>
    </row>
    <row r="102" spans="2:14" hidden="1">
      <c r="B102" s="106"/>
      <c r="C102" s="615">
        <v>38</v>
      </c>
      <c r="D102" s="616" t="str">
        <f t="shared" si="6"/>
        <v>121</v>
      </c>
      <c r="E102" s="34">
        <v>121</v>
      </c>
      <c r="F102" s="99"/>
      <c r="G102" s="34"/>
      <c r="H102" s="615">
        <v>38</v>
      </c>
      <c r="I102" s="617" t="s">
        <v>808</v>
      </c>
      <c r="J102" s="616" t="str">
        <f>LEFT(L102,1)&amp;K102&amp;RIGHT(L102,1)</f>
        <v>(0)</v>
      </c>
      <c r="K102" s="34">
        <f>IF($C$63&lt;41,0,M102)</f>
        <v>0</v>
      </c>
      <c r="L102" s="34" t="s">
        <v>790</v>
      </c>
      <c r="M102" s="99">
        <v>35</v>
      </c>
      <c r="N102" s="99" t="str">
        <f t="shared" si="5"/>
        <v/>
      </c>
    </row>
    <row r="103" spans="2:14" hidden="1">
      <c r="B103" s="106"/>
      <c r="C103" s="615">
        <v>39</v>
      </c>
      <c r="D103" s="616" t="str">
        <f t="shared" si="6"/>
        <v>127</v>
      </c>
      <c r="E103" s="34">
        <v>127</v>
      </c>
      <c r="F103" s="99"/>
      <c r="G103" s="34"/>
      <c r="H103" s="615">
        <v>39</v>
      </c>
      <c r="I103" s="423" t="s">
        <v>809</v>
      </c>
      <c r="J103" s="616" t="str">
        <f t="shared" si="7"/>
        <v>0</v>
      </c>
      <c r="K103" s="34">
        <f>IF($C$63&lt;41,0,M103)</f>
        <v>0</v>
      </c>
      <c r="L103" s="34"/>
      <c r="M103" s="99">
        <v>36</v>
      </c>
      <c r="N103" s="99" t="str">
        <f t="shared" si="5"/>
        <v/>
      </c>
    </row>
    <row r="104" spans="2:14" hidden="1">
      <c r="B104" s="106"/>
      <c r="C104" s="615">
        <v>40</v>
      </c>
      <c r="D104" s="616" t="str">
        <f t="shared" si="6"/>
        <v>133</v>
      </c>
      <c r="E104" s="34">
        <v>133</v>
      </c>
      <c r="F104" s="99"/>
      <c r="G104" s="34"/>
      <c r="H104" s="615">
        <v>40</v>
      </c>
      <c r="I104" s="617" t="s">
        <v>810</v>
      </c>
      <c r="J104" s="616" t="str">
        <f>LEFT(L104,1)&amp;K104&amp;RIGHT(L104,1)</f>
        <v>(0)</v>
      </c>
      <c r="K104" s="34">
        <f>IF($C$63&lt;46,0,M104)</f>
        <v>0</v>
      </c>
      <c r="L104" s="34" t="s">
        <v>790</v>
      </c>
      <c r="M104" s="99">
        <v>38</v>
      </c>
      <c r="N104" s="99" t="str">
        <f t="shared" si="5"/>
        <v/>
      </c>
    </row>
    <row r="105" spans="2:14" hidden="1">
      <c r="B105" s="106"/>
      <c r="C105" s="615">
        <v>41</v>
      </c>
      <c r="D105" s="616" t="str">
        <f t="shared" si="6"/>
        <v>140</v>
      </c>
      <c r="E105" s="34">
        <v>140</v>
      </c>
      <c r="F105" s="99"/>
      <c r="G105" s="34"/>
      <c r="H105" s="615">
        <v>41</v>
      </c>
      <c r="I105" s="423" t="s">
        <v>811</v>
      </c>
      <c r="J105" s="616" t="str">
        <f t="shared" si="7"/>
        <v>0</v>
      </c>
      <c r="K105" s="34">
        <f>IF($C$63&lt;46,0,M105)</f>
        <v>0</v>
      </c>
      <c r="L105" s="34"/>
      <c r="M105" s="99">
        <v>40</v>
      </c>
      <c r="N105" s="99" t="str">
        <f t="shared" si="5"/>
        <v/>
      </c>
    </row>
    <row r="106" spans="2:14" hidden="1">
      <c r="B106" s="106"/>
      <c r="C106" s="615">
        <v>42</v>
      </c>
      <c r="D106" s="616" t="str">
        <f t="shared" si="6"/>
        <v>146</v>
      </c>
      <c r="E106" s="34">
        <v>146</v>
      </c>
      <c r="F106" s="99"/>
      <c r="G106" s="34"/>
      <c r="H106" s="615">
        <v>42</v>
      </c>
      <c r="I106" s="617" t="s">
        <v>812</v>
      </c>
      <c r="J106" s="616" t="str">
        <f>LEFT(L106,1)&amp;K106&amp;RIGHT(L106,1)</f>
        <v>(0)</v>
      </c>
      <c r="K106" s="34">
        <f>IF($C$63&lt;46,0,M106)</f>
        <v>0</v>
      </c>
      <c r="L106" s="34" t="s">
        <v>790</v>
      </c>
      <c r="M106" s="99">
        <v>42</v>
      </c>
      <c r="N106" s="99" t="str">
        <f t="shared" si="5"/>
        <v/>
      </c>
    </row>
    <row r="107" spans="2:14" hidden="1">
      <c r="B107" s="106"/>
      <c r="C107" s="615">
        <v>43</v>
      </c>
      <c r="D107" s="616" t="str">
        <f t="shared" si="6"/>
        <v>152</v>
      </c>
      <c r="E107" s="34">
        <v>152</v>
      </c>
      <c r="F107" s="99"/>
      <c r="G107" s="34"/>
      <c r="H107" s="615">
        <v>43</v>
      </c>
      <c r="I107" s="423" t="s">
        <v>813</v>
      </c>
      <c r="J107" s="616" t="str">
        <f t="shared" si="7"/>
        <v>0</v>
      </c>
      <c r="K107" s="34">
        <f>IF($C$63&lt;46,0,M107)</f>
        <v>0</v>
      </c>
      <c r="L107" s="34"/>
      <c r="M107" s="99">
        <v>45</v>
      </c>
      <c r="N107" s="99" t="str">
        <f t="shared" si="5"/>
        <v/>
      </c>
    </row>
    <row r="108" spans="2:14" hidden="1">
      <c r="B108" s="106"/>
      <c r="C108" s="615">
        <v>44</v>
      </c>
      <c r="D108" s="616" t="str">
        <f t="shared" si="6"/>
        <v>159</v>
      </c>
      <c r="E108" s="34">
        <v>159</v>
      </c>
      <c r="F108" s="99"/>
      <c r="G108" s="34"/>
      <c r="H108" s="615">
        <v>44</v>
      </c>
      <c r="I108" s="617" t="s">
        <v>814</v>
      </c>
      <c r="J108" s="616" t="str">
        <f>LEFT(L108,1)&amp;K108&amp;RIGHT(L108,1)</f>
        <v>(0)</v>
      </c>
      <c r="K108" s="34">
        <f>IF($C$63&lt;50,0,M108)</f>
        <v>0</v>
      </c>
      <c r="L108" s="34" t="s">
        <v>790</v>
      </c>
      <c r="M108" s="99">
        <v>48</v>
      </c>
      <c r="N108" s="99" t="str">
        <f>IF(AND($C$63&gt;49,$H$63=H108),"Изготавливают по согласованию изготовителя с потребителем","")</f>
        <v/>
      </c>
    </row>
    <row r="109" spans="2:14" hidden="1">
      <c r="B109" s="106"/>
      <c r="C109" s="615">
        <v>45</v>
      </c>
      <c r="D109" s="616" t="str">
        <f t="shared" si="6"/>
        <v>165*</v>
      </c>
      <c r="E109" s="34">
        <v>165</v>
      </c>
      <c r="F109" s="99" t="s">
        <v>1550</v>
      </c>
      <c r="G109" s="34"/>
      <c r="H109" s="615">
        <v>45</v>
      </c>
      <c r="I109" s="423" t="s">
        <v>815</v>
      </c>
      <c r="J109" s="616" t="str">
        <f t="shared" si="7"/>
        <v>0</v>
      </c>
      <c r="K109" s="34">
        <f>IF($C$63&lt;50,0,M109)</f>
        <v>0</v>
      </c>
      <c r="L109" s="34"/>
      <c r="M109" s="99">
        <v>50</v>
      </c>
      <c r="N109" s="99" t="str">
        <f>IF(AND($C$63&gt;49,$H$63=H109),"Изготавливают по согласованию изготовителя с потребителем","")</f>
        <v/>
      </c>
    </row>
    <row r="110" spans="2:14" hidden="1">
      <c r="B110" s="106"/>
      <c r="C110" s="615">
        <v>46</v>
      </c>
      <c r="D110" s="616" t="str">
        <f t="shared" si="6"/>
        <v>168</v>
      </c>
      <c r="E110" s="34">
        <v>168</v>
      </c>
      <c r="F110" s="99"/>
      <c r="G110" s="34"/>
      <c r="H110" s="615">
        <v>46</v>
      </c>
      <c r="I110" s="423" t="s">
        <v>816</v>
      </c>
      <c r="J110" s="616" t="str">
        <f t="shared" si="7"/>
        <v>0</v>
      </c>
      <c r="K110" s="34">
        <f t="shared" ref="K110:K115" si="8">IF($C$63&lt;54,0,M110)</f>
        <v>0</v>
      </c>
      <c r="L110" s="34"/>
      <c r="M110" s="99">
        <v>56</v>
      </c>
      <c r="N110" s="99" t="str">
        <f t="shared" ref="N110:N115" si="9">IF(AND($C$63&gt;53,$H$63=H110),"Изготавливают по согласованию изготовителя с потребителем","")</f>
        <v/>
      </c>
    </row>
    <row r="111" spans="2:14" hidden="1">
      <c r="B111" s="106"/>
      <c r="C111" s="615">
        <v>47</v>
      </c>
      <c r="D111" s="616" t="str">
        <f t="shared" si="6"/>
        <v>178*</v>
      </c>
      <c r="E111" s="34">
        <v>178</v>
      </c>
      <c r="F111" s="99" t="s">
        <v>1550</v>
      </c>
      <c r="G111" s="34"/>
      <c r="H111" s="615">
        <v>47</v>
      </c>
      <c r="I111" s="423" t="s">
        <v>817</v>
      </c>
      <c r="J111" s="616" t="str">
        <f t="shared" si="7"/>
        <v>0</v>
      </c>
      <c r="K111" s="34">
        <f t="shared" si="8"/>
        <v>0</v>
      </c>
      <c r="L111" s="34"/>
      <c r="M111" s="99">
        <v>60</v>
      </c>
      <c r="N111" s="99" t="str">
        <f t="shared" si="9"/>
        <v/>
      </c>
    </row>
    <row r="112" spans="2:14" hidden="1">
      <c r="B112" s="106"/>
      <c r="C112" s="615">
        <v>48</v>
      </c>
      <c r="D112" s="616" t="str">
        <f t="shared" si="6"/>
        <v>180</v>
      </c>
      <c r="E112" s="34">
        <v>180</v>
      </c>
      <c r="F112" s="99"/>
      <c r="G112" s="34"/>
      <c r="H112" s="615">
        <v>48</v>
      </c>
      <c r="I112" s="423" t="s">
        <v>818</v>
      </c>
      <c r="J112" s="616" t="str">
        <f t="shared" si="7"/>
        <v>0</v>
      </c>
      <c r="K112" s="34">
        <f t="shared" si="8"/>
        <v>0</v>
      </c>
      <c r="L112" s="34"/>
      <c r="M112" s="99">
        <v>63</v>
      </c>
      <c r="N112" s="99" t="str">
        <f t="shared" si="9"/>
        <v/>
      </c>
    </row>
    <row r="113" spans="2:14" hidden="1">
      <c r="B113" s="106"/>
      <c r="C113" s="615">
        <v>49</v>
      </c>
      <c r="D113" s="616" t="str">
        <f t="shared" si="6"/>
        <v>194</v>
      </c>
      <c r="E113" s="34">
        <v>194</v>
      </c>
      <c r="F113" s="99"/>
      <c r="G113" s="34"/>
      <c r="H113" s="615">
        <v>49</v>
      </c>
      <c r="I113" s="617" t="s">
        <v>819</v>
      </c>
      <c r="J113" s="616" t="str">
        <f>LEFT(L113,1)&amp;K113&amp;RIGHT(L113,1)</f>
        <v>(0)</v>
      </c>
      <c r="K113" s="34">
        <f t="shared" si="8"/>
        <v>0</v>
      </c>
      <c r="L113" s="34" t="s">
        <v>790</v>
      </c>
      <c r="M113" s="99">
        <v>65</v>
      </c>
      <c r="N113" s="99" t="str">
        <f t="shared" si="9"/>
        <v/>
      </c>
    </row>
    <row r="114" spans="2:14" hidden="1">
      <c r="B114" s="106"/>
      <c r="C114" s="615">
        <v>50</v>
      </c>
      <c r="D114" s="616" t="str">
        <f t="shared" ref="D114:D128" si="10">E114&amp;F114</f>
        <v>203</v>
      </c>
      <c r="E114" s="34">
        <v>203</v>
      </c>
      <c r="F114" s="99"/>
      <c r="G114" s="34"/>
      <c r="H114" s="615">
        <v>50</v>
      </c>
      <c r="I114" s="423" t="s">
        <v>820</v>
      </c>
      <c r="J114" s="616" t="str">
        <f>K114&amp;L114</f>
        <v>0</v>
      </c>
      <c r="K114" s="34">
        <f t="shared" si="8"/>
        <v>0</v>
      </c>
      <c r="L114" s="34"/>
      <c r="M114" s="99">
        <v>70</v>
      </c>
      <c r="N114" s="99" t="str">
        <f t="shared" si="9"/>
        <v/>
      </c>
    </row>
    <row r="115" spans="2:14" ht="13.5" hidden="1" thickBot="1">
      <c r="B115" s="106"/>
      <c r="C115" s="615">
        <v>51</v>
      </c>
      <c r="D115" s="616" t="str">
        <f t="shared" si="10"/>
        <v>219</v>
      </c>
      <c r="E115" s="34">
        <v>219</v>
      </c>
      <c r="F115" s="99"/>
      <c r="G115" s="34"/>
      <c r="H115" s="618">
        <v>51</v>
      </c>
      <c r="I115" s="619" t="s">
        <v>821</v>
      </c>
      <c r="J115" s="620" t="str">
        <f>K115&amp;L115</f>
        <v>0</v>
      </c>
      <c r="K115" s="151">
        <f t="shared" si="8"/>
        <v>0</v>
      </c>
      <c r="L115" s="151"/>
      <c r="M115" s="100">
        <v>75</v>
      </c>
      <c r="N115" s="99" t="str">
        <f t="shared" si="9"/>
        <v/>
      </c>
    </row>
    <row r="116" spans="2:14" hidden="1">
      <c r="B116" s="106"/>
      <c r="C116" s="615">
        <v>52</v>
      </c>
      <c r="D116" s="616" t="str">
        <f t="shared" si="10"/>
        <v>245</v>
      </c>
      <c r="E116" s="34">
        <v>245</v>
      </c>
      <c r="F116" s="99"/>
      <c r="G116" s="34"/>
      <c r="H116" s="34"/>
      <c r="I116" s="34"/>
      <c r="J116" s="34"/>
      <c r="K116" s="34"/>
      <c r="L116" s="34"/>
      <c r="M116" s="34"/>
      <c r="N116" s="99"/>
    </row>
    <row r="117" spans="2:14" hidden="1">
      <c r="B117" s="106"/>
      <c r="C117" s="615">
        <v>53</v>
      </c>
      <c r="D117" s="616" t="str">
        <f t="shared" si="10"/>
        <v>273</v>
      </c>
      <c r="E117" s="34">
        <v>273</v>
      </c>
      <c r="F117" s="99"/>
      <c r="G117" s="34"/>
      <c r="H117" s="34"/>
      <c r="I117" s="34"/>
      <c r="J117" s="34"/>
      <c r="K117" s="34"/>
      <c r="L117" s="34"/>
      <c r="M117" s="34"/>
      <c r="N117" s="99"/>
    </row>
    <row r="118" spans="2:14" hidden="1">
      <c r="B118" s="106"/>
      <c r="C118" s="615">
        <v>54</v>
      </c>
      <c r="D118" s="616" t="str">
        <f t="shared" si="10"/>
        <v>299</v>
      </c>
      <c r="E118" s="34">
        <v>299</v>
      </c>
      <c r="F118" s="99"/>
      <c r="G118" s="34"/>
      <c r="H118" s="34"/>
      <c r="I118" s="34"/>
      <c r="J118" s="34"/>
      <c r="K118" s="34"/>
      <c r="L118" s="34"/>
      <c r="M118" s="34"/>
      <c r="N118" s="99"/>
    </row>
    <row r="119" spans="2:14" hidden="1">
      <c r="B119" s="106"/>
      <c r="C119" s="615">
        <v>55</v>
      </c>
      <c r="D119" s="616" t="str">
        <f t="shared" si="10"/>
        <v>324*</v>
      </c>
      <c r="E119" s="34">
        <v>324</v>
      </c>
      <c r="F119" s="99" t="s">
        <v>1550</v>
      </c>
      <c r="G119" s="34"/>
      <c r="H119" s="34"/>
      <c r="I119" s="34"/>
      <c r="J119" s="34"/>
      <c r="K119" s="34"/>
      <c r="L119" s="34"/>
      <c r="M119" s="34"/>
      <c r="N119" s="99"/>
    </row>
    <row r="120" spans="2:14" hidden="1">
      <c r="B120" s="106"/>
      <c r="C120" s="615">
        <v>56</v>
      </c>
      <c r="D120" s="616" t="str">
        <f t="shared" si="10"/>
        <v>325</v>
      </c>
      <c r="E120" s="34">
        <v>325</v>
      </c>
      <c r="F120" s="99"/>
      <c r="G120" s="34"/>
      <c r="H120" s="34"/>
      <c r="I120" s="34"/>
      <c r="J120" s="34"/>
      <c r="K120" s="34"/>
      <c r="L120" s="34"/>
      <c r="M120" s="34"/>
      <c r="N120" s="99"/>
    </row>
    <row r="121" spans="2:14" hidden="1">
      <c r="B121" s="106"/>
      <c r="C121" s="615">
        <v>57</v>
      </c>
      <c r="D121" s="616" t="str">
        <f t="shared" si="10"/>
        <v>351</v>
      </c>
      <c r="E121" s="34">
        <v>351</v>
      </c>
      <c r="F121" s="99"/>
      <c r="G121" s="34"/>
      <c r="H121" s="34"/>
      <c r="I121" s="34"/>
      <c r="J121" s="34"/>
      <c r="K121" s="34"/>
      <c r="L121" s="34"/>
      <c r="M121" s="34"/>
      <c r="N121" s="99"/>
    </row>
    <row r="122" spans="2:14" hidden="1">
      <c r="B122" s="106"/>
      <c r="C122" s="615">
        <v>58</v>
      </c>
      <c r="D122" s="616" t="str">
        <f t="shared" si="10"/>
        <v>356*</v>
      </c>
      <c r="E122" s="34">
        <v>356</v>
      </c>
      <c r="F122" s="99" t="s">
        <v>1550</v>
      </c>
      <c r="G122" s="34"/>
      <c r="H122" s="34"/>
      <c r="I122" s="34"/>
      <c r="J122" s="34"/>
      <c r="K122" s="34"/>
      <c r="L122" s="34"/>
      <c r="M122" s="34"/>
      <c r="N122" s="99"/>
    </row>
    <row r="123" spans="2:14" hidden="1">
      <c r="B123" s="106"/>
      <c r="C123" s="615">
        <v>59</v>
      </c>
      <c r="D123" s="616" t="str">
        <f t="shared" si="10"/>
        <v>377</v>
      </c>
      <c r="E123" s="34">
        <v>377</v>
      </c>
      <c r="F123" s="99"/>
      <c r="G123" s="34"/>
      <c r="H123" s="34"/>
      <c r="I123" s="34"/>
      <c r="J123" s="34"/>
      <c r="K123" s="34"/>
      <c r="L123" s="34"/>
      <c r="M123" s="34"/>
      <c r="N123" s="99"/>
    </row>
    <row r="124" spans="2:14" hidden="1">
      <c r="B124" s="106"/>
      <c r="C124" s="615">
        <v>60</v>
      </c>
      <c r="D124" s="616" t="str">
        <f t="shared" si="10"/>
        <v>402</v>
      </c>
      <c r="E124" s="34">
        <v>402</v>
      </c>
      <c r="F124" s="99"/>
      <c r="G124" s="34"/>
      <c r="H124" s="34"/>
      <c r="I124" s="34"/>
      <c r="J124" s="34"/>
      <c r="K124" s="34"/>
      <c r="L124" s="34"/>
      <c r="M124" s="34"/>
      <c r="N124" s="99"/>
    </row>
    <row r="125" spans="2:14" hidden="1">
      <c r="B125" s="106"/>
      <c r="C125" s="615">
        <v>61</v>
      </c>
      <c r="D125" s="616" t="str">
        <f t="shared" si="10"/>
        <v>406*</v>
      </c>
      <c r="E125" s="34">
        <v>406</v>
      </c>
      <c r="F125" s="99" t="s">
        <v>1550</v>
      </c>
      <c r="G125" s="34"/>
      <c r="H125" s="34"/>
      <c r="I125" s="34"/>
      <c r="J125" s="34"/>
      <c r="K125" s="34"/>
      <c r="L125" s="34"/>
      <c r="M125" s="34"/>
      <c r="N125" s="99"/>
    </row>
    <row r="126" spans="2:14" hidden="1">
      <c r="B126" s="106"/>
      <c r="C126" s="615">
        <v>62</v>
      </c>
      <c r="D126" s="616" t="str">
        <f t="shared" si="10"/>
        <v>426</v>
      </c>
      <c r="E126" s="34">
        <v>426</v>
      </c>
      <c r="F126" s="99"/>
      <c r="G126" s="34"/>
      <c r="H126" s="34"/>
      <c r="I126" s="34"/>
      <c r="J126" s="34"/>
      <c r="K126" s="34"/>
      <c r="L126" s="34"/>
      <c r="M126" s="34"/>
      <c r="N126" s="99"/>
    </row>
    <row r="127" spans="2:14" hidden="1">
      <c r="B127" s="106"/>
      <c r="C127" s="615">
        <v>63</v>
      </c>
      <c r="D127" s="616" t="str">
        <f t="shared" si="10"/>
        <v>450</v>
      </c>
      <c r="E127" s="34">
        <v>450</v>
      </c>
      <c r="F127" s="99"/>
      <c r="G127" s="34"/>
      <c r="H127" s="34"/>
      <c r="I127" s="34"/>
      <c r="J127" s="34"/>
      <c r="K127" s="34"/>
      <c r="L127" s="34"/>
      <c r="M127" s="34"/>
      <c r="N127" s="99"/>
    </row>
    <row r="128" spans="2:14" hidden="1">
      <c r="B128" s="106"/>
      <c r="C128" s="615">
        <v>64</v>
      </c>
      <c r="D128" s="616" t="str">
        <f t="shared" si="10"/>
        <v>457*</v>
      </c>
      <c r="E128" s="34">
        <v>457</v>
      </c>
      <c r="F128" s="99" t="s">
        <v>1550</v>
      </c>
      <c r="G128" s="34"/>
      <c r="H128" s="34"/>
      <c r="I128" s="34"/>
      <c r="J128" s="34"/>
      <c r="K128" s="34"/>
      <c r="L128" s="34"/>
      <c r="M128" s="34"/>
      <c r="N128" s="99"/>
    </row>
    <row r="129" spans="2:14" hidden="1">
      <c r="B129" s="106"/>
      <c r="C129" s="615">
        <v>65</v>
      </c>
      <c r="D129" s="616" t="str">
        <f>LEFT(F129,1)&amp;E129&amp;MID(F129,2,1)</f>
        <v>(465)</v>
      </c>
      <c r="E129" s="34">
        <v>465</v>
      </c>
      <c r="F129" s="99" t="s">
        <v>790</v>
      </c>
      <c r="G129" s="34"/>
      <c r="H129" s="34"/>
      <c r="I129" s="34"/>
      <c r="J129" s="34"/>
      <c r="K129" s="34"/>
      <c r="L129" s="34"/>
      <c r="M129" s="34"/>
      <c r="N129" s="99"/>
    </row>
    <row r="130" spans="2:14" hidden="1">
      <c r="B130" s="106"/>
      <c r="C130" s="615">
        <v>66</v>
      </c>
      <c r="D130" s="616" t="str">
        <f>E130&amp;F130</f>
        <v>480</v>
      </c>
      <c r="E130" s="34">
        <v>480</v>
      </c>
      <c r="F130" s="99"/>
      <c r="G130" s="34"/>
      <c r="H130" s="34"/>
      <c r="I130" s="34"/>
      <c r="J130" s="34"/>
      <c r="K130" s="34"/>
      <c r="L130" s="34"/>
      <c r="M130" s="34"/>
      <c r="N130" s="99"/>
    </row>
    <row r="131" spans="2:14" hidden="1">
      <c r="B131" s="106"/>
      <c r="C131" s="615">
        <v>67</v>
      </c>
      <c r="D131" s="616" t="str">
        <f>E131&amp;F131</f>
        <v>500</v>
      </c>
      <c r="E131" s="34">
        <v>500</v>
      </c>
      <c r="F131" s="99"/>
      <c r="G131" s="34"/>
      <c r="H131" s="34"/>
      <c r="I131" s="34"/>
      <c r="J131" s="34"/>
      <c r="K131" s="34"/>
      <c r="L131" s="34"/>
      <c r="M131" s="34"/>
      <c r="N131" s="99"/>
    </row>
    <row r="132" spans="2:14" hidden="1">
      <c r="B132" s="106"/>
      <c r="C132" s="615">
        <v>68</v>
      </c>
      <c r="D132" s="616" t="str">
        <f>E132&amp;F132</f>
        <v>508*</v>
      </c>
      <c r="E132" s="34">
        <v>508</v>
      </c>
      <c r="F132" s="99" t="s">
        <v>1550</v>
      </c>
      <c r="G132" s="34"/>
      <c r="H132" s="34"/>
      <c r="I132" s="34"/>
      <c r="J132" s="34"/>
      <c r="K132" s="34"/>
      <c r="L132" s="34"/>
      <c r="M132" s="34"/>
      <c r="N132" s="99"/>
    </row>
    <row r="133" spans="2:14" hidden="1">
      <c r="B133" s="106"/>
      <c r="C133" s="615">
        <v>69</v>
      </c>
      <c r="D133" s="616" t="str">
        <f>E133&amp;F133</f>
        <v>530</v>
      </c>
      <c r="E133" s="34">
        <v>530</v>
      </c>
      <c r="F133" s="99"/>
      <c r="G133" s="34"/>
      <c r="H133" s="34"/>
      <c r="I133" s="34"/>
      <c r="J133" s="34"/>
      <c r="K133" s="34"/>
      <c r="L133" s="34"/>
      <c r="M133" s="34"/>
      <c r="N133" s="99"/>
    </row>
    <row r="134" spans="2:14" ht="13.5" hidden="1" thickBot="1">
      <c r="B134" s="106"/>
      <c r="C134" s="618">
        <v>70</v>
      </c>
      <c r="D134" s="620" t="str">
        <f>LEFT(F134,1)&amp;E134&amp;MID(F134,2,1)</f>
        <v>(550)</v>
      </c>
      <c r="E134" s="151">
        <v>550</v>
      </c>
      <c r="F134" s="100" t="s">
        <v>790</v>
      </c>
      <c r="G134" s="34"/>
      <c r="H134" s="34"/>
      <c r="I134" s="34"/>
      <c r="J134" s="34"/>
      <c r="K134" s="34"/>
      <c r="L134" s="34"/>
      <c r="M134" s="34"/>
      <c r="N134" s="99"/>
    </row>
    <row r="135" spans="2:14" ht="13.5" hidden="1" thickBot="1">
      <c r="B135" s="145"/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00"/>
    </row>
    <row r="136" spans="2:14" hidden="1"/>
    <row r="137" spans="2:14" hidden="1"/>
    <row r="138" spans="2:14" hidden="1"/>
    <row r="139" spans="2:14" ht="13.5" hidden="1" thickBot="1"/>
    <row r="140" spans="2:14" hidden="1">
      <c r="B140" s="143"/>
      <c r="C140" s="150"/>
      <c r="D140" s="150"/>
      <c r="E140" s="150">
        <v>2</v>
      </c>
      <c r="F140" s="150"/>
      <c r="G140" s="613" t="s">
        <v>822</v>
      </c>
      <c r="H140" s="150"/>
      <c r="I140" s="150"/>
      <c r="J140" s="150"/>
      <c r="K140" s="150"/>
      <c r="L140" s="150"/>
      <c r="M140" s="150"/>
      <c r="N140" s="144"/>
    </row>
    <row r="141" spans="2:14" hidden="1">
      <c r="B141" s="106"/>
      <c r="C141" s="34"/>
      <c r="D141" s="34"/>
      <c r="E141" s="34"/>
      <c r="F141" s="34"/>
      <c r="G141" s="35" t="s">
        <v>823</v>
      </c>
      <c r="H141" s="34"/>
      <c r="I141" s="34"/>
      <c r="J141" s="83"/>
      <c r="K141" s="34"/>
      <c r="L141" s="34"/>
      <c r="M141" s="34"/>
      <c r="N141" s="99"/>
    </row>
    <row r="142" spans="2:14" ht="13.5" hidden="1" thickBot="1">
      <c r="B142" s="106"/>
      <c r="C142" s="630" t="str">
        <f>IF($I$146=0,"не производится",IF(AND(OR(F146&lt;&gt;0,L146&lt;&gt;0),I146&lt;&gt;0),"см. примечание",""))</f>
        <v>см. примечание</v>
      </c>
      <c r="D142" s="34"/>
      <c r="E142" s="611" t="s">
        <v>824</v>
      </c>
      <c r="F142" s="626" t="str">
        <f>IF(I146=0,"",IF(OR(VLOOKUP($C$146,$C$148:$F$221,4,FALSE)="()",VLOOKUP($H$146,$H$148:$L$192,5,FALSE)="()"),"при  новом проектировании применять не рекомендуется",""))</f>
        <v>при  новом проектировании применять не рекомендуется</v>
      </c>
      <c r="G142" s="251"/>
      <c r="H142" s="34"/>
      <c r="I142" s="34"/>
      <c r="J142" s="623"/>
      <c r="K142" s="34"/>
      <c r="L142" s="34"/>
      <c r="M142" s="34"/>
      <c r="N142" s="99"/>
    </row>
    <row r="143" spans="2:14" ht="13.5" hidden="1" thickBot="1">
      <c r="B143" s="106"/>
      <c r="C143" s="34"/>
      <c r="D143" s="34"/>
      <c r="E143" s="611" t="s">
        <v>774</v>
      </c>
      <c r="F143" s="610">
        <f>(($J$143^2+$J$144^2)/4)^0.5</f>
        <v>0.55375987575843733</v>
      </c>
      <c r="G143" s="251" t="s">
        <v>1549</v>
      </c>
      <c r="H143" s="34"/>
      <c r="I143" s="606" t="s">
        <v>775</v>
      </c>
      <c r="J143" s="613">
        <f>K143/10/2</f>
        <v>0.85</v>
      </c>
      <c r="K143" s="143">
        <f>D146</f>
        <v>17</v>
      </c>
      <c r="L143" s="144" t="s">
        <v>776</v>
      </c>
      <c r="M143" s="34"/>
      <c r="N143" s="99"/>
    </row>
    <row r="144" spans="2:14" ht="13.5" hidden="1" thickBot="1">
      <c r="B144" s="106"/>
      <c r="C144" s="34"/>
      <c r="D144" s="34"/>
      <c r="E144" s="207" t="s">
        <v>777</v>
      </c>
      <c r="F144" s="205">
        <f>0.02466148*I146*(D146-I146)</f>
        <v>0.53860672319999991</v>
      </c>
      <c r="G144" s="34" t="s">
        <v>1483</v>
      </c>
      <c r="H144" s="34"/>
      <c r="I144" s="612" t="s">
        <v>778</v>
      </c>
      <c r="J144" s="614">
        <f>J143-K144/10</f>
        <v>0.71</v>
      </c>
      <c r="K144" s="145">
        <f>I146</f>
        <v>1.4</v>
      </c>
      <c r="L144" s="100" t="s">
        <v>779</v>
      </c>
      <c r="M144" s="34"/>
      <c r="N144" s="99"/>
    </row>
    <row r="145" spans="2:14" ht="15" hidden="1" thickBot="1">
      <c r="B145" s="106"/>
      <c r="C145" s="34"/>
      <c r="D145" s="34"/>
      <c r="E145" s="406" t="s">
        <v>1486</v>
      </c>
      <c r="F145" s="622">
        <f>PI()*((D146/10/2)^2-((D146-2*I146)/10/2)^2)</f>
        <v>0.68612383554401057</v>
      </c>
      <c r="G145" s="34" t="s">
        <v>1487</v>
      </c>
      <c r="H145" s="34"/>
      <c r="I145" s="34"/>
      <c r="J145" s="34"/>
      <c r="K145" s="34"/>
      <c r="L145" s="34"/>
      <c r="M145" s="34"/>
      <c r="N145" s="99"/>
    </row>
    <row r="146" spans="2:14" ht="13.5" hidden="1" thickBot="1">
      <c r="B146" s="106"/>
      <c r="C146" s="1227">
        <v>8</v>
      </c>
      <c r="D146" s="621">
        <f>VLOOKUP(C146,C148:F221,3,FALSE)</f>
        <v>17</v>
      </c>
      <c r="E146" s="150"/>
      <c r="F146" s="144" t="str">
        <f>VLOOKUP(C146,C148:F221,4,FALSE)</f>
        <v>()</v>
      </c>
      <c r="G146" s="34"/>
      <c r="H146" s="1227">
        <v>3</v>
      </c>
      <c r="I146" s="621">
        <f>VLOOKUP(H146,H148:M192,4,FALSE)</f>
        <v>1.4</v>
      </c>
      <c r="J146" s="150"/>
      <c r="K146" s="150"/>
      <c r="L146" s="150">
        <f>VLOOKUP(H146,H148:L192,5,FALSE)</f>
        <v>0</v>
      </c>
      <c r="M146" s="144"/>
      <c r="N146" s="99"/>
    </row>
    <row r="147" spans="2:14" hidden="1">
      <c r="B147" s="106"/>
      <c r="C147" s="106"/>
      <c r="D147" s="34" t="s">
        <v>780</v>
      </c>
      <c r="E147" s="34"/>
      <c r="F147" s="99"/>
      <c r="G147" s="34"/>
      <c r="H147" s="106"/>
      <c r="I147" s="34"/>
      <c r="J147" s="34" t="s">
        <v>781</v>
      </c>
      <c r="K147" s="34"/>
      <c r="L147" s="34"/>
      <c r="M147" s="99"/>
      <c r="N147" s="99"/>
    </row>
    <row r="148" spans="2:14" hidden="1">
      <c r="B148" s="106"/>
      <c r="C148" s="615">
        <v>1</v>
      </c>
      <c r="D148" s="616" t="str">
        <f>E148&amp;F148</f>
        <v>10</v>
      </c>
      <c r="E148" s="34">
        <v>10</v>
      </c>
      <c r="F148" s="99"/>
      <c r="G148" s="34"/>
      <c r="H148" s="615">
        <v>1</v>
      </c>
      <c r="I148" s="99">
        <v>1</v>
      </c>
      <c r="J148" s="616" t="str">
        <f>K148&amp;L148</f>
        <v>1</v>
      </c>
      <c r="K148" s="34">
        <f>IF($C$146&gt;22,0,M148)</f>
        <v>1</v>
      </c>
      <c r="L148" s="34"/>
      <c r="M148" s="99">
        <v>1</v>
      </c>
      <c r="N148" s="99"/>
    </row>
    <row r="149" spans="2:14" hidden="1">
      <c r="B149" s="106"/>
      <c r="C149" s="615">
        <v>2</v>
      </c>
      <c r="D149" s="616" t="str">
        <f t="shared" ref="D149:D164" si="11">E149&amp;F149</f>
        <v>10,2</v>
      </c>
      <c r="E149" s="34">
        <v>10.199999999999999</v>
      </c>
      <c r="F149" s="99"/>
      <c r="G149" s="34"/>
      <c r="H149" s="615">
        <v>2</v>
      </c>
      <c r="I149" s="99">
        <v>1.2</v>
      </c>
      <c r="J149" s="616" t="str">
        <f t="shared" ref="J149:J164" si="12">K149&amp;L149</f>
        <v>1,2</v>
      </c>
      <c r="K149" s="34">
        <f>IF($C$146&gt;30,0,M149)</f>
        <v>1.2</v>
      </c>
      <c r="L149" s="34"/>
      <c r="M149" s="99">
        <v>1.2</v>
      </c>
      <c r="N149" s="99"/>
    </row>
    <row r="150" spans="2:14" hidden="1">
      <c r="B150" s="106"/>
      <c r="C150" s="615">
        <v>3</v>
      </c>
      <c r="D150" s="616" t="str">
        <f t="shared" si="11"/>
        <v>12</v>
      </c>
      <c r="E150" s="34">
        <v>12</v>
      </c>
      <c r="F150" s="99"/>
      <c r="G150" s="34"/>
      <c r="H150" s="615">
        <v>3</v>
      </c>
      <c r="I150" s="99">
        <v>1.4</v>
      </c>
      <c r="J150" s="616" t="str">
        <f t="shared" si="12"/>
        <v>1,4</v>
      </c>
      <c r="K150" s="34">
        <f>IF(OR($C$146&lt;3,$C$146&gt;41),0,M150)</f>
        <v>1.4</v>
      </c>
      <c r="L150" s="34"/>
      <c r="M150" s="99">
        <v>1.4</v>
      </c>
      <c r="N150" s="99"/>
    </row>
    <row r="151" spans="2:14" hidden="1">
      <c r="B151" s="106"/>
      <c r="C151" s="615">
        <v>4</v>
      </c>
      <c r="D151" s="616" t="str">
        <f t="shared" si="11"/>
        <v>13</v>
      </c>
      <c r="E151" s="34">
        <v>13</v>
      </c>
      <c r="F151" s="99"/>
      <c r="G151" s="34"/>
      <c r="H151" s="615">
        <v>4</v>
      </c>
      <c r="I151" s="624" t="s">
        <v>825</v>
      </c>
      <c r="J151" s="616" t="str">
        <f>LEFT(L151,1)&amp;K151&amp;RIGHT(L151,1)</f>
        <v>(1,5)</v>
      </c>
      <c r="K151" s="34">
        <f>IF(OR($C$146&lt;3,$C$146&gt;41),0,M151)</f>
        <v>1.5</v>
      </c>
      <c r="L151" s="34" t="s">
        <v>790</v>
      </c>
      <c r="M151" s="99">
        <v>1.5</v>
      </c>
      <c r="N151" s="99"/>
    </row>
    <row r="152" spans="2:14" hidden="1">
      <c r="B152" s="106"/>
      <c r="C152" s="615">
        <v>5</v>
      </c>
      <c r="D152" s="616" t="str">
        <f t="shared" si="11"/>
        <v>14</v>
      </c>
      <c r="E152" s="34">
        <v>14</v>
      </c>
      <c r="F152" s="99"/>
      <c r="G152" s="34"/>
      <c r="H152" s="615">
        <v>5</v>
      </c>
      <c r="I152" s="99">
        <v>1.6</v>
      </c>
      <c r="J152" s="616" t="str">
        <f t="shared" si="12"/>
        <v>1,6</v>
      </c>
      <c r="K152" s="34">
        <f>IF(OR($C$146&lt;3,$C$146&gt;43),0,M152)</f>
        <v>1.6</v>
      </c>
      <c r="L152" s="34"/>
      <c r="M152" s="99">
        <v>1.6</v>
      </c>
      <c r="N152" s="99"/>
    </row>
    <row r="153" spans="2:14" hidden="1">
      <c r="B153" s="106"/>
      <c r="C153" s="615">
        <v>6</v>
      </c>
      <c r="D153" s="616" t="str">
        <f>LEFT(F153,1)&amp;E153&amp;RIGHT(F153,1)</f>
        <v>(15)</v>
      </c>
      <c r="E153" s="34">
        <v>15</v>
      </c>
      <c r="F153" s="99" t="s">
        <v>790</v>
      </c>
      <c r="G153" s="34"/>
      <c r="H153" s="615">
        <v>6</v>
      </c>
      <c r="I153" s="99">
        <v>1.8</v>
      </c>
      <c r="J153" s="616" t="str">
        <f t="shared" si="12"/>
        <v>0</v>
      </c>
      <c r="K153" s="34">
        <f>IF(OR($C$146&lt;9,$C$146=44,$C$146&gt;54),0,M153)</f>
        <v>0</v>
      </c>
      <c r="L153" s="34"/>
      <c r="M153" s="99">
        <v>1.8</v>
      </c>
      <c r="N153" s="99"/>
    </row>
    <row r="154" spans="2:14" hidden="1">
      <c r="B154" s="106"/>
      <c r="C154" s="615">
        <v>7</v>
      </c>
      <c r="D154" s="616" t="str">
        <f t="shared" si="11"/>
        <v>16</v>
      </c>
      <c r="E154" s="34">
        <v>16</v>
      </c>
      <c r="F154" s="99"/>
      <c r="G154" s="34"/>
      <c r="H154" s="615">
        <v>7</v>
      </c>
      <c r="I154" s="99">
        <v>2</v>
      </c>
      <c r="J154" s="616" t="str">
        <f t="shared" si="12"/>
        <v>0</v>
      </c>
      <c r="K154" s="34">
        <f>IF(OR($C$146&lt;10,$C$146=55,$C$146&gt;56),0,M154)</f>
        <v>0</v>
      </c>
      <c r="L154" s="34"/>
      <c r="M154" s="99">
        <v>2</v>
      </c>
      <c r="N154" s="99"/>
    </row>
    <row r="155" spans="2:14" hidden="1">
      <c r="B155" s="106"/>
      <c r="C155" s="615">
        <v>8</v>
      </c>
      <c r="D155" s="616" t="str">
        <f>LEFT(F155,1)&amp;E155&amp;RIGHT(F155,1)</f>
        <v>(17)</v>
      </c>
      <c r="E155" s="34">
        <v>17</v>
      </c>
      <c r="F155" s="99" t="s">
        <v>790</v>
      </c>
      <c r="G155" s="34"/>
      <c r="H155" s="615">
        <v>8</v>
      </c>
      <c r="I155" s="99">
        <v>2.2000000000000002</v>
      </c>
      <c r="J155" s="616" t="str">
        <f t="shared" si="12"/>
        <v>0</v>
      </c>
      <c r="K155" s="34">
        <f>IF(OR($C$146&lt;14,$C$146=44,$C$146=55,$C$146&gt;56),0,M155)</f>
        <v>0</v>
      </c>
      <c r="L155" s="34"/>
      <c r="M155" s="99">
        <v>2.2000000000000002</v>
      </c>
      <c r="N155" s="99"/>
    </row>
    <row r="156" spans="2:14" hidden="1">
      <c r="B156" s="106"/>
      <c r="C156" s="615">
        <v>9</v>
      </c>
      <c r="D156" s="616" t="str">
        <f t="shared" si="11"/>
        <v>18</v>
      </c>
      <c r="E156" s="34">
        <v>18</v>
      </c>
      <c r="F156" s="99"/>
      <c r="G156" s="34"/>
      <c r="H156" s="615">
        <v>9</v>
      </c>
      <c r="I156" s="99">
        <v>2.5</v>
      </c>
      <c r="J156" s="616" t="str">
        <f t="shared" si="12"/>
        <v>0</v>
      </c>
      <c r="K156" s="34">
        <f>IF(OR($C$146&lt;14,$C$146=55,$C$146&gt;57),0,M156)</f>
        <v>0</v>
      </c>
      <c r="L156" s="34"/>
      <c r="M156" s="99">
        <v>2.5</v>
      </c>
      <c r="N156" s="99"/>
    </row>
    <row r="157" spans="2:14" hidden="1">
      <c r="B157" s="106"/>
      <c r="C157" s="615">
        <v>10</v>
      </c>
      <c r="D157" s="616" t="str">
        <f t="shared" si="11"/>
        <v>19</v>
      </c>
      <c r="E157" s="34">
        <v>19</v>
      </c>
      <c r="F157" s="99"/>
      <c r="G157" s="34"/>
      <c r="H157" s="615">
        <v>10</v>
      </c>
      <c r="I157" s="99">
        <v>2.8</v>
      </c>
      <c r="J157" s="616" t="str">
        <f t="shared" si="12"/>
        <v>0</v>
      </c>
      <c r="K157" s="34">
        <f>IF(OR($C$146&lt;21,$C$146=44,$C$146=55,$C$146&gt;57),0,M157)</f>
        <v>0</v>
      </c>
      <c r="L157" s="34"/>
      <c r="M157" s="99">
        <v>2.8</v>
      </c>
      <c r="N157" s="99"/>
    </row>
    <row r="158" spans="2:14" hidden="1">
      <c r="B158" s="106"/>
      <c r="C158" s="615">
        <v>11</v>
      </c>
      <c r="D158" s="616" t="str">
        <f t="shared" si="11"/>
        <v>20</v>
      </c>
      <c r="E158" s="34">
        <v>20</v>
      </c>
      <c r="F158" s="99"/>
      <c r="G158" s="34"/>
      <c r="H158" s="615">
        <v>11</v>
      </c>
      <c r="I158" s="99">
        <v>3</v>
      </c>
      <c r="J158" s="616" t="str">
        <f t="shared" si="12"/>
        <v>0</v>
      </c>
      <c r="K158" s="34">
        <f>IF(OR($C$146&lt;21,$C$146=44,$C$146=55,$C$146&gt;58),0,M158)</f>
        <v>0</v>
      </c>
      <c r="L158" s="34"/>
      <c r="M158" s="99">
        <v>3</v>
      </c>
      <c r="N158" s="99"/>
    </row>
    <row r="159" spans="2:14" hidden="1">
      <c r="B159" s="106"/>
      <c r="C159" s="615">
        <v>12</v>
      </c>
      <c r="D159" s="616" t="str">
        <f t="shared" si="11"/>
        <v>21,3</v>
      </c>
      <c r="E159" s="34">
        <v>21.3</v>
      </c>
      <c r="F159" s="99"/>
      <c r="G159" s="34"/>
      <c r="H159" s="615">
        <v>12</v>
      </c>
      <c r="I159" s="99">
        <v>3.2</v>
      </c>
      <c r="J159" s="616" t="str">
        <f>LEFT(L159,1)&amp;K159&amp;RIGHT(L159,1)</f>
        <v>0</v>
      </c>
      <c r="K159" s="34">
        <f>IF(OR($C$146&lt;31,$C$146=55,$C$146&gt;58),0,M159)</f>
        <v>0</v>
      </c>
      <c r="L159" s="34"/>
      <c r="M159" s="99">
        <v>3.2</v>
      </c>
      <c r="N159" s="99"/>
    </row>
    <row r="160" spans="2:14" hidden="1">
      <c r="B160" s="106"/>
      <c r="C160" s="615">
        <v>13</v>
      </c>
      <c r="D160" s="616" t="str">
        <f t="shared" si="11"/>
        <v>22</v>
      </c>
      <c r="E160" s="34">
        <v>22</v>
      </c>
      <c r="F160" s="99"/>
      <c r="G160" s="34"/>
      <c r="H160" s="615">
        <v>13</v>
      </c>
      <c r="I160" s="99">
        <v>3.5</v>
      </c>
      <c r="J160" s="616" t="str">
        <f t="shared" si="12"/>
        <v>0</v>
      </c>
      <c r="K160" s="34">
        <f>IF(OR($C$146&lt;31,$C$146=44,$C$146=55,$C$146&gt;59),0,M160)</f>
        <v>0</v>
      </c>
      <c r="L160" s="34"/>
      <c r="M160" s="99">
        <v>3.5</v>
      </c>
      <c r="N160" s="99"/>
    </row>
    <row r="161" spans="2:14" hidden="1">
      <c r="B161" s="106"/>
      <c r="C161" s="615">
        <v>14</v>
      </c>
      <c r="D161" s="616" t="str">
        <f>LEFT(F161,1)&amp;E161&amp;RIGHT(F161,1)</f>
        <v>(23)</v>
      </c>
      <c r="E161" s="34">
        <v>23</v>
      </c>
      <c r="F161" s="99" t="s">
        <v>790</v>
      </c>
      <c r="G161" s="34"/>
      <c r="H161" s="615">
        <v>14</v>
      </c>
      <c r="I161" s="99">
        <v>3.8</v>
      </c>
      <c r="J161" s="616" t="str">
        <f>LEFT(L161,1)&amp;K161&amp;RIGHT(L161,1)</f>
        <v>0</v>
      </c>
      <c r="K161" s="34">
        <f>IF(OR($C$146&lt;37,$C$146=44,$C$146=55,$C$146&gt;59),0,M161)</f>
        <v>0</v>
      </c>
      <c r="L161" s="34"/>
      <c r="M161" s="99">
        <v>3.8</v>
      </c>
      <c r="N161" s="99"/>
    </row>
    <row r="162" spans="2:14" hidden="1">
      <c r="B162" s="106"/>
      <c r="C162" s="615">
        <v>15</v>
      </c>
      <c r="D162" s="616" t="str">
        <f t="shared" si="11"/>
        <v>24</v>
      </c>
      <c r="E162" s="34">
        <v>24</v>
      </c>
      <c r="F162" s="99"/>
      <c r="G162" s="34"/>
      <c r="H162" s="615">
        <v>15</v>
      </c>
      <c r="I162" s="99">
        <v>4</v>
      </c>
      <c r="J162" s="616" t="str">
        <f t="shared" si="12"/>
        <v>0</v>
      </c>
      <c r="K162" s="34">
        <f>IF(OR($C$146&lt;39,$C$146=44,$C$146&gt;64),0,M162)</f>
        <v>0</v>
      </c>
      <c r="L162" s="34"/>
      <c r="M162" s="99">
        <v>4</v>
      </c>
      <c r="N162" s="99"/>
    </row>
    <row r="163" spans="2:14" hidden="1">
      <c r="B163" s="106"/>
      <c r="C163" s="615">
        <v>16</v>
      </c>
      <c r="D163" s="616" t="str">
        <f t="shared" si="11"/>
        <v>25</v>
      </c>
      <c r="E163" s="34">
        <v>25</v>
      </c>
      <c r="F163" s="99"/>
      <c r="G163" s="34"/>
      <c r="H163" s="615">
        <v>16</v>
      </c>
      <c r="I163" s="99">
        <v>4.5</v>
      </c>
      <c r="J163" s="616" t="str">
        <f>LEFT(L163,1)&amp;K163&amp;RIGHT(L163,1)</f>
        <v>0</v>
      </c>
      <c r="K163" s="34">
        <f>IF(OR($C$146&lt;41,$C$146=44,$C$146=55,$C$146&gt;64),0,M163)</f>
        <v>0</v>
      </c>
      <c r="L163" s="34"/>
      <c r="M163" s="99">
        <v>4.5</v>
      </c>
      <c r="N163" s="99"/>
    </row>
    <row r="164" spans="2:14" hidden="1">
      <c r="B164" s="106"/>
      <c r="C164" s="615">
        <v>17</v>
      </c>
      <c r="D164" s="616" t="str">
        <f t="shared" si="11"/>
        <v>26</v>
      </c>
      <c r="E164" s="34">
        <v>26</v>
      </c>
      <c r="F164" s="99"/>
      <c r="G164" s="34"/>
      <c r="H164" s="615">
        <v>17</v>
      </c>
      <c r="I164" s="99">
        <v>5</v>
      </c>
      <c r="J164" s="616" t="str">
        <f t="shared" si="12"/>
        <v>0</v>
      </c>
      <c r="K164" s="34">
        <f>IF(OR($C$146&lt;41,$C$146&gt;66),0,M164)</f>
        <v>0</v>
      </c>
      <c r="L164" s="34"/>
      <c r="M164" s="99">
        <v>5</v>
      </c>
      <c r="N164" s="99"/>
    </row>
    <row r="165" spans="2:14" hidden="1">
      <c r="B165" s="106"/>
      <c r="C165" s="615">
        <v>18</v>
      </c>
      <c r="D165" s="616" t="str">
        <f t="shared" ref="D165:D180" si="13">E165&amp;F165</f>
        <v>27</v>
      </c>
      <c r="E165" s="34">
        <v>27</v>
      </c>
      <c r="F165" s="99"/>
      <c r="G165" s="34"/>
      <c r="H165" s="615">
        <v>18</v>
      </c>
      <c r="I165" s="99">
        <v>5.5</v>
      </c>
      <c r="J165" s="616" t="str">
        <f>LEFT(L165,1)&amp;K165&amp;RIGHT(L165,1)</f>
        <v>0</v>
      </c>
      <c r="K165" s="34">
        <f>IF(OR($C$146&lt;41,$C$146=44,$C$146=55,$C$146&gt;66),0,M165)</f>
        <v>0</v>
      </c>
      <c r="L165" s="34"/>
      <c r="M165" s="99">
        <v>5.5</v>
      </c>
      <c r="N165" s="99"/>
    </row>
    <row r="166" spans="2:14" hidden="1">
      <c r="B166" s="106"/>
      <c r="C166" s="615">
        <v>19</v>
      </c>
      <c r="D166" s="616" t="str">
        <f t="shared" si="13"/>
        <v>28</v>
      </c>
      <c r="E166" s="34">
        <v>28</v>
      </c>
      <c r="F166" s="99"/>
      <c r="G166" s="34"/>
      <c r="H166" s="615">
        <v>19</v>
      </c>
      <c r="I166" s="99">
        <v>6</v>
      </c>
      <c r="J166" s="616" t="str">
        <f t="shared" ref="J166:J179" si="14">K166&amp;L166</f>
        <v>0</v>
      </c>
      <c r="K166" s="34">
        <f>IF(OR($C$146&lt;52,$C$146=55,$C$146&gt;66),0,M166)</f>
        <v>0</v>
      </c>
      <c r="L166" s="34"/>
      <c r="M166" s="99">
        <v>6</v>
      </c>
      <c r="N166" s="99"/>
    </row>
    <row r="167" spans="2:14" hidden="1">
      <c r="B167" s="106"/>
      <c r="C167" s="615">
        <v>20</v>
      </c>
      <c r="D167" s="616" t="str">
        <f t="shared" si="13"/>
        <v>30</v>
      </c>
      <c r="E167" s="34">
        <v>30</v>
      </c>
      <c r="F167" s="99"/>
      <c r="G167" s="34"/>
      <c r="H167" s="615">
        <v>20</v>
      </c>
      <c r="I167" s="99">
        <v>7</v>
      </c>
      <c r="J167" s="616" t="str">
        <f t="shared" si="14"/>
        <v>0</v>
      </c>
      <c r="K167" s="34">
        <f>IF(OR($C$146&lt;52,$C$146=55,$C$146&gt;70),0,M167)</f>
        <v>0</v>
      </c>
      <c r="L167" s="34"/>
      <c r="M167" s="99">
        <v>7</v>
      </c>
      <c r="N167" s="99"/>
    </row>
    <row r="168" spans="2:14" hidden="1">
      <c r="B168" s="106"/>
      <c r="C168" s="615">
        <v>21</v>
      </c>
      <c r="D168" s="616" t="str">
        <f t="shared" si="13"/>
        <v>32</v>
      </c>
      <c r="E168" s="34">
        <v>32</v>
      </c>
      <c r="F168" s="99"/>
      <c r="G168" s="34"/>
      <c r="H168" s="615">
        <v>21</v>
      </c>
      <c r="I168" s="99">
        <v>8</v>
      </c>
      <c r="J168" s="616" t="str">
        <f t="shared" si="14"/>
        <v>0</v>
      </c>
      <c r="K168" s="34">
        <f>IF(OR($C$146&lt;52,$C$146=55,$C$146&gt;72),0,M168)</f>
        <v>0</v>
      </c>
      <c r="L168" s="34"/>
      <c r="M168" s="99">
        <v>8</v>
      </c>
      <c r="N168" s="99"/>
    </row>
    <row r="169" spans="2:14" hidden="1">
      <c r="B169" s="106"/>
      <c r="C169" s="615">
        <v>22</v>
      </c>
      <c r="D169" s="616" t="str">
        <f t="shared" si="13"/>
        <v>33</v>
      </c>
      <c r="E169" s="34">
        <v>33</v>
      </c>
      <c r="F169" s="99"/>
      <c r="G169" s="34"/>
      <c r="H169" s="615">
        <v>22</v>
      </c>
      <c r="I169" s="99">
        <v>9</v>
      </c>
      <c r="J169" s="616" t="str">
        <f>LEFT(L169,1)&amp;K169&amp;RIGHT(L169,1)</f>
        <v>0</v>
      </c>
      <c r="K169" s="34">
        <f>IF(OR($C$146&lt;57,$C$146&gt;73),0,M169)</f>
        <v>0</v>
      </c>
      <c r="L169" s="34"/>
      <c r="M169" s="99">
        <v>9</v>
      </c>
      <c r="N169" s="99"/>
    </row>
    <row r="170" spans="2:14" hidden="1">
      <c r="B170" s="106"/>
      <c r="C170" s="615">
        <v>23</v>
      </c>
      <c r="D170" s="616" t="str">
        <f t="shared" si="13"/>
        <v>33,7</v>
      </c>
      <c r="E170" s="34">
        <v>33.700000000000003</v>
      </c>
      <c r="F170" s="99"/>
      <c r="G170" s="34"/>
      <c r="H170" s="615">
        <v>23</v>
      </c>
      <c r="I170" s="99">
        <v>10</v>
      </c>
      <c r="J170" s="616" t="str">
        <f t="shared" si="14"/>
        <v>0</v>
      </c>
      <c r="K170" s="34">
        <f>IF(OR($C$146&lt;61,$C$146&gt;74),0,M170)</f>
        <v>0</v>
      </c>
      <c r="L170" s="34"/>
      <c r="M170" s="99">
        <v>10</v>
      </c>
      <c r="N170" s="99"/>
    </row>
    <row r="171" spans="2:14" hidden="1">
      <c r="B171" s="106"/>
      <c r="C171" s="615">
        <v>24</v>
      </c>
      <c r="D171" s="616" t="str">
        <f t="shared" si="13"/>
        <v>35</v>
      </c>
      <c r="E171" s="34">
        <v>35</v>
      </c>
      <c r="F171" s="99"/>
      <c r="G171" s="34"/>
      <c r="H171" s="615">
        <v>24</v>
      </c>
      <c r="I171" s="99">
        <v>11</v>
      </c>
      <c r="J171" s="616" t="str">
        <f>LEFT(L171,1)&amp;K171&amp;RIGHT(L171,1)</f>
        <v>0</v>
      </c>
      <c r="K171" s="34">
        <f>IF(OR($C$146&lt;63,$C$146&gt;74),0,M171)</f>
        <v>0</v>
      </c>
      <c r="L171" s="34"/>
      <c r="M171" s="99">
        <v>11</v>
      </c>
      <c r="N171" s="99"/>
    </row>
    <row r="172" spans="2:14" hidden="1">
      <c r="B172" s="106"/>
      <c r="C172" s="615">
        <v>25</v>
      </c>
      <c r="D172" s="616" t="str">
        <f t="shared" si="13"/>
        <v>36</v>
      </c>
      <c r="E172" s="34">
        <v>36</v>
      </c>
      <c r="F172" s="99"/>
      <c r="G172" s="34"/>
      <c r="H172" s="615">
        <v>25</v>
      </c>
      <c r="I172" s="99">
        <v>12</v>
      </c>
      <c r="J172" s="616" t="str">
        <f t="shared" si="14"/>
        <v>0</v>
      </c>
      <c r="K172" s="34">
        <f>IF(OR($C$146&lt;63,$C$146&gt;74),0,M172)</f>
        <v>0</v>
      </c>
      <c r="L172" s="34"/>
      <c r="M172" s="99">
        <v>12</v>
      </c>
      <c r="N172" s="99"/>
    </row>
    <row r="173" spans="2:14" hidden="1">
      <c r="B173" s="106"/>
      <c r="C173" s="615">
        <v>26</v>
      </c>
      <c r="D173" s="616" t="str">
        <f t="shared" si="13"/>
        <v>38</v>
      </c>
      <c r="E173" s="34">
        <v>38</v>
      </c>
      <c r="F173" s="99"/>
      <c r="G173" s="34"/>
      <c r="H173" s="615">
        <v>26</v>
      </c>
      <c r="I173" s="99">
        <v>13</v>
      </c>
      <c r="J173" s="616" t="str">
        <f t="shared" si="14"/>
        <v>0</v>
      </c>
      <c r="K173" s="34">
        <f>IF(OR($C$146&lt;66,$C$146&gt;74),0,M173)</f>
        <v>0</v>
      </c>
      <c r="L173" s="34"/>
      <c r="M173" s="99">
        <v>13</v>
      </c>
      <c r="N173" s="99"/>
    </row>
    <row r="174" spans="2:14" hidden="1">
      <c r="B174" s="106"/>
      <c r="C174" s="615">
        <v>27</v>
      </c>
      <c r="D174" s="616" t="str">
        <f t="shared" si="13"/>
        <v>40</v>
      </c>
      <c r="E174" s="34">
        <v>40</v>
      </c>
      <c r="F174" s="99"/>
      <c r="G174" s="34"/>
      <c r="H174" s="615">
        <v>27</v>
      </c>
      <c r="I174" s="99">
        <v>14</v>
      </c>
      <c r="J174" s="616" t="str">
        <f t="shared" si="14"/>
        <v>0</v>
      </c>
      <c r="K174" s="34">
        <f t="shared" ref="K174:K180" si="15">IF(OR($C$146&lt;66,$C$146&gt;74),0,M174)</f>
        <v>0</v>
      </c>
      <c r="L174" s="34"/>
      <c r="M174" s="99">
        <v>14</v>
      </c>
      <c r="N174" s="99"/>
    </row>
    <row r="175" spans="2:14" hidden="1">
      <c r="B175" s="106"/>
      <c r="C175" s="615">
        <v>28</v>
      </c>
      <c r="D175" s="616" t="str">
        <f t="shared" si="13"/>
        <v>42</v>
      </c>
      <c r="E175" s="34">
        <v>42</v>
      </c>
      <c r="F175" s="99"/>
      <c r="G175" s="34"/>
      <c r="H175" s="615">
        <v>28</v>
      </c>
      <c r="I175" s="99">
        <v>16</v>
      </c>
      <c r="J175" s="616" t="str">
        <f>LEFT(L175,1)&amp;K175&amp;RIGHT(L175,1)</f>
        <v>0</v>
      </c>
      <c r="K175" s="34">
        <f t="shared" si="15"/>
        <v>0</v>
      </c>
      <c r="L175" s="34"/>
      <c r="M175" s="99">
        <v>16</v>
      </c>
      <c r="N175" s="99"/>
    </row>
    <row r="176" spans="2:14" hidden="1">
      <c r="B176" s="106"/>
      <c r="C176" s="615">
        <v>29</v>
      </c>
      <c r="D176" s="616" t="str">
        <f t="shared" si="13"/>
        <v>44,5</v>
      </c>
      <c r="E176" s="34">
        <v>44.5</v>
      </c>
      <c r="F176" s="99"/>
      <c r="G176" s="34"/>
      <c r="H176" s="615">
        <v>29</v>
      </c>
      <c r="I176" s="624" t="s">
        <v>826</v>
      </c>
      <c r="J176" s="616" t="str">
        <f>LEFT(L176,1)&amp;K176&amp;RIGHT(L176,1)</f>
        <v>(0)</v>
      </c>
      <c r="K176" s="34">
        <f t="shared" si="15"/>
        <v>0</v>
      </c>
      <c r="L176" s="34" t="s">
        <v>790</v>
      </c>
      <c r="M176" s="99">
        <v>17</v>
      </c>
      <c r="N176" s="99"/>
    </row>
    <row r="177" spans="2:14" hidden="1">
      <c r="B177" s="106"/>
      <c r="C177" s="615">
        <v>30</v>
      </c>
      <c r="D177" s="616" t="str">
        <f t="shared" si="13"/>
        <v>45</v>
      </c>
      <c r="E177" s="34">
        <v>45</v>
      </c>
      <c r="F177" s="99"/>
      <c r="G177" s="34"/>
      <c r="H177" s="615">
        <v>30</v>
      </c>
      <c r="I177" s="99">
        <v>17.5</v>
      </c>
      <c r="J177" s="616" t="str">
        <f t="shared" si="14"/>
        <v>0</v>
      </c>
      <c r="K177" s="34">
        <f t="shared" si="15"/>
        <v>0</v>
      </c>
      <c r="L177" s="34"/>
      <c r="M177" s="99">
        <v>17.5</v>
      </c>
      <c r="N177" s="99"/>
    </row>
    <row r="178" spans="2:14" hidden="1">
      <c r="B178" s="106"/>
      <c r="C178" s="615">
        <v>31</v>
      </c>
      <c r="D178" s="616" t="str">
        <f t="shared" si="13"/>
        <v>48</v>
      </c>
      <c r="E178" s="34">
        <v>48</v>
      </c>
      <c r="F178" s="99"/>
      <c r="G178" s="34"/>
      <c r="H178" s="615">
        <v>31</v>
      </c>
      <c r="I178" s="99">
        <v>18</v>
      </c>
      <c r="J178" s="616" t="str">
        <f>LEFT(L178,1)&amp;K178&amp;RIGHT(L178,1)</f>
        <v>0</v>
      </c>
      <c r="K178" s="34">
        <f t="shared" si="15"/>
        <v>0</v>
      </c>
      <c r="L178" s="34"/>
      <c r="M178" s="99">
        <v>18</v>
      </c>
      <c r="N178" s="99"/>
    </row>
    <row r="179" spans="2:14" hidden="1">
      <c r="B179" s="106"/>
      <c r="C179" s="615">
        <v>32</v>
      </c>
      <c r="D179" s="616" t="str">
        <f t="shared" si="13"/>
        <v>48,3</v>
      </c>
      <c r="E179" s="34">
        <v>48.3</v>
      </c>
      <c r="F179" s="99"/>
      <c r="G179" s="34"/>
      <c r="H179" s="615">
        <v>32</v>
      </c>
      <c r="I179" s="99">
        <v>19</v>
      </c>
      <c r="J179" s="616" t="str">
        <f t="shared" si="14"/>
        <v>0</v>
      </c>
      <c r="K179" s="34">
        <f t="shared" si="15"/>
        <v>0</v>
      </c>
      <c r="L179" s="34"/>
      <c r="M179" s="99">
        <v>19</v>
      </c>
      <c r="N179" s="99"/>
    </row>
    <row r="180" spans="2:14" hidden="1">
      <c r="B180" s="106"/>
      <c r="C180" s="615">
        <v>33</v>
      </c>
      <c r="D180" s="616" t="str">
        <f t="shared" si="13"/>
        <v>51</v>
      </c>
      <c r="E180" s="34">
        <v>51</v>
      </c>
      <c r="F180" s="99"/>
      <c r="G180" s="34"/>
      <c r="H180" s="615">
        <v>33</v>
      </c>
      <c r="I180" s="99">
        <v>20</v>
      </c>
      <c r="J180" s="616" t="str">
        <f>LEFT(L180,1)&amp;K180&amp;RIGHT(L180,1)</f>
        <v>0</v>
      </c>
      <c r="K180" s="34">
        <f t="shared" si="15"/>
        <v>0</v>
      </c>
      <c r="L180" s="34"/>
      <c r="M180" s="99">
        <v>20</v>
      </c>
      <c r="N180" s="99"/>
    </row>
    <row r="181" spans="2:14" hidden="1">
      <c r="B181" s="106"/>
      <c r="C181" s="615">
        <v>34</v>
      </c>
      <c r="D181" s="616" t="str">
        <f t="shared" ref="D181:D196" si="16">E181&amp;F181</f>
        <v>53</v>
      </c>
      <c r="E181" s="34">
        <v>53</v>
      </c>
      <c r="F181" s="99"/>
      <c r="G181" s="34"/>
      <c r="H181" s="615">
        <v>34</v>
      </c>
      <c r="I181" s="99">
        <v>21</v>
      </c>
      <c r="J181" s="616" t="str">
        <f t="shared" ref="J181:J192" si="17">K181&amp;L181</f>
        <v>0</v>
      </c>
      <c r="K181" s="34">
        <f>IF(OR($C$146&lt;66,$C$146=67,$C$146=70,$C$146&gt;71),0,M181)</f>
        <v>0</v>
      </c>
      <c r="L181" s="34"/>
      <c r="M181" s="99">
        <v>21</v>
      </c>
      <c r="N181" s="99"/>
    </row>
    <row r="182" spans="2:14" hidden="1">
      <c r="B182" s="106"/>
      <c r="C182" s="615">
        <v>35</v>
      </c>
      <c r="D182" s="616" t="str">
        <f t="shared" si="16"/>
        <v>54</v>
      </c>
      <c r="E182" s="34">
        <v>54</v>
      </c>
      <c r="F182" s="99"/>
      <c r="G182" s="34"/>
      <c r="H182" s="615">
        <v>35</v>
      </c>
      <c r="I182" s="99">
        <v>22</v>
      </c>
      <c r="J182" s="616" t="str">
        <f t="shared" si="17"/>
        <v>0</v>
      </c>
      <c r="K182" s="34">
        <f>IF(OR($C$146&lt;66,$C$146=67,$C$146=70,$C$146&gt;71),0,M182)</f>
        <v>0</v>
      </c>
      <c r="L182" s="34"/>
      <c r="M182" s="99">
        <v>22</v>
      </c>
      <c r="N182" s="99"/>
    </row>
    <row r="183" spans="2:14" hidden="1">
      <c r="B183" s="106"/>
      <c r="C183" s="615">
        <v>36</v>
      </c>
      <c r="D183" s="616" t="str">
        <f t="shared" si="16"/>
        <v>57</v>
      </c>
      <c r="E183" s="34">
        <v>57</v>
      </c>
      <c r="F183" s="99"/>
      <c r="G183" s="34"/>
      <c r="H183" s="615">
        <v>36</v>
      </c>
      <c r="I183" s="99">
        <v>23</v>
      </c>
      <c r="J183" s="616" t="str">
        <f t="shared" si="17"/>
        <v>0</v>
      </c>
      <c r="K183" s="34">
        <f>IF(OR($C$146&lt;66,$C$146=67,$C$146=70,$C$146&gt;71),0,M183)</f>
        <v>0</v>
      </c>
      <c r="L183" s="34"/>
      <c r="M183" s="99">
        <v>23</v>
      </c>
      <c r="N183" s="99"/>
    </row>
    <row r="184" spans="2:14" hidden="1">
      <c r="B184" s="106"/>
      <c r="C184" s="615">
        <v>37</v>
      </c>
      <c r="D184" s="616" t="str">
        <f t="shared" si="16"/>
        <v>60</v>
      </c>
      <c r="E184" s="34">
        <v>60</v>
      </c>
      <c r="F184" s="99"/>
      <c r="G184" s="34"/>
      <c r="H184" s="615">
        <v>37</v>
      </c>
      <c r="I184" s="99">
        <v>24</v>
      </c>
      <c r="J184" s="616" t="str">
        <f>LEFT(L184,1)&amp;K184&amp;RIGHT(L184,1)</f>
        <v>0</v>
      </c>
      <c r="K184" s="34">
        <f>IF(OR($C$146&lt;66,$C$146=67,$C$146=70,$C$146&gt;71),0,M184)</f>
        <v>0</v>
      </c>
      <c r="L184" s="34"/>
      <c r="M184" s="99">
        <v>24</v>
      </c>
      <c r="N184" s="99"/>
    </row>
    <row r="185" spans="2:14" hidden="1">
      <c r="B185" s="106"/>
      <c r="C185" s="615">
        <v>38</v>
      </c>
      <c r="D185" s="616" t="str">
        <f t="shared" si="16"/>
        <v>63,5</v>
      </c>
      <c r="E185" s="34">
        <v>63.5</v>
      </c>
      <c r="F185" s="99"/>
      <c r="G185" s="34"/>
      <c r="H185" s="615">
        <v>38</v>
      </c>
      <c r="I185" s="99">
        <v>25</v>
      </c>
      <c r="J185" s="616" t="str">
        <f>LEFT(L185,1)&amp;K185&amp;RIGHT(L185,1)</f>
        <v>0</v>
      </c>
      <c r="K185" s="34">
        <f t="shared" ref="K185:K190" si="18">IF(OR($C$146&lt;68,$C$146=70,$C$146&gt;71),0,M185)</f>
        <v>0</v>
      </c>
      <c r="L185" s="34"/>
      <c r="M185" s="99">
        <v>25</v>
      </c>
      <c r="N185" s="99"/>
    </row>
    <row r="186" spans="2:14" hidden="1">
      <c r="B186" s="106"/>
      <c r="C186" s="615">
        <v>39</v>
      </c>
      <c r="D186" s="616" t="str">
        <f t="shared" si="16"/>
        <v>70</v>
      </c>
      <c r="E186" s="34">
        <v>70</v>
      </c>
      <c r="F186" s="99"/>
      <c r="G186" s="34"/>
      <c r="H186" s="615">
        <v>39</v>
      </c>
      <c r="I186" s="99">
        <v>26</v>
      </c>
      <c r="J186" s="616" t="str">
        <f t="shared" si="17"/>
        <v>0</v>
      </c>
      <c r="K186" s="34">
        <f t="shared" si="18"/>
        <v>0</v>
      </c>
      <c r="L186" s="34"/>
      <c r="M186" s="99">
        <v>26</v>
      </c>
      <c r="N186" s="99"/>
    </row>
    <row r="187" spans="2:14" hidden="1">
      <c r="B187" s="106"/>
      <c r="C187" s="615">
        <v>40</v>
      </c>
      <c r="D187" s="616" t="str">
        <f t="shared" si="16"/>
        <v>73</v>
      </c>
      <c r="E187" s="34">
        <v>73</v>
      </c>
      <c r="F187" s="99"/>
      <c r="G187" s="34"/>
      <c r="H187" s="615">
        <v>40</v>
      </c>
      <c r="I187" s="99">
        <v>27</v>
      </c>
      <c r="J187" s="616" t="str">
        <f>LEFT(L187,1)&amp;K187&amp;RIGHT(L187,1)</f>
        <v>0</v>
      </c>
      <c r="K187" s="34">
        <f t="shared" si="18"/>
        <v>0</v>
      </c>
      <c r="L187" s="34"/>
      <c r="M187" s="99">
        <v>27</v>
      </c>
      <c r="N187" s="99"/>
    </row>
    <row r="188" spans="2:14" hidden="1">
      <c r="B188" s="106"/>
      <c r="C188" s="615">
        <v>41</v>
      </c>
      <c r="D188" s="616" t="str">
        <f t="shared" si="16"/>
        <v>76</v>
      </c>
      <c r="E188" s="34">
        <v>76</v>
      </c>
      <c r="F188" s="99"/>
      <c r="G188" s="34"/>
      <c r="H188" s="615">
        <v>41</v>
      </c>
      <c r="I188" s="99">
        <v>28</v>
      </c>
      <c r="J188" s="616" t="str">
        <f t="shared" si="17"/>
        <v>0</v>
      </c>
      <c r="K188" s="34">
        <f t="shared" si="18"/>
        <v>0</v>
      </c>
      <c r="L188" s="34"/>
      <c r="M188" s="99">
        <v>28</v>
      </c>
      <c r="N188" s="99"/>
    </row>
    <row r="189" spans="2:14" hidden="1">
      <c r="B189" s="106"/>
      <c r="C189" s="615">
        <v>42</v>
      </c>
      <c r="D189" s="616" t="str">
        <f t="shared" si="16"/>
        <v>83</v>
      </c>
      <c r="E189" s="34">
        <v>83</v>
      </c>
      <c r="F189" s="99"/>
      <c r="G189" s="34"/>
      <c r="H189" s="615">
        <v>42</v>
      </c>
      <c r="I189" s="99">
        <v>29</v>
      </c>
      <c r="J189" s="616" t="str">
        <f>LEFT(L189,1)&amp;K189&amp;RIGHT(L189,1)</f>
        <v>0</v>
      </c>
      <c r="K189" s="34">
        <f t="shared" si="18"/>
        <v>0</v>
      </c>
      <c r="L189" s="34"/>
      <c r="M189" s="99">
        <v>29</v>
      </c>
      <c r="N189" s="99"/>
    </row>
    <row r="190" spans="2:14" hidden="1">
      <c r="B190" s="106"/>
      <c r="C190" s="615">
        <v>43</v>
      </c>
      <c r="D190" s="616" t="str">
        <f t="shared" si="16"/>
        <v>89</v>
      </c>
      <c r="E190" s="34">
        <v>89</v>
      </c>
      <c r="F190" s="99"/>
      <c r="G190" s="34"/>
      <c r="H190" s="615">
        <v>43</v>
      </c>
      <c r="I190" s="99">
        <v>30</v>
      </c>
      <c r="J190" s="616" t="str">
        <f t="shared" si="17"/>
        <v>0</v>
      </c>
      <c r="K190" s="34">
        <f t="shared" si="18"/>
        <v>0</v>
      </c>
      <c r="L190" s="34"/>
      <c r="M190" s="99">
        <v>30</v>
      </c>
      <c r="N190" s="99"/>
    </row>
    <row r="191" spans="2:14" hidden="1">
      <c r="B191" s="106"/>
      <c r="C191" s="615">
        <v>44</v>
      </c>
      <c r="D191" s="616" t="str">
        <f t="shared" si="16"/>
        <v>95</v>
      </c>
      <c r="E191" s="34">
        <v>95</v>
      </c>
      <c r="F191" s="99"/>
      <c r="G191" s="34"/>
      <c r="H191" s="615">
        <v>44</v>
      </c>
      <c r="I191" s="99">
        <v>31</v>
      </c>
      <c r="J191" s="616" t="str">
        <f>LEFT(L191,1)&amp;K191&amp;RIGHT(L191,1)</f>
        <v>0</v>
      </c>
      <c r="K191" s="34">
        <f>IF($C$146=71,M191,0)</f>
        <v>0</v>
      </c>
      <c r="L191" s="34"/>
      <c r="M191" s="99">
        <v>31</v>
      </c>
      <c r="N191" s="99"/>
    </row>
    <row r="192" spans="2:14" ht="13.5" hidden="1" thickBot="1">
      <c r="B192" s="106"/>
      <c r="C192" s="615">
        <v>45</v>
      </c>
      <c r="D192" s="616" t="str">
        <f t="shared" si="16"/>
        <v>102</v>
      </c>
      <c r="E192" s="34">
        <v>102</v>
      </c>
      <c r="F192" s="99"/>
      <c r="G192" s="34"/>
      <c r="H192" s="618">
        <v>45</v>
      </c>
      <c r="I192" s="100">
        <v>32</v>
      </c>
      <c r="J192" s="620" t="str">
        <f t="shared" si="17"/>
        <v>0</v>
      </c>
      <c r="K192" s="151">
        <f>IF($C$146=71,M192,0)</f>
        <v>0</v>
      </c>
      <c r="L192" s="151"/>
      <c r="M192" s="100">
        <v>32</v>
      </c>
      <c r="N192" s="99"/>
    </row>
    <row r="193" spans="2:14" hidden="1">
      <c r="B193" s="106"/>
      <c r="C193" s="615">
        <v>46</v>
      </c>
      <c r="D193" s="616" t="str">
        <f t="shared" si="16"/>
        <v>108</v>
      </c>
      <c r="E193" s="34">
        <v>108</v>
      </c>
      <c r="F193" s="99"/>
      <c r="G193" s="34"/>
      <c r="H193" s="34"/>
      <c r="I193" s="34"/>
      <c r="J193" s="34"/>
      <c r="K193" s="34"/>
      <c r="L193" s="34"/>
      <c r="M193" s="34"/>
      <c r="N193" s="99"/>
    </row>
    <row r="194" spans="2:14" hidden="1">
      <c r="B194" s="106"/>
      <c r="C194" s="615">
        <v>47</v>
      </c>
      <c r="D194" s="616" t="str">
        <f t="shared" si="16"/>
        <v>114</v>
      </c>
      <c r="E194" s="34">
        <v>114</v>
      </c>
      <c r="F194" s="99"/>
      <c r="G194" s="34"/>
      <c r="H194" s="34"/>
      <c r="I194" s="34"/>
      <c r="J194" s="34"/>
      <c r="K194" s="34"/>
      <c r="L194" s="34"/>
      <c r="M194" s="34"/>
      <c r="N194" s="99"/>
    </row>
    <row r="195" spans="2:14" hidden="1">
      <c r="B195" s="106"/>
      <c r="C195" s="615">
        <v>48</v>
      </c>
      <c r="D195" s="616" t="str">
        <f t="shared" si="16"/>
        <v>127</v>
      </c>
      <c r="E195" s="34">
        <v>127</v>
      </c>
      <c r="F195" s="99"/>
      <c r="G195" s="34"/>
      <c r="H195" s="34"/>
      <c r="I195" s="34"/>
      <c r="J195" s="34"/>
      <c r="K195" s="34"/>
      <c r="L195" s="34"/>
      <c r="M195" s="34"/>
      <c r="N195" s="99"/>
    </row>
    <row r="196" spans="2:14" hidden="1">
      <c r="B196" s="106"/>
      <c r="C196" s="615">
        <v>49</v>
      </c>
      <c r="D196" s="616" t="str">
        <f t="shared" si="16"/>
        <v>133</v>
      </c>
      <c r="E196" s="34">
        <v>133</v>
      </c>
      <c r="F196" s="99"/>
      <c r="G196" s="34"/>
      <c r="H196" s="34"/>
      <c r="I196" s="34"/>
      <c r="J196" s="34"/>
      <c r="K196" s="34"/>
      <c r="L196" s="34"/>
      <c r="M196" s="34"/>
      <c r="N196" s="99"/>
    </row>
    <row r="197" spans="2:14" hidden="1">
      <c r="B197" s="106"/>
      <c r="C197" s="615">
        <v>50</v>
      </c>
      <c r="D197" s="616" t="str">
        <f t="shared" ref="D197:D211" si="19">E197&amp;F197</f>
        <v>140</v>
      </c>
      <c r="E197" s="34">
        <v>140</v>
      </c>
      <c r="F197" s="99"/>
      <c r="G197" s="34"/>
      <c r="H197" s="34"/>
      <c r="I197" s="34"/>
      <c r="J197" s="34"/>
      <c r="K197" s="34"/>
      <c r="L197" s="34"/>
      <c r="M197" s="34"/>
      <c r="N197" s="99"/>
    </row>
    <row r="198" spans="2:14" hidden="1">
      <c r="B198" s="106"/>
      <c r="C198" s="615">
        <v>51</v>
      </c>
      <c r="D198" s="616" t="str">
        <f t="shared" si="19"/>
        <v>152</v>
      </c>
      <c r="E198" s="34">
        <v>152</v>
      </c>
      <c r="F198" s="99"/>
      <c r="G198" s="34"/>
      <c r="H198" s="34"/>
      <c r="I198" s="34"/>
      <c r="J198" s="34"/>
      <c r="K198" s="34"/>
      <c r="L198" s="34"/>
      <c r="M198" s="34"/>
      <c r="N198" s="99"/>
    </row>
    <row r="199" spans="2:14" hidden="1">
      <c r="B199" s="106"/>
      <c r="C199" s="615">
        <v>52</v>
      </c>
      <c r="D199" s="616" t="str">
        <f t="shared" si="19"/>
        <v>159</v>
      </c>
      <c r="E199" s="34">
        <v>159</v>
      </c>
      <c r="F199" s="99"/>
      <c r="G199" s="34"/>
      <c r="H199" s="34"/>
      <c r="I199" s="34"/>
      <c r="J199" s="34"/>
      <c r="K199" s="34"/>
      <c r="L199" s="34"/>
      <c r="M199" s="34"/>
      <c r="N199" s="99"/>
    </row>
    <row r="200" spans="2:14" hidden="1">
      <c r="B200" s="106"/>
      <c r="C200" s="615">
        <v>53</v>
      </c>
      <c r="D200" s="616" t="str">
        <f t="shared" si="19"/>
        <v>168</v>
      </c>
      <c r="E200" s="34">
        <v>168</v>
      </c>
      <c r="F200" s="99"/>
      <c r="G200" s="34"/>
      <c r="H200" s="34"/>
      <c r="I200" s="34"/>
      <c r="J200" s="34"/>
      <c r="K200" s="34"/>
      <c r="L200" s="34"/>
      <c r="M200" s="34"/>
      <c r="N200" s="99"/>
    </row>
    <row r="201" spans="2:14" hidden="1">
      <c r="B201" s="106"/>
      <c r="C201" s="615">
        <v>54</v>
      </c>
      <c r="D201" s="616" t="str">
        <f t="shared" si="19"/>
        <v>177,8</v>
      </c>
      <c r="E201" s="34">
        <v>177.8</v>
      </c>
      <c r="F201" s="99"/>
      <c r="G201" s="34"/>
      <c r="H201" s="34"/>
      <c r="I201" s="34"/>
      <c r="J201" s="34"/>
      <c r="K201" s="34"/>
      <c r="L201" s="34"/>
      <c r="M201" s="34"/>
      <c r="N201" s="99"/>
    </row>
    <row r="202" spans="2:14" hidden="1">
      <c r="B202" s="106"/>
      <c r="C202" s="615">
        <v>55</v>
      </c>
      <c r="D202" s="616" t="str">
        <f t="shared" si="19"/>
        <v>180</v>
      </c>
      <c r="E202" s="34">
        <v>180</v>
      </c>
      <c r="F202" s="99"/>
      <c r="G202" s="34"/>
      <c r="H202" s="34"/>
      <c r="I202" s="34"/>
      <c r="J202" s="34"/>
      <c r="K202" s="34"/>
      <c r="L202" s="34"/>
      <c r="M202" s="34"/>
      <c r="N202" s="99"/>
    </row>
    <row r="203" spans="2:14" hidden="1">
      <c r="B203" s="106"/>
      <c r="C203" s="615">
        <v>56</v>
      </c>
      <c r="D203" s="616" t="str">
        <f t="shared" si="19"/>
        <v>193,7</v>
      </c>
      <c r="E203" s="34">
        <v>193.7</v>
      </c>
      <c r="F203" s="99"/>
      <c r="G203" s="34"/>
      <c r="H203" s="34"/>
      <c r="I203" s="34"/>
      <c r="J203" s="34"/>
      <c r="K203" s="34"/>
      <c r="L203" s="34"/>
      <c r="M203" s="34"/>
      <c r="N203" s="99"/>
    </row>
    <row r="204" spans="2:14" hidden="1">
      <c r="B204" s="106"/>
      <c r="C204" s="615">
        <v>57</v>
      </c>
      <c r="D204" s="616" t="str">
        <f t="shared" si="19"/>
        <v>219</v>
      </c>
      <c r="E204" s="34">
        <v>219</v>
      </c>
      <c r="F204" s="99"/>
      <c r="G204" s="34"/>
      <c r="H204" s="34"/>
      <c r="I204" s="34"/>
      <c r="J204" s="34"/>
      <c r="K204" s="34"/>
      <c r="L204" s="34"/>
      <c r="M204" s="34"/>
      <c r="N204" s="99"/>
    </row>
    <row r="205" spans="2:14" hidden="1">
      <c r="B205" s="106"/>
      <c r="C205" s="615">
        <v>58</v>
      </c>
      <c r="D205" s="616" t="str">
        <f t="shared" si="19"/>
        <v>244,5</v>
      </c>
      <c r="E205" s="34">
        <v>244.5</v>
      </c>
      <c r="F205" s="99"/>
      <c r="G205" s="34"/>
      <c r="H205" s="34"/>
      <c r="I205" s="34"/>
      <c r="J205" s="34"/>
      <c r="K205" s="34"/>
      <c r="L205" s="34"/>
      <c r="M205" s="34"/>
      <c r="N205" s="99"/>
    </row>
    <row r="206" spans="2:14" hidden="1">
      <c r="B206" s="106"/>
      <c r="C206" s="615">
        <v>59</v>
      </c>
      <c r="D206" s="616" t="str">
        <f t="shared" si="19"/>
        <v>273</v>
      </c>
      <c r="E206" s="34">
        <v>273</v>
      </c>
      <c r="F206" s="99"/>
      <c r="G206" s="34"/>
      <c r="H206" s="34"/>
      <c r="I206" s="34"/>
      <c r="J206" s="34"/>
      <c r="K206" s="34"/>
      <c r="L206" s="34"/>
      <c r="M206" s="34"/>
      <c r="N206" s="99"/>
    </row>
    <row r="207" spans="2:14" hidden="1">
      <c r="B207" s="106"/>
      <c r="C207" s="615">
        <v>60</v>
      </c>
      <c r="D207" s="616" t="str">
        <f t="shared" si="19"/>
        <v>325</v>
      </c>
      <c r="E207" s="34">
        <v>325</v>
      </c>
      <c r="F207" s="99"/>
      <c r="G207" s="34"/>
      <c r="H207" s="34"/>
      <c r="I207" s="34"/>
      <c r="J207" s="34"/>
      <c r="K207" s="34"/>
      <c r="L207" s="34"/>
      <c r="M207" s="34"/>
      <c r="N207" s="99"/>
    </row>
    <row r="208" spans="2:14" hidden="1">
      <c r="B208" s="106"/>
      <c r="C208" s="615">
        <v>61</v>
      </c>
      <c r="D208" s="616" t="str">
        <f t="shared" si="19"/>
        <v>355,6</v>
      </c>
      <c r="E208" s="34">
        <v>355.6</v>
      </c>
      <c r="F208" s="99"/>
      <c r="G208" s="34"/>
      <c r="H208" s="34"/>
      <c r="I208" s="34"/>
      <c r="J208" s="34"/>
      <c r="K208" s="34"/>
      <c r="L208" s="34"/>
      <c r="M208" s="34"/>
      <c r="N208" s="99"/>
    </row>
    <row r="209" spans="2:14" hidden="1">
      <c r="B209" s="106"/>
      <c r="C209" s="615">
        <v>62</v>
      </c>
      <c r="D209" s="616" t="str">
        <f t="shared" si="19"/>
        <v>377</v>
      </c>
      <c r="E209" s="34">
        <v>377</v>
      </c>
      <c r="F209" s="99"/>
      <c r="G209" s="34"/>
      <c r="H209" s="34"/>
      <c r="I209" s="34"/>
      <c r="J209" s="34"/>
      <c r="K209" s="34"/>
      <c r="L209" s="34"/>
      <c r="M209" s="34"/>
      <c r="N209" s="99"/>
    </row>
    <row r="210" spans="2:14" hidden="1">
      <c r="B210" s="106"/>
      <c r="C210" s="615">
        <v>63</v>
      </c>
      <c r="D210" s="616" t="str">
        <f t="shared" si="19"/>
        <v>406,4</v>
      </c>
      <c r="E210" s="34">
        <v>406.4</v>
      </c>
      <c r="F210" s="99"/>
      <c r="G210" s="34"/>
      <c r="H210" s="34"/>
      <c r="I210" s="34"/>
      <c r="J210" s="34"/>
      <c r="K210" s="34"/>
      <c r="L210" s="34"/>
      <c r="M210" s="34"/>
      <c r="N210" s="99"/>
    </row>
    <row r="211" spans="2:14" hidden="1">
      <c r="B211" s="106"/>
      <c r="C211" s="615">
        <v>64</v>
      </c>
      <c r="D211" s="616" t="str">
        <f t="shared" si="19"/>
        <v>426</v>
      </c>
      <c r="E211" s="34">
        <v>426</v>
      </c>
      <c r="F211" s="99"/>
      <c r="G211" s="34"/>
      <c r="H211" s="34"/>
      <c r="I211" s="34"/>
      <c r="J211" s="34"/>
      <c r="K211" s="34"/>
      <c r="L211" s="34"/>
      <c r="M211" s="34"/>
      <c r="N211" s="99"/>
    </row>
    <row r="212" spans="2:14" hidden="1">
      <c r="B212" s="106"/>
      <c r="C212" s="615">
        <v>65</v>
      </c>
      <c r="D212" s="616" t="str">
        <f>LEFT(F212,1)&amp;E212&amp;RIGHT(F212,1)</f>
        <v>(478)</v>
      </c>
      <c r="E212" s="34">
        <v>478</v>
      </c>
      <c r="F212" s="99" t="s">
        <v>790</v>
      </c>
      <c r="G212" s="34"/>
      <c r="H212" s="34"/>
      <c r="I212" s="34"/>
      <c r="J212" s="34"/>
      <c r="K212" s="34"/>
      <c r="L212" s="34"/>
      <c r="M212" s="34"/>
      <c r="N212" s="99"/>
    </row>
    <row r="213" spans="2:14" hidden="1">
      <c r="B213" s="106"/>
      <c r="C213" s="615">
        <v>66</v>
      </c>
      <c r="D213" s="616" t="str">
        <f>E213&amp;F213</f>
        <v>530</v>
      </c>
      <c r="E213" s="34">
        <v>530</v>
      </c>
      <c r="F213" s="99"/>
      <c r="G213" s="34"/>
      <c r="N213" s="99"/>
    </row>
    <row r="214" spans="2:14" hidden="1">
      <c r="B214" s="106"/>
      <c r="C214" s="615">
        <v>67</v>
      </c>
      <c r="D214" s="616" t="str">
        <f>E214&amp;F214</f>
        <v>630</v>
      </c>
      <c r="E214" s="34">
        <v>630</v>
      </c>
      <c r="F214" s="99"/>
      <c r="G214" s="34"/>
      <c r="N214" s="99"/>
    </row>
    <row r="215" spans="2:14" hidden="1">
      <c r="B215" s="106"/>
      <c r="C215" s="615">
        <v>68</v>
      </c>
      <c r="D215" s="616" t="str">
        <f>E215&amp;F215</f>
        <v>720</v>
      </c>
      <c r="E215" s="34">
        <v>720</v>
      </c>
      <c r="F215" s="99"/>
      <c r="G215" s="34"/>
      <c r="N215" s="99"/>
    </row>
    <row r="216" spans="2:14" hidden="1">
      <c r="B216" s="106"/>
      <c r="C216" s="615">
        <v>69</v>
      </c>
      <c r="D216" s="616" t="str">
        <f>E216&amp;F216</f>
        <v>820</v>
      </c>
      <c r="E216" s="34">
        <v>820</v>
      </c>
      <c r="F216" s="99"/>
      <c r="G216" s="34"/>
      <c r="H216" s="34"/>
      <c r="I216" s="34"/>
      <c r="J216" s="34"/>
      <c r="K216" s="34"/>
      <c r="L216" s="34"/>
      <c r="M216" s="34"/>
      <c r="N216" s="99"/>
    </row>
    <row r="217" spans="2:14" hidden="1">
      <c r="B217" s="106"/>
      <c r="C217" s="615">
        <v>70</v>
      </c>
      <c r="D217" s="616" t="str">
        <f>LEFT(F217,1)&amp;E217&amp;RIGHT(F217,1)</f>
        <v>920</v>
      </c>
      <c r="E217" s="34">
        <v>920</v>
      </c>
      <c r="F217" s="99"/>
      <c r="G217" s="34"/>
      <c r="N217" s="99"/>
    </row>
    <row r="218" spans="2:14" hidden="1">
      <c r="B218" s="106"/>
      <c r="C218" s="615">
        <v>71</v>
      </c>
      <c r="D218" s="616" t="str">
        <f>LEFT(F218,1)&amp;E218&amp;RIGHT(F218,1)</f>
        <v>1020</v>
      </c>
      <c r="E218" s="34">
        <v>1020</v>
      </c>
      <c r="F218" s="99"/>
      <c r="G218" s="34"/>
      <c r="N218" s="99"/>
    </row>
    <row r="219" spans="2:14" hidden="1">
      <c r="B219" s="106"/>
      <c r="C219" s="615">
        <v>72</v>
      </c>
      <c r="D219" s="616" t="str">
        <f>LEFT(F219,1)&amp;E219&amp;RIGHT(F219,1)</f>
        <v>1120</v>
      </c>
      <c r="E219" s="34">
        <v>1120</v>
      </c>
      <c r="F219" s="99"/>
      <c r="N219" s="99"/>
    </row>
    <row r="220" spans="2:14" hidden="1">
      <c r="B220" s="106"/>
      <c r="C220" s="615">
        <v>73</v>
      </c>
      <c r="D220" s="616" t="str">
        <f>LEFT(F220,1)&amp;E220&amp;RIGHT(F220,1)</f>
        <v>1220</v>
      </c>
      <c r="E220" s="34">
        <v>1220</v>
      </c>
      <c r="F220" s="99"/>
      <c r="N220" s="99"/>
    </row>
    <row r="221" spans="2:14" ht="13.5" hidden="1" thickBot="1">
      <c r="B221" s="106"/>
      <c r="C221" s="618">
        <v>74</v>
      </c>
      <c r="D221" s="620" t="str">
        <f>LEFT(F221,1)&amp;E221&amp;RIGHT(F221,1)</f>
        <v>1420</v>
      </c>
      <c r="E221" s="151">
        <v>1420</v>
      </c>
      <c r="F221" s="100"/>
      <c r="N221" s="99"/>
    </row>
    <row r="222" spans="2:14" ht="13.5" hidden="1" thickBot="1">
      <c r="B222" s="145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00"/>
    </row>
    <row r="223" spans="2:14" hidden="1"/>
    <row r="224" spans="2:14" hidden="1"/>
    <row r="225" spans="2:14" hidden="1"/>
    <row r="226" spans="2:14" hidden="1"/>
    <row r="227" spans="2:14" hidden="1"/>
    <row r="228" spans="2:14" hidden="1"/>
    <row r="229" spans="2:14" ht="13.5" hidden="1" thickBot="1"/>
    <row r="230" spans="2:14" hidden="1">
      <c r="B230" s="143"/>
      <c r="C230" s="150"/>
      <c r="D230" s="150"/>
      <c r="E230" s="150">
        <v>3</v>
      </c>
      <c r="F230" s="150"/>
      <c r="G230" s="613" t="s">
        <v>827</v>
      </c>
      <c r="H230" s="150"/>
      <c r="I230" s="150"/>
      <c r="J230" s="150"/>
      <c r="K230" s="150"/>
      <c r="L230" s="150"/>
      <c r="M230" s="150"/>
      <c r="N230" s="144"/>
    </row>
    <row r="231" spans="2:14" hidden="1">
      <c r="B231" s="106"/>
      <c r="C231" s="34"/>
      <c r="D231" s="34"/>
      <c r="E231" s="34"/>
      <c r="F231" s="34"/>
      <c r="G231" s="35" t="s">
        <v>828</v>
      </c>
      <c r="H231" s="34"/>
      <c r="I231" s="34"/>
      <c r="J231" s="83"/>
      <c r="K231" s="34"/>
      <c r="L231" s="34"/>
      <c r="M231" s="34"/>
      <c r="N231" s="99"/>
    </row>
    <row r="232" spans="2:14" ht="13.5" hidden="1" thickBot="1">
      <c r="B232" s="106"/>
      <c r="C232" s="34"/>
      <c r="D232" s="34"/>
      <c r="E232" s="611" t="s">
        <v>824</v>
      </c>
      <c r="F232" s="628" t="str">
        <f>IF(I236=0,"не производится",IF(OR(D236/I236&gt;40,AND(D236&lt;=20,I236&lt;=0.5)),"особотонкостенные",IF(OR(AND(D236/I236&gt;=12.5,D236/I236&lt;=40),AND(D236&lt;=20,I236&lt;=1.5)),"тонкостенные",IF(OR(AND(D236&lt;=9,I236=1.6),AND(D236&lt;=10,I236=1.8),AND(D236/I236&gt;=6,D236/I236&lt;=12.5)),"толстостенные",IF(D236/I236&lt;6,"особотолстостенные")))))</f>
        <v>особотонкостенные</v>
      </c>
      <c r="G232" s="628" t="str">
        <f>IF(I236=0,"",IF(OR(AND(D236&gt;=100,D236/I236&gt;50),D236/I236&lt;4),"поставляются по согласованной с заказчиком технической документации",""))</f>
        <v>поставляются по согласованной с заказчиком технической документации</v>
      </c>
      <c r="H232" s="34"/>
      <c r="I232" s="34"/>
      <c r="J232" s="623"/>
      <c r="K232" s="34"/>
      <c r="L232" s="34"/>
      <c r="M232" s="34"/>
      <c r="N232" s="99"/>
    </row>
    <row r="233" spans="2:14" ht="13.5" hidden="1" thickBot="1">
      <c r="B233" s="106"/>
      <c r="C233" s="34"/>
      <c r="D233" s="34"/>
      <c r="E233" s="611" t="s">
        <v>774</v>
      </c>
      <c r="F233" s="610">
        <f>(($J$233^2+$J$234^2)/4)^0.5</f>
        <v>5.5691673524863656</v>
      </c>
      <c r="G233" s="251" t="s">
        <v>1549</v>
      </c>
      <c r="H233" s="34"/>
      <c r="I233" s="606" t="s">
        <v>775</v>
      </c>
      <c r="J233" s="613">
        <f>K233/10/2</f>
        <v>8</v>
      </c>
      <c r="K233" s="143">
        <f>D236</f>
        <v>160</v>
      </c>
      <c r="L233" s="144" t="s">
        <v>776</v>
      </c>
      <c r="M233" s="34"/>
      <c r="N233" s="99"/>
    </row>
    <row r="234" spans="2:14" ht="13.5" hidden="1" thickBot="1">
      <c r="B234" s="106"/>
      <c r="C234" s="34"/>
      <c r="D234" s="34"/>
      <c r="E234" s="207" t="s">
        <v>777</v>
      </c>
      <c r="F234" s="205">
        <f>0.02466148*I236*(D236-I236)</f>
        <v>9.7104577499999998</v>
      </c>
      <c r="G234" s="34" t="s">
        <v>1483</v>
      </c>
      <c r="H234" s="34"/>
      <c r="I234" s="612" t="s">
        <v>778</v>
      </c>
      <c r="J234" s="614">
        <f>J233-K234/10</f>
        <v>7.75</v>
      </c>
      <c r="K234" s="145">
        <f>I236</f>
        <v>2.5</v>
      </c>
      <c r="L234" s="100" t="s">
        <v>779</v>
      </c>
      <c r="M234" s="34"/>
      <c r="N234" s="99"/>
    </row>
    <row r="235" spans="2:14" ht="15" hidden="1" thickBot="1">
      <c r="B235" s="106"/>
      <c r="C235" s="34"/>
      <c r="D235" s="34"/>
      <c r="E235" s="406" t="s">
        <v>1486</v>
      </c>
      <c r="F235" s="622">
        <f>PI()*((D236/10/2)^2-((D236-2*I236)/10/2)^2)</f>
        <v>12.370021073509811</v>
      </c>
      <c r="G235" s="34" t="s">
        <v>1487</v>
      </c>
      <c r="H235" s="34"/>
      <c r="I235" s="34"/>
      <c r="J235" s="34"/>
      <c r="K235" s="34"/>
      <c r="L235" s="34"/>
      <c r="M235" s="34"/>
      <c r="N235" s="99"/>
    </row>
    <row r="236" spans="2:14" ht="13.5" hidden="1" thickBot="1">
      <c r="B236" s="106"/>
      <c r="C236" s="1227">
        <v>63</v>
      </c>
      <c r="D236" s="621">
        <f>VLOOKUP(C236,C238:F308,3,FALSE)</f>
        <v>160</v>
      </c>
      <c r="E236" s="150"/>
      <c r="F236" s="144"/>
      <c r="G236" s="34"/>
      <c r="H236" s="1227">
        <v>14</v>
      </c>
      <c r="I236" s="621">
        <f>VLOOKUP(H236,H238:M276,4,FALSE)</f>
        <v>2.5</v>
      </c>
      <c r="J236" s="150"/>
      <c r="K236" s="150"/>
      <c r="L236" s="150"/>
      <c r="M236" s="144"/>
      <c r="N236" s="99"/>
    </row>
    <row r="237" spans="2:14" hidden="1">
      <c r="B237" s="106"/>
      <c r="C237" s="106"/>
      <c r="D237" s="34" t="s">
        <v>780</v>
      </c>
      <c r="E237" s="34"/>
      <c r="F237" s="99"/>
      <c r="G237" s="34"/>
      <c r="H237" s="106"/>
      <c r="I237" s="34"/>
      <c r="J237" s="34" t="s">
        <v>781</v>
      </c>
      <c r="K237" s="34"/>
      <c r="L237" s="34"/>
      <c r="M237" s="99"/>
      <c r="N237" s="99"/>
    </row>
    <row r="238" spans="2:14" hidden="1">
      <c r="B238" s="106"/>
      <c r="C238" s="615">
        <v>1</v>
      </c>
      <c r="D238" s="616" t="str">
        <f>E238&amp;F238</f>
        <v>5</v>
      </c>
      <c r="E238" s="34">
        <v>5</v>
      </c>
      <c r="F238" s="99"/>
      <c r="G238" s="34"/>
      <c r="H238" s="615">
        <v>1</v>
      </c>
      <c r="I238" s="34">
        <v>1</v>
      </c>
      <c r="J238" s="616" t="str">
        <f>K238&amp;L238</f>
        <v>0</v>
      </c>
      <c r="K238" s="34">
        <f>IF($C$236&gt;16,0,M238)</f>
        <v>0</v>
      </c>
      <c r="L238" s="34"/>
      <c r="M238" s="99">
        <v>0.3</v>
      </c>
      <c r="N238" s="99"/>
    </row>
    <row r="239" spans="2:14" hidden="1">
      <c r="B239" s="106"/>
      <c r="C239" s="615">
        <v>2</v>
      </c>
      <c r="D239" s="616" t="str">
        <f>E239&amp;F239</f>
        <v>6</v>
      </c>
      <c r="E239" s="34">
        <v>6</v>
      </c>
      <c r="F239" s="99"/>
      <c r="G239" s="34"/>
      <c r="H239" s="615">
        <v>2</v>
      </c>
      <c r="I239" s="34">
        <v>1.2</v>
      </c>
      <c r="J239" s="616" t="str">
        <f>K239&amp;L239</f>
        <v>0</v>
      </c>
      <c r="K239" s="34">
        <f>IF($C$236&gt;31,0,M239)</f>
        <v>0</v>
      </c>
      <c r="L239" s="34"/>
      <c r="M239" s="99">
        <v>0.4</v>
      </c>
      <c r="N239" s="99"/>
    </row>
    <row r="240" spans="2:14" hidden="1">
      <c r="B240" s="106"/>
      <c r="C240" s="615">
        <v>3</v>
      </c>
      <c r="D240" s="616" t="str">
        <f>E240&amp;F240</f>
        <v>7</v>
      </c>
      <c r="E240" s="34">
        <v>7</v>
      </c>
      <c r="F240" s="99"/>
      <c r="G240" s="34"/>
      <c r="H240" s="615">
        <v>3</v>
      </c>
      <c r="I240" s="34">
        <v>1.4</v>
      </c>
      <c r="J240" s="616" t="str">
        <f>K240&amp;L240</f>
        <v>0</v>
      </c>
      <c r="K240" s="34">
        <f>IF($C$236&gt;31,0,M240)</f>
        <v>0</v>
      </c>
      <c r="L240" s="34"/>
      <c r="M240" s="99">
        <v>0.5</v>
      </c>
      <c r="N240" s="99"/>
    </row>
    <row r="241" spans="2:14" hidden="1">
      <c r="B241" s="106"/>
      <c r="C241" s="615">
        <v>4</v>
      </c>
      <c r="D241" s="616" t="str">
        <f>E241&amp;F241</f>
        <v>8</v>
      </c>
      <c r="E241" s="34">
        <v>8</v>
      </c>
      <c r="F241" s="99"/>
      <c r="G241" s="34"/>
      <c r="H241" s="615">
        <v>4</v>
      </c>
      <c r="I241" s="627" t="s">
        <v>825</v>
      </c>
      <c r="J241" s="616" t="str">
        <f>LEFT(L241,1)&amp;K241&amp;RIGHT(L241,1)</f>
        <v>0</v>
      </c>
      <c r="K241" s="34">
        <f>IF($C$236&gt;31,0,M241)</f>
        <v>0</v>
      </c>
      <c r="L241" s="34"/>
      <c r="M241" s="99">
        <v>0.6</v>
      </c>
      <c r="N241" s="99"/>
    </row>
    <row r="242" spans="2:14" hidden="1">
      <c r="B242" s="106"/>
      <c r="C242" s="615">
        <v>5</v>
      </c>
      <c r="D242" s="616" t="str">
        <f>E242&amp;F242</f>
        <v>9</v>
      </c>
      <c r="E242" s="34">
        <v>9</v>
      </c>
      <c r="F242" s="99"/>
      <c r="G242" s="34"/>
      <c r="H242" s="615">
        <v>5</v>
      </c>
      <c r="I242" s="34">
        <v>1.6</v>
      </c>
      <c r="J242" s="616" t="str">
        <f t="shared" ref="J242:J248" si="20">K242&amp;L242</f>
        <v>0</v>
      </c>
      <c r="K242" s="34">
        <f>IF($C$236&gt;31,0,M242)</f>
        <v>0</v>
      </c>
      <c r="L242" s="34"/>
      <c r="M242" s="99">
        <v>0.8</v>
      </c>
      <c r="N242" s="99"/>
    </row>
    <row r="243" spans="2:14" hidden="1">
      <c r="B243" s="106"/>
      <c r="C243" s="615">
        <v>6</v>
      </c>
      <c r="D243" s="616" t="str">
        <f>LEFT(F243,1)&amp;E243&amp;RIGHT(F243,1)</f>
        <v>10</v>
      </c>
      <c r="E243" s="34">
        <v>10</v>
      </c>
      <c r="F243" s="99"/>
      <c r="G243" s="34"/>
      <c r="H243" s="615">
        <v>6</v>
      </c>
      <c r="I243" s="34">
        <v>1.8</v>
      </c>
      <c r="J243" s="616" t="str">
        <f t="shared" si="20"/>
        <v>0</v>
      </c>
      <c r="K243" s="34">
        <f>IF($C$236&gt;48,0,M243)</f>
        <v>0</v>
      </c>
      <c r="L243" s="34"/>
      <c r="M243" s="99">
        <v>1</v>
      </c>
      <c r="N243" s="99"/>
    </row>
    <row r="244" spans="2:14" hidden="1">
      <c r="B244" s="106"/>
      <c r="C244" s="615">
        <v>7</v>
      </c>
      <c r="D244" s="616" t="str">
        <f>E244&amp;F244</f>
        <v>11</v>
      </c>
      <c r="E244" s="34">
        <v>11</v>
      </c>
      <c r="F244" s="99"/>
      <c r="G244" s="34"/>
      <c r="H244" s="615">
        <v>7</v>
      </c>
      <c r="I244" s="34">
        <v>2</v>
      </c>
      <c r="J244" s="616" t="str">
        <f t="shared" si="20"/>
        <v>0</v>
      </c>
      <c r="K244" s="34">
        <f>IF($C$236&gt;54,0,M244)</f>
        <v>0</v>
      </c>
      <c r="L244" s="34"/>
      <c r="M244" s="99">
        <v>1.2</v>
      </c>
      <c r="N244" s="99"/>
    </row>
    <row r="245" spans="2:14" hidden="1">
      <c r="B245" s="106"/>
      <c r="C245" s="615">
        <v>8</v>
      </c>
      <c r="D245" s="616" t="str">
        <f>LEFT(F245,1)&amp;E245&amp;RIGHT(F245,1)</f>
        <v>12</v>
      </c>
      <c r="E245" s="34">
        <v>12</v>
      </c>
      <c r="F245" s="99"/>
      <c r="G245" s="34"/>
      <c r="H245" s="615">
        <v>8</v>
      </c>
      <c r="I245" s="34">
        <v>2.2000000000000002</v>
      </c>
      <c r="J245" s="616" t="str">
        <f t="shared" si="20"/>
        <v>0</v>
      </c>
      <c r="K245" s="34">
        <f>IF($C$236&gt;54,0,M245)</f>
        <v>0</v>
      </c>
      <c r="L245" s="34"/>
      <c r="M245" s="99">
        <v>1.4</v>
      </c>
      <c r="N245" s="99"/>
    </row>
    <row r="246" spans="2:14" hidden="1">
      <c r="B246" s="106"/>
      <c r="C246" s="615">
        <v>9</v>
      </c>
      <c r="D246" s="616" t="str">
        <f>E246&amp;F246</f>
        <v>13</v>
      </c>
      <c r="E246" s="34">
        <v>13</v>
      </c>
      <c r="F246" s="99"/>
      <c r="G246" s="34"/>
      <c r="H246" s="615">
        <v>9</v>
      </c>
      <c r="I246" s="34">
        <v>2.5</v>
      </c>
      <c r="J246" s="616" t="str">
        <f t="shared" si="20"/>
        <v>0</v>
      </c>
      <c r="K246" s="34">
        <f>IF($C$236&gt;60,0,M246)</f>
        <v>0</v>
      </c>
      <c r="L246" s="34"/>
      <c r="M246" s="99">
        <v>1.5</v>
      </c>
      <c r="N246" s="99"/>
    </row>
    <row r="247" spans="2:14" hidden="1">
      <c r="B247" s="106"/>
      <c r="C247" s="615">
        <v>10</v>
      </c>
      <c r="D247" s="616" t="str">
        <f>E247&amp;F247</f>
        <v>14</v>
      </c>
      <c r="E247" s="34">
        <v>14</v>
      </c>
      <c r="F247" s="99"/>
      <c r="G247" s="34"/>
      <c r="H247" s="615">
        <v>10</v>
      </c>
      <c r="I247" s="34">
        <v>2.8</v>
      </c>
      <c r="J247" s="616" t="str">
        <f t="shared" si="20"/>
        <v>0</v>
      </c>
      <c r="K247" s="34">
        <f>IF(OR($C$236&lt;2,$C$236&gt;61),0,M247)</f>
        <v>0</v>
      </c>
      <c r="L247" s="34"/>
      <c r="M247" s="99">
        <v>1.6</v>
      </c>
      <c r="N247" s="99"/>
    </row>
    <row r="248" spans="2:14" hidden="1">
      <c r="B248" s="106"/>
      <c r="C248" s="615">
        <v>11</v>
      </c>
      <c r="D248" s="616" t="str">
        <f>E248&amp;F248</f>
        <v>15</v>
      </c>
      <c r="E248" s="34">
        <v>15</v>
      </c>
      <c r="F248" s="99"/>
      <c r="G248" s="34"/>
      <c r="H248" s="615">
        <v>11</v>
      </c>
      <c r="I248" s="34">
        <v>3</v>
      </c>
      <c r="J248" s="616" t="str">
        <f t="shared" si="20"/>
        <v>0</v>
      </c>
      <c r="K248" s="34">
        <f>IF(OR($C$236&lt;2,$C$236&gt;62),0,M248)</f>
        <v>0</v>
      </c>
      <c r="L248" s="34"/>
      <c r="M248" s="99">
        <v>1.8</v>
      </c>
      <c r="N248" s="99"/>
    </row>
    <row r="249" spans="2:14" hidden="1">
      <c r="B249" s="106"/>
      <c r="C249" s="615">
        <v>12</v>
      </c>
      <c r="D249" s="616" t="str">
        <f>E249&amp;F249</f>
        <v>16</v>
      </c>
      <c r="E249" s="34">
        <v>16</v>
      </c>
      <c r="F249" s="99"/>
      <c r="G249" s="34"/>
      <c r="H249" s="615">
        <v>12</v>
      </c>
      <c r="I249" s="34">
        <v>3.2</v>
      </c>
      <c r="J249" s="616" t="str">
        <f>LEFT(L249,1)&amp;K249&amp;RIGHT(L249,1)</f>
        <v>2</v>
      </c>
      <c r="K249" s="34">
        <f>IF(OR($C$236&lt;2,$C$236&gt;65),0,M249)</f>
        <v>2</v>
      </c>
      <c r="L249" s="34"/>
      <c r="M249" s="99">
        <v>2</v>
      </c>
      <c r="N249" s="99"/>
    </row>
    <row r="250" spans="2:14" hidden="1">
      <c r="B250" s="106"/>
      <c r="C250" s="615">
        <v>13</v>
      </c>
      <c r="D250" s="616" t="str">
        <f>E250&amp;F250</f>
        <v>17</v>
      </c>
      <c r="E250" s="34">
        <v>17</v>
      </c>
      <c r="F250" s="99"/>
      <c r="G250" s="34"/>
      <c r="H250" s="615">
        <v>13</v>
      </c>
      <c r="I250" s="34">
        <v>3.5</v>
      </c>
      <c r="J250" s="616" t="str">
        <f>K250&amp;L250</f>
        <v>2,2</v>
      </c>
      <c r="K250" s="34">
        <f>IF(OR($C$236&lt;3,$C$236&gt;65),0,M250)</f>
        <v>2.2000000000000002</v>
      </c>
      <c r="L250" s="34"/>
      <c r="M250" s="99">
        <v>2.2000000000000002</v>
      </c>
      <c r="N250" s="99"/>
    </row>
    <row r="251" spans="2:14" hidden="1">
      <c r="B251" s="106"/>
      <c r="C251" s="615">
        <v>14</v>
      </c>
      <c r="D251" s="616" t="str">
        <f>LEFT(F251,1)&amp;E251&amp;RIGHT(F251,1)</f>
        <v>18</v>
      </c>
      <c r="E251" s="34">
        <v>18</v>
      </c>
      <c r="F251" s="99"/>
      <c r="G251" s="34"/>
      <c r="H251" s="615">
        <v>14</v>
      </c>
      <c r="I251" s="34">
        <v>3.8</v>
      </c>
      <c r="J251" s="616" t="str">
        <f>LEFT(L251,1)&amp;K251&amp;RIGHT(L251,1)</f>
        <v>2,5</v>
      </c>
      <c r="K251" s="34">
        <f>IF(OR($C$236&lt;3,$C$236&gt;65),0,M251)</f>
        <v>2.5</v>
      </c>
      <c r="L251" s="34"/>
      <c r="M251" s="99">
        <v>2.5</v>
      </c>
      <c r="N251" s="99"/>
    </row>
    <row r="252" spans="2:14" hidden="1">
      <c r="B252" s="106"/>
      <c r="C252" s="615">
        <v>15</v>
      </c>
      <c r="D252" s="616" t="str">
        <f t="shared" ref="D252:D301" si="21">E252&amp;F252</f>
        <v>19</v>
      </c>
      <c r="E252" s="34">
        <v>19</v>
      </c>
      <c r="F252" s="99"/>
      <c r="G252" s="34"/>
      <c r="H252" s="615">
        <v>15</v>
      </c>
      <c r="I252" s="34">
        <v>4</v>
      </c>
      <c r="J252" s="616" t="str">
        <f>K252&amp;L252</f>
        <v>2,8</v>
      </c>
      <c r="K252" s="34">
        <f>IF(OR($C$236&lt;6,$C$236&gt;66),0,M252)</f>
        <v>2.8</v>
      </c>
      <c r="L252" s="34"/>
      <c r="M252" s="99">
        <v>2.8</v>
      </c>
      <c r="N252" s="99"/>
    </row>
    <row r="253" spans="2:14" hidden="1">
      <c r="B253" s="106"/>
      <c r="C253" s="615">
        <v>16</v>
      </c>
      <c r="D253" s="616" t="str">
        <f t="shared" si="21"/>
        <v>20</v>
      </c>
      <c r="E253" s="34">
        <v>20</v>
      </c>
      <c r="F253" s="99"/>
      <c r="G253" s="34"/>
      <c r="H253" s="615">
        <v>16</v>
      </c>
      <c r="I253" s="34">
        <v>4.5</v>
      </c>
      <c r="J253" s="616" t="str">
        <f>LEFT(L253,1)&amp;K253&amp;RIGHT(L253,1)</f>
        <v>3</v>
      </c>
      <c r="K253" s="34">
        <f>IF(OR($C$236&lt;6,$C$236&gt;69),0,M253)</f>
        <v>3</v>
      </c>
      <c r="L253" s="34"/>
      <c r="M253" s="99">
        <v>3</v>
      </c>
      <c r="N253" s="99"/>
    </row>
    <row r="254" spans="2:14" hidden="1">
      <c r="B254" s="106"/>
      <c r="C254" s="615">
        <v>17</v>
      </c>
      <c r="D254" s="616" t="str">
        <f t="shared" si="21"/>
        <v>21</v>
      </c>
      <c r="E254" s="34">
        <v>21</v>
      </c>
      <c r="F254" s="99"/>
      <c r="G254" s="34"/>
      <c r="H254" s="615">
        <v>17</v>
      </c>
      <c r="I254" s="34">
        <v>5</v>
      </c>
      <c r="J254" s="616" t="str">
        <f>K254&amp;L254</f>
        <v>3,2</v>
      </c>
      <c r="K254" s="34">
        <f>IF(OR($C$236&lt;6,$C$236&gt;69),0,M254)</f>
        <v>3.2</v>
      </c>
      <c r="L254" s="34"/>
      <c r="M254" s="99">
        <v>3.2</v>
      </c>
      <c r="N254" s="99"/>
    </row>
    <row r="255" spans="2:14" hidden="1">
      <c r="B255" s="106"/>
      <c r="C255" s="615">
        <v>18</v>
      </c>
      <c r="D255" s="616" t="str">
        <f t="shared" si="21"/>
        <v>22</v>
      </c>
      <c r="E255" s="34">
        <v>22</v>
      </c>
      <c r="F255" s="99"/>
      <c r="G255" s="34"/>
      <c r="H255" s="615">
        <v>18</v>
      </c>
      <c r="I255" s="34">
        <v>5.5</v>
      </c>
      <c r="J255" s="616" t="str">
        <f>LEFT(L255,1)&amp;K255&amp;RIGHT(L255,1)</f>
        <v>3,5</v>
      </c>
      <c r="K255" s="34">
        <f>IF(OR($C$236&lt;6,$C$236&gt;69),0,M255)</f>
        <v>3.5</v>
      </c>
      <c r="L255" s="34"/>
      <c r="M255" s="99">
        <v>3.5</v>
      </c>
      <c r="N255" s="99"/>
    </row>
    <row r="256" spans="2:14" hidden="1">
      <c r="B256" s="106"/>
      <c r="C256" s="615">
        <v>19</v>
      </c>
      <c r="D256" s="616" t="str">
        <f t="shared" si="21"/>
        <v>23</v>
      </c>
      <c r="E256" s="34">
        <v>23</v>
      </c>
      <c r="F256" s="99"/>
      <c r="G256" s="34"/>
      <c r="H256" s="615">
        <v>19</v>
      </c>
      <c r="I256" s="34">
        <v>6</v>
      </c>
      <c r="J256" s="616" t="str">
        <f>K256&amp;L256</f>
        <v>4</v>
      </c>
      <c r="K256" s="34">
        <f>IF(OR($C$236&lt;9,$C$236&gt;69),0,M256)</f>
        <v>4</v>
      </c>
      <c r="L256" s="34"/>
      <c r="M256" s="99">
        <v>4</v>
      </c>
      <c r="N256" s="99"/>
    </row>
    <row r="257" spans="2:14" hidden="1">
      <c r="B257" s="106"/>
      <c r="C257" s="615">
        <v>20</v>
      </c>
      <c r="D257" s="616" t="str">
        <f t="shared" si="21"/>
        <v>24</v>
      </c>
      <c r="E257" s="34">
        <v>24</v>
      </c>
      <c r="F257" s="99"/>
      <c r="G257" s="34"/>
      <c r="H257" s="615">
        <v>20</v>
      </c>
      <c r="I257" s="34">
        <v>7</v>
      </c>
      <c r="J257" s="616" t="str">
        <f>K257&amp;L257</f>
        <v>4,5</v>
      </c>
      <c r="K257" s="34">
        <f>IF($C$236&lt;12,0,M257)</f>
        <v>4.5</v>
      </c>
      <c r="L257" s="34"/>
      <c r="M257" s="99">
        <v>4.5</v>
      </c>
      <c r="N257" s="99"/>
    </row>
    <row r="258" spans="2:14" hidden="1">
      <c r="B258" s="106"/>
      <c r="C258" s="615">
        <v>21</v>
      </c>
      <c r="D258" s="616" t="str">
        <f t="shared" si="21"/>
        <v>25</v>
      </c>
      <c r="E258" s="34">
        <v>25</v>
      </c>
      <c r="F258" s="99"/>
      <c r="G258" s="34"/>
      <c r="H258" s="615">
        <v>21</v>
      </c>
      <c r="I258" s="34">
        <v>8</v>
      </c>
      <c r="J258" s="616" t="str">
        <f>K258&amp;L258</f>
        <v>5</v>
      </c>
      <c r="K258" s="34">
        <f>IF($C$236&lt;12,0,M258)</f>
        <v>5</v>
      </c>
      <c r="L258" s="34"/>
      <c r="M258" s="99">
        <v>5</v>
      </c>
      <c r="N258" s="99"/>
    </row>
    <row r="259" spans="2:14" hidden="1">
      <c r="B259" s="106"/>
      <c r="C259" s="615">
        <v>22</v>
      </c>
      <c r="D259" s="616" t="str">
        <f t="shared" si="21"/>
        <v>26</v>
      </c>
      <c r="E259" s="34">
        <v>26</v>
      </c>
      <c r="F259" s="99"/>
      <c r="G259" s="34"/>
      <c r="H259" s="615">
        <v>22</v>
      </c>
      <c r="I259" s="34">
        <v>9</v>
      </c>
      <c r="J259" s="616" t="str">
        <f>LEFT(L259,1)&amp;K259&amp;RIGHT(L259,1)</f>
        <v>5,5</v>
      </c>
      <c r="K259" s="34">
        <f>IF($C$236&lt;16,0,M259)</f>
        <v>5.5</v>
      </c>
      <c r="L259" s="34"/>
      <c r="M259" s="99">
        <v>5.5</v>
      </c>
      <c r="N259" s="99"/>
    </row>
    <row r="260" spans="2:14" hidden="1">
      <c r="B260" s="106"/>
      <c r="C260" s="615">
        <v>23</v>
      </c>
      <c r="D260" s="616" t="str">
        <f t="shared" si="21"/>
        <v>27</v>
      </c>
      <c r="E260" s="34">
        <v>27</v>
      </c>
      <c r="F260" s="99"/>
      <c r="G260" s="34"/>
      <c r="H260" s="615">
        <v>23</v>
      </c>
      <c r="I260" s="34">
        <v>10</v>
      </c>
      <c r="J260" s="616" t="str">
        <f>K260&amp;L260</f>
        <v>6</v>
      </c>
      <c r="K260" s="34">
        <f>IF($C$236&lt;16,0,M260)</f>
        <v>6</v>
      </c>
      <c r="L260" s="34"/>
      <c r="M260" s="99">
        <v>6</v>
      </c>
      <c r="N260" s="99"/>
    </row>
    <row r="261" spans="2:14" hidden="1">
      <c r="B261" s="106"/>
      <c r="C261" s="615">
        <v>24</v>
      </c>
      <c r="D261" s="616" t="str">
        <f t="shared" si="21"/>
        <v>28</v>
      </c>
      <c r="E261" s="34">
        <v>28</v>
      </c>
      <c r="F261" s="99"/>
      <c r="G261" s="34"/>
      <c r="H261" s="615">
        <v>24</v>
      </c>
      <c r="I261" s="34">
        <v>11</v>
      </c>
      <c r="J261" s="616" t="str">
        <f>LEFT(L261,1)&amp;K261&amp;RIGHT(L261,1)</f>
        <v>6,5</v>
      </c>
      <c r="K261" s="34">
        <f>IF($C$236&lt;20,0,M261)</f>
        <v>6.5</v>
      </c>
      <c r="L261" s="34"/>
      <c r="M261" s="99">
        <v>6.5</v>
      </c>
      <c r="N261" s="99"/>
    </row>
    <row r="262" spans="2:14" hidden="1">
      <c r="B262" s="106"/>
      <c r="C262" s="615">
        <v>25</v>
      </c>
      <c r="D262" s="616" t="str">
        <f t="shared" si="21"/>
        <v>30</v>
      </c>
      <c r="E262" s="34">
        <v>30</v>
      </c>
      <c r="F262" s="99"/>
      <c r="G262" s="34"/>
      <c r="H262" s="615">
        <v>25</v>
      </c>
      <c r="I262" s="34">
        <v>12</v>
      </c>
      <c r="J262" s="616" t="str">
        <f>K262&amp;L262</f>
        <v>7</v>
      </c>
      <c r="K262" s="34">
        <f>IF($C$236&lt;21,0,M262)</f>
        <v>7</v>
      </c>
      <c r="L262" s="34"/>
      <c r="M262" s="99">
        <v>7</v>
      </c>
      <c r="N262" s="99"/>
    </row>
    <row r="263" spans="2:14" hidden="1">
      <c r="B263" s="106"/>
      <c r="C263" s="615">
        <v>26</v>
      </c>
      <c r="D263" s="616" t="str">
        <f t="shared" si="21"/>
        <v>32</v>
      </c>
      <c r="E263" s="34">
        <v>32</v>
      </c>
      <c r="F263" s="99"/>
      <c r="G263" s="34"/>
      <c r="H263" s="615">
        <v>26</v>
      </c>
      <c r="I263" s="34">
        <v>13</v>
      </c>
      <c r="J263" s="616" t="str">
        <f>K263&amp;L263</f>
        <v>7,5</v>
      </c>
      <c r="K263" s="34">
        <f>IF($C$236&lt;25,0,M263)</f>
        <v>7.5</v>
      </c>
      <c r="L263" s="34"/>
      <c r="M263" s="99">
        <v>7.5</v>
      </c>
      <c r="N263" s="99"/>
    </row>
    <row r="264" spans="2:14" hidden="1">
      <c r="B264" s="106"/>
      <c r="C264" s="615">
        <v>27</v>
      </c>
      <c r="D264" s="616" t="str">
        <f t="shared" si="21"/>
        <v>34</v>
      </c>
      <c r="E264" s="34">
        <v>34</v>
      </c>
      <c r="F264" s="99"/>
      <c r="G264" s="34"/>
      <c r="H264" s="615">
        <v>27</v>
      </c>
      <c r="I264" s="34">
        <v>14</v>
      </c>
      <c r="J264" s="616" t="str">
        <f>K264&amp;L264</f>
        <v>8</v>
      </c>
      <c r="K264" s="34">
        <f>IF($C$236&lt;25,0,M264)</f>
        <v>8</v>
      </c>
      <c r="L264" s="34"/>
      <c r="M264" s="99">
        <v>8</v>
      </c>
      <c r="N264" s="99"/>
    </row>
    <row r="265" spans="2:14" hidden="1">
      <c r="B265" s="106"/>
      <c r="C265" s="615">
        <v>28</v>
      </c>
      <c r="D265" s="616" t="str">
        <f t="shared" si="21"/>
        <v>35</v>
      </c>
      <c r="E265" s="34">
        <v>35</v>
      </c>
      <c r="F265" s="99"/>
      <c r="G265" s="34"/>
      <c r="H265" s="615">
        <v>28</v>
      </c>
      <c r="I265" s="34">
        <v>16</v>
      </c>
      <c r="J265" s="616" t="str">
        <f>LEFT(L265,1)&amp;K265&amp;RIGHT(L265,1)</f>
        <v>8,5</v>
      </c>
      <c r="K265" s="34">
        <f>IF($C$236&lt;30,0,M265)</f>
        <v>8.5</v>
      </c>
      <c r="L265" s="34"/>
      <c r="M265" s="99">
        <v>8.5</v>
      </c>
      <c r="N265" s="99"/>
    </row>
    <row r="266" spans="2:14" hidden="1">
      <c r="B266" s="106"/>
      <c r="C266" s="615">
        <v>29</v>
      </c>
      <c r="D266" s="616" t="str">
        <f t="shared" si="21"/>
        <v>36</v>
      </c>
      <c r="E266" s="34">
        <v>36</v>
      </c>
      <c r="F266" s="99"/>
      <c r="G266" s="34"/>
      <c r="H266" s="615">
        <v>29</v>
      </c>
      <c r="I266" s="627" t="s">
        <v>826</v>
      </c>
      <c r="J266" s="616" t="str">
        <f>LEFT(L266,1)&amp;K266&amp;RIGHT(L266,1)</f>
        <v>9</v>
      </c>
      <c r="K266" s="34">
        <f>IF($C$236&lt;30,0,M266)</f>
        <v>9</v>
      </c>
      <c r="L266" s="34"/>
      <c r="M266" s="99">
        <v>9</v>
      </c>
      <c r="N266" s="99"/>
    </row>
    <row r="267" spans="2:14" hidden="1">
      <c r="B267" s="106"/>
      <c r="C267" s="615">
        <v>30</v>
      </c>
      <c r="D267" s="616" t="str">
        <f t="shared" si="21"/>
        <v>38</v>
      </c>
      <c r="E267" s="34">
        <v>38</v>
      </c>
      <c r="F267" s="99"/>
      <c r="G267" s="34"/>
      <c r="H267" s="615">
        <v>30</v>
      </c>
      <c r="I267" s="34">
        <v>17.5</v>
      </c>
      <c r="J267" s="616" t="str">
        <f>K267&amp;L267</f>
        <v>9,5</v>
      </c>
      <c r="K267" s="34">
        <f>IF($C$236&lt;33,0,M267)</f>
        <v>9.5</v>
      </c>
      <c r="L267" s="34"/>
      <c r="M267" s="99">
        <v>9.5</v>
      </c>
      <c r="N267" s="99"/>
    </row>
    <row r="268" spans="2:14" hidden="1">
      <c r="B268" s="106"/>
      <c r="C268" s="615">
        <v>31</v>
      </c>
      <c r="D268" s="616" t="str">
        <f t="shared" si="21"/>
        <v>40</v>
      </c>
      <c r="E268" s="34">
        <v>40</v>
      </c>
      <c r="F268" s="99"/>
      <c r="G268" s="34"/>
      <c r="H268" s="615">
        <v>31</v>
      </c>
      <c r="I268" s="34">
        <v>18</v>
      </c>
      <c r="J268" s="616" t="str">
        <f>LEFT(L268,1)&amp;K268&amp;RIGHT(L268,1)</f>
        <v>10</v>
      </c>
      <c r="K268" s="34">
        <f>IF($C$236&lt;33,0,M268)</f>
        <v>10</v>
      </c>
      <c r="L268" s="34"/>
      <c r="M268" s="99">
        <v>10</v>
      </c>
      <c r="N268" s="99"/>
    </row>
    <row r="269" spans="2:14" hidden="1">
      <c r="B269" s="106"/>
      <c r="C269" s="615">
        <v>32</v>
      </c>
      <c r="D269" s="616" t="str">
        <f t="shared" si="21"/>
        <v>42</v>
      </c>
      <c r="E269" s="34">
        <v>42</v>
      </c>
      <c r="F269" s="99"/>
      <c r="G269" s="34"/>
      <c r="H269" s="615">
        <v>32</v>
      </c>
      <c r="I269" s="34">
        <v>19</v>
      </c>
      <c r="J269" s="616" t="str">
        <f>K269&amp;L269</f>
        <v>11</v>
      </c>
      <c r="K269" s="34">
        <f>IF($C$236&lt;35,0,M269)</f>
        <v>11</v>
      </c>
      <c r="L269" s="34"/>
      <c r="M269" s="99">
        <v>11</v>
      </c>
      <c r="N269" s="99"/>
    </row>
    <row r="270" spans="2:14" hidden="1">
      <c r="B270" s="106"/>
      <c r="C270" s="615">
        <v>33</v>
      </c>
      <c r="D270" s="616" t="str">
        <f t="shared" si="21"/>
        <v>45</v>
      </c>
      <c r="E270" s="34">
        <v>45</v>
      </c>
      <c r="F270" s="99"/>
      <c r="G270" s="34"/>
      <c r="H270" s="615">
        <v>33</v>
      </c>
      <c r="I270" s="34">
        <v>20</v>
      </c>
      <c r="J270" s="616" t="str">
        <f>LEFT(L270,1)&amp;K270&amp;RIGHT(L270,1)</f>
        <v>12</v>
      </c>
      <c r="K270" s="34">
        <f>IF($C$236&lt;35,0,M270)</f>
        <v>12</v>
      </c>
      <c r="L270" s="34"/>
      <c r="M270" s="99">
        <v>12</v>
      </c>
      <c r="N270" s="99"/>
    </row>
    <row r="271" spans="2:14" hidden="1">
      <c r="B271" s="106"/>
      <c r="C271" s="615">
        <v>34</v>
      </c>
      <c r="D271" s="616" t="str">
        <f t="shared" si="21"/>
        <v>48</v>
      </c>
      <c r="E271" s="34">
        <v>48</v>
      </c>
      <c r="F271" s="99"/>
      <c r="G271" s="34"/>
      <c r="H271" s="615">
        <v>34</v>
      </c>
      <c r="I271" s="34">
        <v>21</v>
      </c>
      <c r="J271" s="616" t="str">
        <f>K271&amp;L271</f>
        <v>14</v>
      </c>
      <c r="K271" s="34">
        <f>IF($C$236&lt;55,0,M271)</f>
        <v>14</v>
      </c>
      <c r="L271" s="34"/>
      <c r="M271" s="99">
        <v>14</v>
      </c>
      <c r="N271" s="99"/>
    </row>
    <row r="272" spans="2:14" hidden="1">
      <c r="B272" s="106"/>
      <c r="C272" s="615">
        <v>35</v>
      </c>
      <c r="D272" s="616" t="str">
        <f t="shared" si="21"/>
        <v>50</v>
      </c>
      <c r="E272" s="34">
        <v>50</v>
      </c>
      <c r="F272" s="99"/>
      <c r="G272" s="34"/>
      <c r="H272" s="615">
        <v>35</v>
      </c>
      <c r="I272" s="34">
        <v>22</v>
      </c>
      <c r="J272" s="616" t="str">
        <f>K272&amp;L272</f>
        <v>16</v>
      </c>
      <c r="K272" s="34">
        <f>IF($C$236&lt;55,0,M272)</f>
        <v>16</v>
      </c>
      <c r="L272" s="34"/>
      <c r="M272" s="99">
        <v>16</v>
      </c>
      <c r="N272" s="99"/>
    </row>
    <row r="273" spans="2:14" hidden="1">
      <c r="B273" s="106"/>
      <c r="C273" s="615">
        <v>36</v>
      </c>
      <c r="D273" s="616" t="str">
        <f t="shared" si="21"/>
        <v>51</v>
      </c>
      <c r="E273" s="34">
        <v>51</v>
      </c>
      <c r="F273" s="99"/>
      <c r="G273" s="34"/>
      <c r="H273" s="615">
        <v>36</v>
      </c>
      <c r="I273" s="34">
        <v>23</v>
      </c>
      <c r="J273" s="616" t="str">
        <f>K273&amp;L273</f>
        <v>18</v>
      </c>
      <c r="K273" s="34">
        <f>IF($C$236&lt;55,0,M273)</f>
        <v>18</v>
      </c>
      <c r="L273" s="34"/>
      <c r="M273" s="99">
        <v>18</v>
      </c>
      <c r="N273" s="99"/>
    </row>
    <row r="274" spans="2:14" hidden="1">
      <c r="B274" s="106"/>
      <c r="C274" s="615">
        <v>37</v>
      </c>
      <c r="D274" s="616" t="str">
        <f t="shared" si="21"/>
        <v>53</v>
      </c>
      <c r="E274" s="34">
        <v>53</v>
      </c>
      <c r="F274" s="99"/>
      <c r="G274" s="34"/>
      <c r="H274" s="615">
        <v>37</v>
      </c>
      <c r="I274" s="34">
        <v>24</v>
      </c>
      <c r="J274" s="616" t="str">
        <f>LEFT(L274,1)&amp;K274&amp;RIGHT(L274,1)</f>
        <v>20</v>
      </c>
      <c r="K274" s="34">
        <f>IF($C$236&lt;58,0,M274)</f>
        <v>20</v>
      </c>
      <c r="L274" s="34"/>
      <c r="M274" s="99">
        <v>20</v>
      </c>
      <c r="N274" s="99"/>
    </row>
    <row r="275" spans="2:14" hidden="1">
      <c r="B275" s="106"/>
      <c r="C275" s="615">
        <v>38</v>
      </c>
      <c r="D275" s="616" t="str">
        <f t="shared" si="21"/>
        <v>54</v>
      </c>
      <c r="E275" s="34">
        <v>54</v>
      </c>
      <c r="F275" s="99"/>
      <c r="G275" s="34"/>
      <c r="H275" s="615">
        <v>38</v>
      </c>
      <c r="I275" s="34">
        <v>25</v>
      </c>
      <c r="J275" s="616" t="str">
        <f>LEFT(L275,1)&amp;K275&amp;RIGHT(L275,1)</f>
        <v>22</v>
      </c>
      <c r="K275" s="34">
        <f>IF($C$236&lt;58,0,M275)</f>
        <v>22</v>
      </c>
      <c r="L275" s="34"/>
      <c r="M275" s="99">
        <v>22</v>
      </c>
      <c r="N275" s="99"/>
    </row>
    <row r="276" spans="2:14" ht="13.5" hidden="1" thickBot="1">
      <c r="B276" s="106"/>
      <c r="C276" s="615">
        <v>39</v>
      </c>
      <c r="D276" s="616" t="str">
        <f t="shared" si="21"/>
        <v>56</v>
      </c>
      <c r="E276" s="34">
        <v>56</v>
      </c>
      <c r="F276" s="99"/>
      <c r="G276" s="34"/>
      <c r="H276" s="618">
        <v>39</v>
      </c>
      <c r="I276" s="151">
        <v>26</v>
      </c>
      <c r="J276" s="620" t="str">
        <f>K276&amp;L276</f>
        <v>0</v>
      </c>
      <c r="K276" s="151">
        <f>IF($C$236&lt;64,0,M276)</f>
        <v>0</v>
      </c>
      <c r="L276" s="151"/>
      <c r="M276" s="100">
        <v>24</v>
      </c>
      <c r="N276" s="99"/>
    </row>
    <row r="277" spans="2:14" hidden="1">
      <c r="B277" s="106"/>
      <c r="C277" s="615">
        <v>40</v>
      </c>
      <c r="D277" s="616" t="str">
        <f t="shared" si="21"/>
        <v>57</v>
      </c>
      <c r="E277" s="34">
        <v>57</v>
      </c>
      <c r="F277" s="99"/>
      <c r="G277" s="34"/>
      <c r="H277" s="34"/>
      <c r="I277" s="34"/>
      <c r="J277" s="34"/>
      <c r="K277" s="34"/>
      <c r="L277" s="34"/>
      <c r="M277" s="34"/>
      <c r="N277" s="99"/>
    </row>
    <row r="278" spans="2:14" hidden="1">
      <c r="B278" s="106"/>
      <c r="C278" s="615">
        <v>41</v>
      </c>
      <c r="D278" s="616" t="str">
        <f t="shared" si="21"/>
        <v>60</v>
      </c>
      <c r="E278" s="34">
        <v>60</v>
      </c>
      <c r="F278" s="99"/>
      <c r="G278" s="34"/>
      <c r="H278" s="34"/>
      <c r="I278" s="34"/>
      <c r="J278" s="34"/>
      <c r="K278" s="34"/>
      <c r="L278" s="34"/>
      <c r="M278" s="34"/>
      <c r="N278" s="99"/>
    </row>
    <row r="279" spans="2:14" hidden="1">
      <c r="B279" s="106"/>
      <c r="C279" s="615">
        <v>42</v>
      </c>
      <c r="D279" s="616" t="str">
        <f t="shared" si="21"/>
        <v>63</v>
      </c>
      <c r="E279" s="34">
        <v>63</v>
      </c>
      <c r="F279" s="99"/>
      <c r="G279" s="34"/>
      <c r="H279" s="34"/>
      <c r="I279" s="34"/>
      <c r="J279" s="34"/>
      <c r="K279" s="34"/>
      <c r="L279" s="34"/>
      <c r="M279" s="34"/>
      <c r="N279" s="99"/>
    </row>
    <row r="280" spans="2:14" hidden="1">
      <c r="B280" s="106"/>
      <c r="C280" s="615">
        <v>43</v>
      </c>
      <c r="D280" s="616" t="str">
        <f t="shared" si="21"/>
        <v>65</v>
      </c>
      <c r="E280" s="34">
        <v>65</v>
      </c>
      <c r="F280" s="99"/>
      <c r="G280" s="34"/>
      <c r="H280" s="34"/>
      <c r="I280" s="34"/>
      <c r="J280" s="34"/>
      <c r="K280" s="34"/>
      <c r="L280" s="34"/>
      <c r="M280" s="34"/>
      <c r="N280" s="99"/>
    </row>
    <row r="281" spans="2:14" hidden="1">
      <c r="B281" s="106"/>
      <c r="C281" s="615">
        <v>44</v>
      </c>
      <c r="D281" s="616" t="str">
        <f t="shared" si="21"/>
        <v>68</v>
      </c>
      <c r="E281" s="34">
        <v>68</v>
      </c>
      <c r="F281" s="99"/>
      <c r="G281" s="34"/>
      <c r="H281" s="34"/>
      <c r="I281" s="34"/>
      <c r="J281" s="34"/>
      <c r="K281" s="34"/>
      <c r="L281" s="34"/>
      <c r="M281" s="34"/>
      <c r="N281" s="99"/>
    </row>
    <row r="282" spans="2:14" hidden="1">
      <c r="B282" s="106"/>
      <c r="C282" s="615">
        <v>45</v>
      </c>
      <c r="D282" s="616" t="str">
        <f t="shared" si="21"/>
        <v>70</v>
      </c>
      <c r="E282" s="34">
        <v>70</v>
      </c>
      <c r="F282" s="99"/>
      <c r="G282" s="34"/>
      <c r="H282" s="34"/>
      <c r="I282" s="34"/>
      <c r="J282" s="34"/>
      <c r="K282" s="34"/>
      <c r="L282" s="34"/>
      <c r="M282" s="34"/>
      <c r="N282" s="99"/>
    </row>
    <row r="283" spans="2:14" hidden="1">
      <c r="B283" s="106"/>
      <c r="C283" s="615">
        <v>46</v>
      </c>
      <c r="D283" s="616" t="str">
        <f t="shared" si="21"/>
        <v>73</v>
      </c>
      <c r="E283" s="34">
        <v>73</v>
      </c>
      <c r="F283" s="99"/>
      <c r="G283" s="34"/>
      <c r="H283" s="34"/>
      <c r="I283" s="34"/>
      <c r="J283" s="34"/>
      <c r="K283" s="34"/>
      <c r="L283" s="34"/>
      <c r="M283" s="34"/>
      <c r="N283" s="99"/>
    </row>
    <row r="284" spans="2:14" hidden="1">
      <c r="B284" s="106"/>
      <c r="C284" s="615">
        <v>47</v>
      </c>
      <c r="D284" s="616" t="str">
        <f t="shared" si="21"/>
        <v>75</v>
      </c>
      <c r="E284" s="34">
        <v>75</v>
      </c>
      <c r="F284" s="99"/>
      <c r="G284" s="34"/>
      <c r="H284" s="34"/>
      <c r="I284" s="34"/>
      <c r="J284" s="34"/>
      <c r="K284" s="34"/>
      <c r="L284" s="34"/>
      <c r="M284" s="34"/>
      <c r="N284" s="99"/>
    </row>
    <row r="285" spans="2:14" hidden="1">
      <c r="B285" s="106"/>
      <c r="C285" s="615">
        <v>48</v>
      </c>
      <c r="D285" s="616" t="str">
        <f t="shared" si="21"/>
        <v>76</v>
      </c>
      <c r="E285" s="34">
        <v>76</v>
      </c>
      <c r="F285" s="99"/>
      <c r="G285" s="34"/>
      <c r="H285" s="34"/>
      <c r="I285" s="34"/>
      <c r="J285" s="34"/>
      <c r="K285" s="34"/>
      <c r="L285" s="34"/>
      <c r="M285" s="34"/>
      <c r="N285" s="99"/>
    </row>
    <row r="286" spans="2:14" hidden="1">
      <c r="B286" s="106"/>
      <c r="C286" s="615">
        <v>49</v>
      </c>
      <c r="D286" s="616" t="str">
        <f t="shared" si="21"/>
        <v>80</v>
      </c>
      <c r="E286" s="34">
        <v>80</v>
      </c>
      <c r="F286" s="99"/>
      <c r="G286" s="34"/>
      <c r="H286" s="34"/>
      <c r="I286" s="34"/>
      <c r="J286" s="34"/>
      <c r="K286" s="34"/>
      <c r="L286" s="34"/>
      <c r="M286" s="34"/>
      <c r="N286" s="99"/>
    </row>
    <row r="287" spans="2:14" hidden="1">
      <c r="B287" s="106"/>
      <c r="C287" s="615">
        <v>50</v>
      </c>
      <c r="D287" s="616" t="str">
        <f t="shared" si="21"/>
        <v>83</v>
      </c>
      <c r="E287" s="34">
        <v>83</v>
      </c>
      <c r="F287" s="99"/>
      <c r="G287" s="34"/>
      <c r="H287" s="34"/>
      <c r="I287" s="34"/>
      <c r="J287" s="34"/>
      <c r="K287" s="34"/>
      <c r="L287" s="34"/>
      <c r="M287" s="34"/>
      <c r="N287" s="99"/>
    </row>
    <row r="288" spans="2:14" hidden="1">
      <c r="B288" s="106"/>
      <c r="C288" s="615">
        <v>51</v>
      </c>
      <c r="D288" s="616" t="str">
        <f t="shared" si="21"/>
        <v>85</v>
      </c>
      <c r="E288" s="34">
        <v>85</v>
      </c>
      <c r="F288" s="99"/>
      <c r="G288" s="34"/>
      <c r="H288" s="34"/>
      <c r="I288" s="34"/>
      <c r="J288" s="34"/>
      <c r="K288" s="34"/>
      <c r="L288" s="34"/>
      <c r="M288" s="34"/>
      <c r="N288" s="99"/>
    </row>
    <row r="289" spans="2:14" hidden="1">
      <c r="B289" s="106"/>
      <c r="C289" s="615">
        <v>52</v>
      </c>
      <c r="D289" s="616" t="str">
        <f t="shared" si="21"/>
        <v>89</v>
      </c>
      <c r="E289" s="34">
        <v>89</v>
      </c>
      <c r="F289" s="99"/>
      <c r="G289" s="34"/>
      <c r="H289" s="34"/>
      <c r="I289" s="34"/>
      <c r="J289" s="34"/>
      <c r="K289" s="34"/>
      <c r="L289" s="34"/>
      <c r="M289" s="34"/>
      <c r="N289" s="99"/>
    </row>
    <row r="290" spans="2:14" hidden="1">
      <c r="B290" s="106"/>
      <c r="C290" s="615">
        <v>53</v>
      </c>
      <c r="D290" s="616" t="str">
        <f t="shared" si="21"/>
        <v>90</v>
      </c>
      <c r="E290" s="34">
        <v>90</v>
      </c>
      <c r="F290" s="99"/>
      <c r="G290" s="34"/>
      <c r="H290" s="34"/>
      <c r="I290" s="34"/>
      <c r="J290" s="34"/>
      <c r="K290" s="34"/>
      <c r="L290" s="34"/>
      <c r="M290" s="34"/>
      <c r="N290" s="99"/>
    </row>
    <row r="291" spans="2:14" hidden="1">
      <c r="B291" s="106"/>
      <c r="C291" s="615">
        <v>54</v>
      </c>
      <c r="D291" s="616" t="str">
        <f t="shared" si="21"/>
        <v>95</v>
      </c>
      <c r="E291" s="34">
        <v>95</v>
      </c>
      <c r="F291" s="99"/>
      <c r="G291" s="34"/>
      <c r="H291" s="34"/>
      <c r="I291" s="34"/>
      <c r="J291" s="34"/>
      <c r="K291" s="34"/>
      <c r="L291" s="34"/>
      <c r="M291" s="34"/>
      <c r="N291" s="99"/>
    </row>
    <row r="292" spans="2:14" hidden="1">
      <c r="B292" s="106"/>
      <c r="C292" s="615">
        <v>55</v>
      </c>
      <c r="D292" s="616" t="str">
        <f t="shared" si="21"/>
        <v>100</v>
      </c>
      <c r="E292" s="34">
        <v>100</v>
      </c>
      <c r="F292" s="99"/>
      <c r="G292" s="34"/>
      <c r="H292" s="34"/>
      <c r="I292" s="34"/>
      <c r="J292" s="34"/>
      <c r="K292" s="34"/>
      <c r="L292" s="34"/>
      <c r="M292" s="34"/>
      <c r="N292" s="99"/>
    </row>
    <row r="293" spans="2:14" hidden="1">
      <c r="B293" s="106"/>
      <c r="C293" s="615">
        <v>56</v>
      </c>
      <c r="D293" s="616" t="str">
        <f t="shared" si="21"/>
        <v>102</v>
      </c>
      <c r="E293" s="34">
        <v>102</v>
      </c>
      <c r="F293" s="99"/>
      <c r="G293" s="34"/>
      <c r="H293" s="34"/>
      <c r="I293" s="34"/>
      <c r="J293" s="34"/>
      <c r="K293" s="34"/>
      <c r="L293" s="34"/>
      <c r="M293" s="34"/>
      <c r="N293" s="99"/>
    </row>
    <row r="294" spans="2:14" hidden="1">
      <c r="B294" s="106"/>
      <c r="C294" s="615">
        <v>57</v>
      </c>
      <c r="D294" s="616" t="str">
        <f t="shared" si="21"/>
        <v>108</v>
      </c>
      <c r="E294" s="34">
        <v>108</v>
      </c>
      <c r="F294" s="99"/>
      <c r="G294" s="34"/>
      <c r="H294" s="34"/>
      <c r="I294" s="34"/>
      <c r="J294" s="34"/>
      <c r="K294" s="34"/>
      <c r="L294" s="34"/>
      <c r="M294" s="34"/>
      <c r="N294" s="99"/>
    </row>
    <row r="295" spans="2:14" hidden="1">
      <c r="B295" s="106"/>
      <c r="C295" s="615">
        <v>58</v>
      </c>
      <c r="D295" s="616" t="str">
        <f t="shared" si="21"/>
        <v>110</v>
      </c>
      <c r="E295" s="34">
        <v>110</v>
      </c>
      <c r="F295" s="99"/>
      <c r="G295" s="34"/>
      <c r="H295" s="34"/>
      <c r="I295" s="34"/>
      <c r="J295" s="34"/>
      <c r="K295" s="34"/>
      <c r="L295" s="34"/>
      <c r="M295" s="34"/>
      <c r="N295" s="99"/>
    </row>
    <row r="296" spans="2:14" hidden="1">
      <c r="B296" s="106"/>
      <c r="C296" s="615">
        <v>59</v>
      </c>
      <c r="D296" s="616" t="str">
        <f t="shared" si="21"/>
        <v>120</v>
      </c>
      <c r="E296" s="34">
        <v>120</v>
      </c>
      <c r="F296" s="99"/>
      <c r="G296" s="34"/>
      <c r="H296" s="34"/>
      <c r="I296" s="34"/>
      <c r="J296" s="34"/>
      <c r="K296" s="34"/>
      <c r="L296" s="34"/>
      <c r="M296" s="34"/>
      <c r="N296" s="99"/>
    </row>
    <row r="297" spans="2:14" hidden="1">
      <c r="B297" s="106"/>
      <c r="C297" s="615">
        <v>60</v>
      </c>
      <c r="D297" s="616" t="str">
        <f t="shared" si="21"/>
        <v>130</v>
      </c>
      <c r="E297" s="34">
        <v>130</v>
      </c>
      <c r="F297" s="99"/>
      <c r="G297" s="34"/>
      <c r="N297" s="99"/>
    </row>
    <row r="298" spans="2:14" hidden="1">
      <c r="B298" s="106"/>
      <c r="C298" s="615">
        <v>61</v>
      </c>
      <c r="D298" s="616" t="str">
        <f t="shared" si="21"/>
        <v>140</v>
      </c>
      <c r="E298" s="34">
        <v>140</v>
      </c>
      <c r="F298" s="99"/>
      <c r="G298" s="34"/>
      <c r="N298" s="99"/>
    </row>
    <row r="299" spans="2:14" hidden="1">
      <c r="B299" s="106"/>
      <c r="C299" s="615">
        <v>62</v>
      </c>
      <c r="D299" s="616" t="str">
        <f t="shared" si="21"/>
        <v>150</v>
      </c>
      <c r="E299" s="34">
        <v>150</v>
      </c>
      <c r="F299" s="99"/>
      <c r="G299" s="34"/>
      <c r="N299" s="99"/>
    </row>
    <row r="300" spans="2:14" hidden="1">
      <c r="B300" s="106"/>
      <c r="C300" s="615">
        <v>63</v>
      </c>
      <c r="D300" s="616" t="str">
        <f t="shared" si="21"/>
        <v>160</v>
      </c>
      <c r="E300" s="34">
        <v>160</v>
      </c>
      <c r="F300" s="99"/>
      <c r="G300" s="34"/>
      <c r="H300" s="34"/>
      <c r="I300" s="34"/>
      <c r="J300" s="34"/>
      <c r="K300" s="34"/>
      <c r="L300" s="34"/>
      <c r="M300" s="34"/>
      <c r="N300" s="99"/>
    </row>
    <row r="301" spans="2:14" hidden="1">
      <c r="B301" s="106"/>
      <c r="C301" s="615">
        <v>64</v>
      </c>
      <c r="D301" s="616" t="str">
        <f t="shared" si="21"/>
        <v>170</v>
      </c>
      <c r="E301" s="34">
        <v>170</v>
      </c>
      <c r="F301" s="99"/>
      <c r="G301" s="34"/>
      <c r="N301" s="99"/>
    </row>
    <row r="302" spans="2:14" hidden="1">
      <c r="B302" s="106"/>
      <c r="C302" s="615">
        <v>65</v>
      </c>
      <c r="D302" s="616" t="str">
        <f>LEFT(F302,1)&amp;E302&amp;RIGHT(F302,1)</f>
        <v>180</v>
      </c>
      <c r="E302" s="34">
        <v>180</v>
      </c>
      <c r="F302" s="99"/>
      <c r="G302" s="34"/>
      <c r="N302" s="99"/>
    </row>
    <row r="303" spans="2:14" ht="13.5" hidden="1" thickBot="1">
      <c r="B303" s="106"/>
      <c r="C303" s="615">
        <v>66</v>
      </c>
      <c r="D303" s="616" t="str">
        <f>E303&amp;F303</f>
        <v>190</v>
      </c>
      <c r="E303" s="34">
        <v>190</v>
      </c>
      <c r="F303" s="99"/>
      <c r="G303" s="34"/>
      <c r="H303" s="151"/>
      <c r="I303" s="151"/>
      <c r="J303" s="151"/>
      <c r="K303" s="151"/>
      <c r="L303" s="151"/>
      <c r="M303" s="151"/>
      <c r="N303" s="99"/>
    </row>
    <row r="304" spans="2:14" hidden="1">
      <c r="B304" s="106"/>
      <c r="C304" s="615">
        <v>67</v>
      </c>
      <c r="D304" s="616" t="str">
        <f>E304&amp;F304</f>
        <v>200</v>
      </c>
      <c r="E304" s="34">
        <v>200</v>
      </c>
      <c r="F304" s="99"/>
      <c r="G304" s="34"/>
      <c r="N304" s="99"/>
    </row>
    <row r="305" spans="2:14" hidden="1">
      <c r="B305" s="106"/>
      <c r="C305" s="615">
        <v>68</v>
      </c>
      <c r="D305" s="616" t="str">
        <f>E305&amp;F305</f>
        <v>210</v>
      </c>
      <c r="E305" s="34">
        <v>210</v>
      </c>
      <c r="F305" s="99"/>
      <c r="G305" s="34"/>
      <c r="N305" s="99"/>
    </row>
    <row r="306" spans="2:14" hidden="1">
      <c r="B306" s="106"/>
      <c r="C306" s="615">
        <v>69</v>
      </c>
      <c r="D306" s="616" t="str">
        <f>E306&amp;F306</f>
        <v>220</v>
      </c>
      <c r="E306" s="34">
        <v>220</v>
      </c>
      <c r="F306" s="99"/>
      <c r="G306" s="34"/>
      <c r="N306" s="99"/>
    </row>
    <row r="307" spans="2:14" hidden="1">
      <c r="B307" s="106"/>
      <c r="C307" s="615">
        <v>70</v>
      </c>
      <c r="D307" s="616" t="str">
        <f>LEFT(F307,1)&amp;E307&amp;RIGHT(F307,1)</f>
        <v>240</v>
      </c>
      <c r="E307" s="34">
        <v>240</v>
      </c>
      <c r="F307" s="99"/>
      <c r="G307" s="34"/>
      <c r="N307" s="99"/>
    </row>
    <row r="308" spans="2:14" ht="13.5" hidden="1" thickBot="1">
      <c r="B308" s="106"/>
      <c r="C308" s="618">
        <v>71</v>
      </c>
      <c r="D308" s="620" t="str">
        <f>LEFT(F308,1)&amp;E308&amp;RIGHT(F308,1)</f>
        <v>250</v>
      </c>
      <c r="E308" s="151">
        <v>250</v>
      </c>
      <c r="F308" s="100"/>
      <c r="G308" s="34"/>
      <c r="N308" s="99"/>
    </row>
    <row r="309" spans="2:14" ht="13.5" hidden="1" thickBot="1">
      <c r="B309" s="145"/>
      <c r="C309" s="151"/>
      <c r="D309" s="151"/>
      <c r="E309" s="151"/>
      <c r="F309" s="151"/>
      <c r="G309" s="151"/>
      <c r="N309" s="100"/>
    </row>
    <row r="310" spans="2:14" hidden="1"/>
    <row r="311" spans="2:14" hidden="1"/>
    <row r="312" spans="2:14" hidden="1"/>
    <row r="313" spans="2:14" hidden="1"/>
    <row r="314" spans="2:14" hidden="1"/>
    <row r="315" spans="2:14" hidden="1"/>
    <row r="316" spans="2:14" hidden="1"/>
    <row r="317" spans="2:14" hidden="1"/>
    <row r="318" spans="2:14" hidden="1"/>
    <row r="319" spans="2:14" hidden="1"/>
    <row r="320" spans="2:14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</sheetData>
  <pageMargins left="0.75" right="0.75" top="1" bottom="1" header="0.5" footer="0.5"/>
  <pageSetup paperSize="9" orientation="portrait" horizontalDpi="300" verticalDpi="2400" r:id="rId1"/>
  <headerFooter alignWithMargins="0">
    <oddHeader>&amp;A</oddHeader>
    <oddFooter>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List Box 1">
              <controlPr defaultSize="0" print="0" autoFill="0" autoLine="0" autoPict="0">
                <anchor>
                  <from>
                    <xdr:col>1</xdr:col>
                    <xdr:colOff>76200</xdr:colOff>
                    <xdr:row>6</xdr:row>
                    <xdr:rowOff>47625</xdr:rowOff>
                  </from>
                  <to>
                    <xdr:col>2</xdr:col>
                    <xdr:colOff>390525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List Box 2">
              <controlPr defaultSize="0" print="0" autoFill="0" autoLine="0" autoPict="0">
                <anchor>
                  <from>
                    <xdr:col>4</xdr:col>
                    <xdr:colOff>57150</xdr:colOff>
                    <xdr:row>6</xdr:row>
                    <xdr:rowOff>38100</xdr:rowOff>
                  </from>
                  <to>
                    <xdr:col>5</xdr:col>
                    <xdr:colOff>57150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List Box 4">
              <controlPr defaultSize="0" print="0" autoFill="0" autoLine="0" autoPict="0">
                <anchor>
                  <from>
                    <xdr:col>7</xdr:col>
                    <xdr:colOff>57150</xdr:colOff>
                    <xdr:row>5</xdr:row>
                    <xdr:rowOff>219075</xdr:rowOff>
                  </from>
                  <to>
                    <xdr:col>8</xdr:col>
                    <xdr:colOff>400050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7" name="List Box 6">
              <controlPr defaultSize="0" print="0" autoFill="0" autoLine="0" autoPict="0">
                <anchor>
                  <from>
                    <xdr:col>10</xdr:col>
                    <xdr:colOff>95250</xdr:colOff>
                    <xdr:row>5</xdr:row>
                    <xdr:rowOff>219075</xdr:rowOff>
                  </from>
                  <to>
                    <xdr:col>10</xdr:col>
                    <xdr:colOff>476250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8" name="List Box 7">
              <controlPr defaultSize="0" print="0" autoFill="0" autoLine="0" autoPict="0">
                <anchor>
                  <from>
                    <xdr:col>13</xdr:col>
                    <xdr:colOff>95250</xdr:colOff>
                    <xdr:row>6</xdr:row>
                    <xdr:rowOff>9525</xdr:rowOff>
                  </from>
                  <to>
                    <xdr:col>14</xdr:col>
                    <xdr:colOff>381000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9" name="List Box 8">
              <controlPr defaultSize="0" print="0" autoFill="0" autoLine="0" autoPict="0">
                <anchor>
                  <from>
                    <xdr:col>16</xdr:col>
                    <xdr:colOff>104775</xdr:colOff>
                    <xdr:row>6</xdr:row>
                    <xdr:rowOff>19050</xdr:rowOff>
                  </from>
                  <to>
                    <xdr:col>17</xdr:col>
                    <xdr:colOff>9525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0" name="Button 11">
              <controlPr defaultSize="0" print="0" autoFill="0" autoLine="0" autoPict="0" macro="[0]!Вначало">
                <anchor moveWithCells="1">
                  <from>
                    <xdr:col>4</xdr:col>
                    <xdr:colOff>247650</xdr:colOff>
                    <xdr:row>0</xdr:row>
                    <xdr:rowOff>28575</xdr:rowOff>
                  </from>
                  <to>
                    <xdr:col>10</xdr:col>
                    <xdr:colOff>238125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0"/>
  <dimension ref="C1:U60"/>
  <sheetViews>
    <sheetView workbookViewId="0">
      <pane ySplit="11" topLeftCell="A12" activePane="bottomLeft" state="frozenSplit"/>
      <selection pane="bottomLeft"/>
    </sheetView>
  </sheetViews>
  <sheetFormatPr defaultColWidth="9.140625" defaultRowHeight="12.75"/>
  <cols>
    <col min="1" max="1" width="6" style="1238" customWidth="1"/>
    <col min="2" max="2" width="2" style="1238" customWidth="1"/>
    <col min="3" max="3" width="8" style="1238" customWidth="1"/>
    <col min="4" max="4" width="3.85546875" style="1238" customWidth="1"/>
    <col min="5" max="6" width="4.7109375" style="1238" customWidth="1"/>
    <col min="7" max="7" width="6.42578125" style="1238" customWidth="1"/>
    <col min="8" max="8" width="8" style="1238" customWidth="1"/>
    <col min="9" max="9" width="7.42578125" style="1238" customWidth="1"/>
    <col min="10" max="10" width="8.140625" style="1238" customWidth="1"/>
    <col min="11" max="11" width="7.42578125" style="1239" customWidth="1"/>
    <col min="12" max="12" width="7.5703125" style="1238" customWidth="1"/>
    <col min="13" max="13" width="6.28515625" style="1238" customWidth="1"/>
    <col min="14" max="14" width="8.140625" style="1238" customWidth="1"/>
    <col min="15" max="15" width="6.5703125" style="1238" customWidth="1"/>
    <col min="16" max="16" width="6.7109375" style="1238" customWidth="1"/>
    <col min="17" max="18" width="6.42578125" style="1238" customWidth="1"/>
    <col min="19" max="19" width="6.28515625" style="1238" customWidth="1"/>
    <col min="20" max="20" width="5.42578125" style="1238" customWidth="1"/>
    <col min="21" max="21" width="5.140625" style="1238" customWidth="1"/>
    <col min="22" max="16384" width="9.140625" style="1238"/>
  </cols>
  <sheetData>
    <row r="1" spans="3:21" ht="22.5" customHeight="1" thickBot="1"/>
    <row r="2" spans="3:21" ht="14.25" customHeight="1" thickBot="1">
      <c r="F2" s="1266"/>
      <c r="G2" s="1534"/>
      <c r="H2" s="1535"/>
      <c r="I2" s="1536" t="s">
        <v>1924</v>
      </c>
      <c r="J2" s="1535"/>
      <c r="K2" s="1250"/>
      <c r="L2" s="1537"/>
      <c r="M2" s="1538"/>
      <c r="N2" s="1538"/>
      <c r="O2" s="1538"/>
      <c r="P2" s="1538"/>
      <c r="Q2" s="1539"/>
      <c r="R2" s="1266"/>
      <c r="S2" s="1266"/>
      <c r="T2" s="1266"/>
      <c r="U2" s="1266"/>
    </row>
    <row r="3" spans="3:21" ht="13.5" thickBot="1">
      <c r="F3" s="1266"/>
      <c r="G3" s="1540"/>
      <c r="H3" s="1123"/>
      <c r="I3" s="1102">
        <v>10.8</v>
      </c>
      <c r="J3" s="1542">
        <f>H3*I3</f>
        <v>0</v>
      </c>
      <c r="K3" s="1543" t="s">
        <v>1483</v>
      </c>
      <c r="L3" s="1544"/>
      <c r="M3" s="1545"/>
      <c r="N3" s="1546"/>
      <c r="O3" s="1546"/>
      <c r="P3" s="1546"/>
      <c r="Q3" s="1547"/>
      <c r="R3" s="1266"/>
      <c r="S3" s="1266"/>
      <c r="T3" s="1266"/>
      <c r="U3" s="1266"/>
    </row>
    <row r="4" spans="3:21" ht="13.5" thickBot="1">
      <c r="F4" s="1266"/>
      <c r="G4" s="1540"/>
      <c r="H4" s="1123"/>
      <c r="I4" s="1254">
        <f>I3</f>
        <v>10.8</v>
      </c>
      <c r="J4" s="1548">
        <f>IF(I4=0,0,H4/I4)</f>
        <v>0</v>
      </c>
      <c r="K4" s="1549" t="s">
        <v>1926</v>
      </c>
      <c r="L4" s="1544"/>
      <c r="M4" s="1545"/>
      <c r="N4" s="1546"/>
      <c r="O4" s="1546"/>
      <c r="P4" s="1546"/>
      <c r="Q4" s="1547"/>
      <c r="R4" s="1266"/>
      <c r="S4" s="1266"/>
      <c r="T4" s="1266"/>
      <c r="U4" s="1266"/>
    </row>
    <row r="5" spans="3:21" ht="13.5" thickBot="1">
      <c r="D5" s="1550"/>
      <c r="F5" s="1266"/>
      <c r="G5" s="1253"/>
      <c r="H5" s="1551" t="s">
        <v>1486</v>
      </c>
      <c r="I5" s="1069">
        <v>13.76</v>
      </c>
      <c r="J5" s="1254"/>
      <c r="K5" s="1552" t="s">
        <v>110</v>
      </c>
      <c r="L5" s="1553"/>
      <c r="M5" s="1554"/>
      <c r="N5" s="1546"/>
      <c r="O5" s="1554"/>
      <c r="P5" s="1554"/>
      <c r="Q5" s="1555"/>
      <c r="R5" s="1265"/>
      <c r="S5" s="1265"/>
      <c r="T5" s="1265"/>
      <c r="U5" s="1265"/>
    </row>
    <row r="6" spans="3:21" ht="13.5" thickBot="1">
      <c r="D6" s="1550"/>
      <c r="F6" s="1266"/>
      <c r="G6" s="1556"/>
      <c r="H6" s="1557" t="s">
        <v>1488</v>
      </c>
      <c r="I6" s="1103">
        <v>13.76</v>
      </c>
      <c r="J6" s="1558"/>
      <c r="K6" s="1559" t="str">
        <f>CHOOSE(M40,E11,F11,G11,H11,I11,J11,K11,L11,M11,N11,O11,P11,Q11)</f>
        <v>см2</v>
      </c>
      <c r="L6" s="1560"/>
      <c r="M6" s="1546"/>
      <c r="N6" s="1546"/>
      <c r="O6" s="1554"/>
      <c r="P6" s="1554"/>
      <c r="Q6" s="1555"/>
      <c r="R6" s="1265"/>
      <c r="S6" s="1265"/>
      <c r="T6" s="1265"/>
      <c r="U6" s="1265"/>
    </row>
    <row r="7" spans="3:21" ht="7.5" customHeight="1" thickBot="1">
      <c r="D7" s="1550"/>
      <c r="F7" s="1266"/>
      <c r="G7" s="1270"/>
      <c r="H7" s="1271"/>
      <c r="I7" s="1271"/>
      <c r="J7" s="1271"/>
      <c r="K7" s="1272"/>
      <c r="L7" s="1561"/>
      <c r="M7" s="1562"/>
      <c r="N7" s="1562"/>
      <c r="O7" s="1562"/>
      <c r="P7" s="1562"/>
      <c r="Q7" s="1563"/>
      <c r="R7" s="1265"/>
      <c r="S7" s="1265"/>
      <c r="T7" s="1265"/>
      <c r="U7" s="1265"/>
    </row>
    <row r="8" spans="3:21" ht="13.5" thickBot="1">
      <c r="D8" s="1550"/>
      <c r="G8" s="1239"/>
      <c r="H8" s="1239"/>
      <c r="I8" s="1239"/>
      <c r="J8" s="1239"/>
      <c r="L8" s="1564" t="s">
        <v>880</v>
      </c>
      <c r="N8" s="1239"/>
      <c r="O8" s="1239"/>
      <c r="P8" s="1239"/>
      <c r="Q8" s="1239"/>
      <c r="R8" s="1239"/>
      <c r="S8" s="1239"/>
      <c r="T8" s="1239"/>
      <c r="U8" s="1239"/>
    </row>
    <row r="9" spans="3:21" ht="27" customHeight="1">
      <c r="E9" s="1565"/>
      <c r="F9" s="1566"/>
      <c r="G9" s="1567" t="s">
        <v>829</v>
      </c>
      <c r="H9" s="1471" t="s">
        <v>112</v>
      </c>
      <c r="I9" s="1471" t="s">
        <v>1491</v>
      </c>
      <c r="J9" s="1468" t="s">
        <v>882</v>
      </c>
      <c r="K9" s="1567" t="s">
        <v>114</v>
      </c>
      <c r="L9" s="1567" t="s">
        <v>115</v>
      </c>
      <c r="M9" s="1567" t="s">
        <v>116</v>
      </c>
      <c r="N9" s="1468" t="s">
        <v>117</v>
      </c>
      <c r="O9" s="1567" t="s">
        <v>118</v>
      </c>
      <c r="P9" s="1568" t="s">
        <v>118</v>
      </c>
      <c r="Q9" s="1470" t="s">
        <v>116</v>
      </c>
    </row>
    <row r="10" spans="3:21" s="1569" customFormat="1" ht="18.75">
      <c r="E10" s="1570" t="s">
        <v>1528</v>
      </c>
      <c r="F10" s="1571" t="s">
        <v>121</v>
      </c>
      <c r="G10" s="1572" t="s">
        <v>1532</v>
      </c>
      <c r="H10" s="1573" t="s">
        <v>1531</v>
      </c>
      <c r="I10" s="1573" t="s">
        <v>1530</v>
      </c>
      <c r="J10" s="1573" t="s">
        <v>1940</v>
      </c>
      <c r="K10" s="1571" t="s">
        <v>122</v>
      </c>
      <c r="L10" s="1571" t="s">
        <v>123</v>
      </c>
      <c r="M10" s="1571" t="s">
        <v>124</v>
      </c>
      <c r="N10" s="1573" t="s">
        <v>1943</v>
      </c>
      <c r="O10" s="1571" t="s">
        <v>125</v>
      </c>
      <c r="P10" s="1574" t="s">
        <v>1945</v>
      </c>
      <c r="Q10" s="1575" t="s">
        <v>830</v>
      </c>
    </row>
    <row r="11" spans="3:21" s="1576" customFormat="1" ht="15" thickBot="1">
      <c r="D11" s="1577" t="s">
        <v>1544</v>
      </c>
      <c r="E11" s="1578" t="s">
        <v>1545</v>
      </c>
      <c r="F11" s="1579" t="s">
        <v>1545</v>
      </c>
      <c r="G11" s="1579" t="s">
        <v>1545</v>
      </c>
      <c r="H11" s="1580" t="s">
        <v>1954</v>
      </c>
      <c r="I11" s="1581" t="s">
        <v>1483</v>
      </c>
      <c r="J11" s="1580" t="s">
        <v>1956</v>
      </c>
      <c r="K11" s="1579" t="s">
        <v>127</v>
      </c>
      <c r="L11" s="1579" t="s">
        <v>1549</v>
      </c>
      <c r="M11" s="1579" t="s">
        <v>127</v>
      </c>
      <c r="N11" s="1580" t="s">
        <v>1956</v>
      </c>
      <c r="O11" s="1579" t="s">
        <v>127</v>
      </c>
      <c r="P11" s="1582" t="s">
        <v>1549</v>
      </c>
      <c r="Q11" s="1583" t="s">
        <v>127</v>
      </c>
    </row>
    <row r="12" spans="3:21" ht="13.5">
      <c r="C12" s="1584" t="s">
        <v>2004</v>
      </c>
      <c r="D12" s="1577">
        <v>1</v>
      </c>
      <c r="E12" s="1585">
        <v>80</v>
      </c>
      <c r="F12" s="1586">
        <v>4</v>
      </c>
      <c r="G12" s="1586">
        <v>10</v>
      </c>
      <c r="H12" s="1587">
        <v>11.34</v>
      </c>
      <c r="I12" s="1588">
        <v>8.9</v>
      </c>
      <c r="J12" s="1589">
        <v>104.21</v>
      </c>
      <c r="K12" s="1590">
        <v>26.05</v>
      </c>
      <c r="L12" s="1591">
        <v>3.03</v>
      </c>
      <c r="M12" s="1592">
        <v>15.69</v>
      </c>
      <c r="N12" s="1589">
        <v>104.21</v>
      </c>
      <c r="O12" s="1590">
        <v>26.05</v>
      </c>
      <c r="P12" s="1591">
        <v>3.03</v>
      </c>
      <c r="Q12" s="1592">
        <v>15.69</v>
      </c>
    </row>
    <row r="13" spans="3:21" ht="13.5">
      <c r="C13" s="1584" t="s">
        <v>2004</v>
      </c>
      <c r="D13" s="1577">
        <v>2</v>
      </c>
      <c r="E13" s="1593">
        <v>80</v>
      </c>
      <c r="F13" s="1594">
        <v>5</v>
      </c>
      <c r="G13" s="1594">
        <v>12</v>
      </c>
      <c r="H13" s="1595">
        <v>13.76</v>
      </c>
      <c r="I13" s="1596">
        <v>10.8</v>
      </c>
      <c r="J13" s="1597">
        <v>121.46</v>
      </c>
      <c r="K13" s="1598">
        <v>30.36</v>
      </c>
      <c r="L13" s="1599">
        <v>2.97</v>
      </c>
      <c r="M13" s="1600">
        <v>18.690000000000001</v>
      </c>
      <c r="N13" s="1597">
        <v>121.46</v>
      </c>
      <c r="O13" s="1598">
        <v>30.36</v>
      </c>
      <c r="P13" s="1599">
        <v>2.97</v>
      </c>
      <c r="Q13" s="1600">
        <v>18.690000000000001</v>
      </c>
    </row>
    <row r="14" spans="3:21" ht="13.5">
      <c r="C14" s="1584" t="s">
        <v>2004</v>
      </c>
      <c r="D14" s="1577">
        <v>3</v>
      </c>
      <c r="E14" s="1601">
        <v>80</v>
      </c>
      <c r="F14" s="1602">
        <v>6</v>
      </c>
      <c r="G14" s="1602">
        <v>14</v>
      </c>
      <c r="H14" s="1603">
        <v>16.010000000000002</v>
      </c>
      <c r="I14" s="1604">
        <v>12.57</v>
      </c>
      <c r="J14" s="1412">
        <v>135.47</v>
      </c>
      <c r="K14" s="1419">
        <v>33.869999999999997</v>
      </c>
      <c r="L14" s="1413">
        <v>2.91</v>
      </c>
      <c r="M14" s="1414">
        <v>21.19</v>
      </c>
      <c r="N14" s="1412">
        <v>135.47</v>
      </c>
      <c r="O14" s="1419">
        <v>33.869999999999997</v>
      </c>
      <c r="P14" s="1413">
        <v>2.91</v>
      </c>
      <c r="Q14" s="1414">
        <v>21.19</v>
      </c>
    </row>
    <row r="15" spans="3:21">
      <c r="C15" s="1605" t="s">
        <v>831</v>
      </c>
      <c r="D15" s="1577">
        <v>4</v>
      </c>
      <c r="E15" s="1593">
        <v>100</v>
      </c>
      <c r="F15" s="1594">
        <v>4</v>
      </c>
      <c r="G15" s="1594" t="s">
        <v>832</v>
      </c>
      <c r="H15" s="1595">
        <v>14.7</v>
      </c>
      <c r="I15" s="1596">
        <v>11.5</v>
      </c>
      <c r="J15" s="1597">
        <v>234.09</v>
      </c>
      <c r="K15" s="1598">
        <v>48.9</v>
      </c>
      <c r="L15" s="1599">
        <v>3.87</v>
      </c>
      <c r="M15" s="1600">
        <v>26</v>
      </c>
      <c r="N15" s="1597">
        <v>234.09</v>
      </c>
      <c r="O15" s="1598">
        <v>48.9</v>
      </c>
      <c r="P15" s="1599">
        <v>3.87</v>
      </c>
      <c r="Q15" s="1600">
        <v>26</v>
      </c>
    </row>
    <row r="16" spans="3:21">
      <c r="C16" s="1605" t="s">
        <v>833</v>
      </c>
      <c r="D16" s="1577">
        <v>5</v>
      </c>
      <c r="E16" s="1601">
        <v>100</v>
      </c>
      <c r="F16" s="1602">
        <v>5</v>
      </c>
      <c r="G16" s="1602">
        <v>12</v>
      </c>
      <c r="H16" s="1603">
        <v>17.760000000000002</v>
      </c>
      <c r="I16" s="1604">
        <v>13.94</v>
      </c>
      <c r="J16" s="1412">
        <v>255.57</v>
      </c>
      <c r="K16" s="1419">
        <v>51.11</v>
      </c>
      <c r="L16" s="1413">
        <v>3.79</v>
      </c>
      <c r="M16" s="1414">
        <v>30.76</v>
      </c>
      <c r="N16" s="1412">
        <v>255.57</v>
      </c>
      <c r="O16" s="1419">
        <v>51.11</v>
      </c>
      <c r="P16" s="1413">
        <v>3.79</v>
      </c>
      <c r="Q16" s="1414">
        <v>30.76</v>
      </c>
    </row>
    <row r="17" spans="3:17" ht="13.5">
      <c r="C17" s="1584" t="s">
        <v>2004</v>
      </c>
      <c r="D17" s="1577">
        <v>6</v>
      </c>
      <c r="E17" s="1593">
        <v>100</v>
      </c>
      <c r="F17" s="1594">
        <v>6</v>
      </c>
      <c r="G17" s="1594">
        <v>14</v>
      </c>
      <c r="H17" s="1595">
        <v>20.81</v>
      </c>
      <c r="I17" s="1596">
        <v>16.329999999999998</v>
      </c>
      <c r="J17" s="1597">
        <v>290.14</v>
      </c>
      <c r="K17" s="1598">
        <v>58.03</v>
      </c>
      <c r="L17" s="1599">
        <v>3.73</v>
      </c>
      <c r="M17" s="1600">
        <v>35.44</v>
      </c>
      <c r="N17" s="1597">
        <v>290.14</v>
      </c>
      <c r="O17" s="1598">
        <v>58.03</v>
      </c>
      <c r="P17" s="1599">
        <v>3.73</v>
      </c>
      <c r="Q17" s="1600">
        <v>35.44</v>
      </c>
    </row>
    <row r="18" spans="3:17">
      <c r="C18" s="1605" t="s">
        <v>831</v>
      </c>
      <c r="D18" s="1577">
        <v>7</v>
      </c>
      <c r="E18" s="1601">
        <v>110</v>
      </c>
      <c r="F18" s="1602">
        <v>3</v>
      </c>
      <c r="G18" s="1602" t="s">
        <v>834</v>
      </c>
      <c r="H18" s="1603">
        <v>12.47</v>
      </c>
      <c r="I18" s="1604">
        <v>9.7899999999999991</v>
      </c>
      <c r="J18" s="1412">
        <v>233.59</v>
      </c>
      <c r="K18" s="1419">
        <v>42.47</v>
      </c>
      <c r="L18" s="1413">
        <v>4.33</v>
      </c>
      <c r="M18" s="1414">
        <v>24.7</v>
      </c>
      <c r="N18" s="1412">
        <v>233.59</v>
      </c>
      <c r="O18" s="1419">
        <v>42.47</v>
      </c>
      <c r="P18" s="1413">
        <v>4.33</v>
      </c>
      <c r="Q18" s="1414">
        <v>24.7</v>
      </c>
    </row>
    <row r="19" spans="3:17">
      <c r="C19" s="1605" t="s">
        <v>833</v>
      </c>
      <c r="D19" s="1577">
        <v>8</v>
      </c>
      <c r="E19" s="1593">
        <v>110</v>
      </c>
      <c r="F19" s="1594">
        <v>6</v>
      </c>
      <c r="G19" s="1594">
        <v>14</v>
      </c>
      <c r="H19" s="1595">
        <v>23.31</v>
      </c>
      <c r="I19" s="1596">
        <v>19.22</v>
      </c>
      <c r="J19" s="1597">
        <v>398.8</v>
      </c>
      <c r="K19" s="1598">
        <v>72.510000000000005</v>
      </c>
      <c r="L19" s="1599">
        <v>4.1500000000000004</v>
      </c>
      <c r="M19" s="1600">
        <v>43.91</v>
      </c>
      <c r="N19" s="1597">
        <v>398.8</v>
      </c>
      <c r="O19" s="1598">
        <v>72.510000000000005</v>
      </c>
      <c r="P19" s="1599">
        <v>4.1500000000000004</v>
      </c>
      <c r="Q19" s="1600">
        <v>43.91</v>
      </c>
    </row>
    <row r="20" spans="3:17" ht="13.5">
      <c r="C20" s="1584" t="s">
        <v>2004</v>
      </c>
      <c r="D20" s="1577">
        <v>9</v>
      </c>
      <c r="E20" s="1601">
        <v>120</v>
      </c>
      <c r="F20" s="1602">
        <v>8</v>
      </c>
      <c r="G20" s="1602">
        <v>22</v>
      </c>
      <c r="H20" s="1603">
        <v>32.270000000000003</v>
      </c>
      <c r="I20" s="1604">
        <v>25.33</v>
      </c>
      <c r="J20" s="1412">
        <v>624.02</v>
      </c>
      <c r="K20" s="1419">
        <v>84.33</v>
      </c>
      <c r="L20" s="1413">
        <v>4.4000000000000004</v>
      </c>
      <c r="M20" s="1414">
        <v>64.58</v>
      </c>
      <c r="N20" s="1412">
        <v>624.02</v>
      </c>
      <c r="O20" s="1419">
        <v>84.33</v>
      </c>
      <c r="P20" s="1413">
        <v>4.4000000000000004</v>
      </c>
      <c r="Q20" s="1414">
        <v>64.58</v>
      </c>
    </row>
    <row r="21" spans="3:17" ht="13.5">
      <c r="C21" s="1584" t="s">
        <v>2007</v>
      </c>
      <c r="D21" s="1577">
        <v>10</v>
      </c>
      <c r="E21" s="1593">
        <v>140</v>
      </c>
      <c r="F21" s="1594">
        <v>5</v>
      </c>
      <c r="G21" s="1594">
        <v>10</v>
      </c>
      <c r="H21" s="1595">
        <v>25.93</v>
      </c>
      <c r="I21" s="1596">
        <v>20.350000000000001</v>
      </c>
      <c r="J21" s="1597">
        <v>761.14</v>
      </c>
      <c r="K21" s="1598">
        <v>109.88</v>
      </c>
      <c r="L21" s="1599">
        <v>5.45</v>
      </c>
      <c r="M21" s="1600">
        <v>64.63</v>
      </c>
      <c r="N21" s="1597">
        <v>761.14</v>
      </c>
      <c r="O21" s="1598">
        <v>109.88</v>
      </c>
      <c r="P21" s="1599">
        <v>5.45</v>
      </c>
      <c r="Q21" s="1600">
        <v>64.63</v>
      </c>
    </row>
    <row r="22" spans="3:17" ht="13.5">
      <c r="C22" s="1584" t="s">
        <v>2004</v>
      </c>
      <c r="D22" s="1577">
        <v>11</v>
      </c>
      <c r="E22" s="1601">
        <v>140</v>
      </c>
      <c r="F22" s="1602">
        <v>5</v>
      </c>
      <c r="G22" s="1602">
        <v>12</v>
      </c>
      <c r="H22" s="1603">
        <v>25.76</v>
      </c>
      <c r="I22" s="1604">
        <v>20.22</v>
      </c>
      <c r="J22" s="1412">
        <v>780.54</v>
      </c>
      <c r="K22" s="1419">
        <v>108.62</v>
      </c>
      <c r="L22" s="1413">
        <v>5.43</v>
      </c>
      <c r="M22" s="1414">
        <v>64.010000000000005</v>
      </c>
      <c r="N22" s="1412">
        <v>780.54</v>
      </c>
      <c r="O22" s="1419">
        <v>108.62</v>
      </c>
      <c r="P22" s="1413">
        <v>5.43</v>
      </c>
      <c r="Q22" s="1414">
        <v>64.010000000000005</v>
      </c>
    </row>
    <row r="23" spans="3:17">
      <c r="C23" s="1605" t="s">
        <v>833</v>
      </c>
      <c r="D23" s="1577">
        <v>12</v>
      </c>
      <c r="E23" s="1593">
        <v>140</v>
      </c>
      <c r="F23" s="1594">
        <v>6</v>
      </c>
      <c r="G23" s="1594">
        <v>14</v>
      </c>
      <c r="H23" s="1595">
        <v>30.31</v>
      </c>
      <c r="I23" s="1596">
        <v>23.79</v>
      </c>
      <c r="J23" s="1597">
        <v>873.5</v>
      </c>
      <c r="K23" s="1598">
        <v>110.57</v>
      </c>
      <c r="L23" s="1599">
        <v>5.37</v>
      </c>
      <c r="M23" s="1600">
        <v>74.349999999999994</v>
      </c>
      <c r="N23" s="1597">
        <v>873.5</v>
      </c>
      <c r="O23" s="1598">
        <v>110.57</v>
      </c>
      <c r="P23" s="1599">
        <v>5.37</v>
      </c>
      <c r="Q23" s="1600">
        <v>74.349999999999994</v>
      </c>
    </row>
    <row r="24" spans="3:17">
      <c r="C24" s="1605" t="s">
        <v>833</v>
      </c>
      <c r="D24" s="1577">
        <v>13</v>
      </c>
      <c r="E24" s="1601">
        <v>140</v>
      </c>
      <c r="F24" s="1602">
        <v>7</v>
      </c>
      <c r="G24" s="1602">
        <v>18</v>
      </c>
      <c r="H24" s="1603">
        <v>34.659999999999997</v>
      </c>
      <c r="I24" s="1604">
        <v>27.81</v>
      </c>
      <c r="J24" s="1412">
        <v>974.21</v>
      </c>
      <c r="K24" s="1419">
        <v>139.16999999999999</v>
      </c>
      <c r="L24" s="1413">
        <v>5.3</v>
      </c>
      <c r="M24" s="1414">
        <v>83.87</v>
      </c>
      <c r="N24" s="1412">
        <v>974.21</v>
      </c>
      <c r="O24" s="1419">
        <v>139.16999999999999</v>
      </c>
      <c r="P24" s="1413">
        <v>5.3</v>
      </c>
      <c r="Q24" s="1414">
        <v>83.87</v>
      </c>
    </row>
    <row r="25" spans="3:17" ht="13.5">
      <c r="C25" s="1584" t="s">
        <v>2004</v>
      </c>
      <c r="D25" s="1577">
        <v>14</v>
      </c>
      <c r="E25" s="1593">
        <v>140</v>
      </c>
      <c r="F25" s="1594">
        <v>8</v>
      </c>
      <c r="G25" s="1594">
        <v>22</v>
      </c>
      <c r="H25" s="1595">
        <v>38.67</v>
      </c>
      <c r="I25" s="1596">
        <v>30.36</v>
      </c>
      <c r="J25" s="1597">
        <v>1055.26</v>
      </c>
      <c r="K25" s="1598">
        <v>150.75</v>
      </c>
      <c r="L25" s="1599">
        <v>5.22</v>
      </c>
      <c r="M25" s="1600">
        <v>92.08</v>
      </c>
      <c r="N25" s="1597">
        <v>1055.26</v>
      </c>
      <c r="O25" s="1598">
        <v>150.75</v>
      </c>
      <c r="P25" s="1599">
        <v>5.22</v>
      </c>
      <c r="Q25" s="1600">
        <v>92.08</v>
      </c>
    </row>
    <row r="26" spans="3:17" ht="14.25" thickBot="1">
      <c r="C26" s="1584" t="s">
        <v>2004</v>
      </c>
      <c r="D26" s="1577">
        <v>15</v>
      </c>
      <c r="E26" s="1606">
        <v>150</v>
      </c>
      <c r="F26" s="1607">
        <v>8</v>
      </c>
      <c r="G26" s="1607">
        <v>22</v>
      </c>
      <c r="H26" s="1608">
        <v>41.86</v>
      </c>
      <c r="I26" s="1609">
        <v>32.86</v>
      </c>
      <c r="J26" s="1610">
        <v>1329.97</v>
      </c>
      <c r="K26" s="1611">
        <v>177.23</v>
      </c>
      <c r="L26" s="1612">
        <v>5.64</v>
      </c>
      <c r="M26" s="1613">
        <v>107.63</v>
      </c>
      <c r="N26" s="1610">
        <v>1329.97</v>
      </c>
      <c r="O26" s="1611">
        <v>177.23</v>
      </c>
      <c r="P26" s="1612">
        <v>5.64</v>
      </c>
      <c r="Q26" s="1613">
        <v>107.63</v>
      </c>
    </row>
    <row r="27" spans="3:17">
      <c r="C27" s="1605"/>
      <c r="D27" s="1614"/>
      <c r="E27" s="1266"/>
      <c r="F27" s="1615"/>
      <c r="G27" s="1615"/>
      <c r="H27" s="1616"/>
      <c r="I27" s="1617"/>
      <c r="J27" s="1618"/>
      <c r="K27" s="1618"/>
      <c r="L27" s="1618"/>
      <c r="M27" s="1618"/>
      <c r="N27" s="1618"/>
      <c r="O27" s="1618"/>
      <c r="P27" s="1618"/>
      <c r="Q27" s="1618"/>
    </row>
    <row r="28" spans="3:17">
      <c r="C28" s="1619"/>
      <c r="D28" s="1614"/>
      <c r="E28" s="1266"/>
      <c r="F28" s="1615"/>
      <c r="G28" s="1615"/>
      <c r="H28" s="1616"/>
      <c r="I28" s="1617"/>
      <c r="J28" s="1618"/>
      <c r="K28" s="1618"/>
      <c r="L28" s="1618"/>
      <c r="M28" s="1618"/>
      <c r="N28" s="1618"/>
      <c r="O28" s="1618"/>
      <c r="P28" s="1618"/>
      <c r="Q28" s="1618"/>
    </row>
    <row r="29" spans="3:17" ht="13.5">
      <c r="C29" s="1584" t="s">
        <v>2004</v>
      </c>
      <c r="D29" s="1238" t="s">
        <v>835</v>
      </c>
      <c r="E29" s="1266"/>
      <c r="F29" s="1615"/>
      <c r="G29" s="1615"/>
      <c r="H29" s="1616"/>
      <c r="I29" s="1617"/>
      <c r="J29" s="1618"/>
      <c r="K29" s="1618"/>
      <c r="L29" s="1618"/>
      <c r="M29" s="1618"/>
      <c r="N29" s="1618"/>
      <c r="O29" s="1618"/>
      <c r="P29" s="1618"/>
      <c r="Q29" s="1618"/>
    </row>
    <row r="30" spans="3:17" ht="13.5">
      <c r="C30" s="1584" t="s">
        <v>2007</v>
      </c>
      <c r="D30" s="1238" t="s">
        <v>836</v>
      </c>
    </row>
    <row r="35" spans="3:14">
      <c r="C35" s="1605"/>
      <c r="D35" s="1620"/>
      <c r="E35" s="1621"/>
    </row>
    <row r="36" spans="3:14" hidden="1">
      <c r="C36" s="1605"/>
      <c r="D36" s="1620"/>
      <c r="E36" s="1621"/>
    </row>
    <row r="37" spans="3:14" hidden="1">
      <c r="D37" s="1620">
        <v>1</v>
      </c>
      <c r="E37" s="1621" t="s">
        <v>837</v>
      </c>
    </row>
    <row r="38" spans="3:14" hidden="1">
      <c r="D38" s="1620">
        <v>2</v>
      </c>
      <c r="E38" s="1621" t="s">
        <v>838</v>
      </c>
    </row>
    <row r="39" spans="3:14" ht="13.5" hidden="1" thickBot="1">
      <c r="D39" s="1620">
        <v>3</v>
      </c>
      <c r="E39" s="1622" t="s">
        <v>839</v>
      </c>
    </row>
    <row r="40" spans="3:14" ht="15" hidden="1" thickBot="1">
      <c r="D40" s="1620">
        <v>4</v>
      </c>
      <c r="E40" s="1622" t="s">
        <v>1995</v>
      </c>
      <c r="M40" s="1067">
        <v>4</v>
      </c>
      <c r="N40" s="1623" t="s">
        <v>159</v>
      </c>
    </row>
    <row r="41" spans="3:14" ht="13.5" hidden="1" thickBot="1">
      <c r="D41" s="1620">
        <v>5</v>
      </c>
      <c r="E41" s="1622" t="s">
        <v>1994</v>
      </c>
      <c r="M41" s="1068">
        <v>2</v>
      </c>
      <c r="N41" s="1624" t="s">
        <v>135</v>
      </c>
    </row>
    <row r="42" spans="3:14" ht="14.25" hidden="1">
      <c r="D42" s="1620">
        <v>6</v>
      </c>
      <c r="E42" s="1622" t="s">
        <v>1997</v>
      </c>
    </row>
    <row r="43" spans="3:14" ht="14.25" hidden="1">
      <c r="D43" s="1620">
        <v>7</v>
      </c>
      <c r="E43" s="1622" t="s">
        <v>1998</v>
      </c>
    </row>
    <row r="44" spans="3:14" hidden="1">
      <c r="D44" s="1620">
        <v>8</v>
      </c>
      <c r="E44" s="1622" t="s">
        <v>1568</v>
      </c>
    </row>
    <row r="45" spans="3:14" hidden="1">
      <c r="D45" s="1620">
        <v>9</v>
      </c>
      <c r="E45" s="1622" t="s">
        <v>136</v>
      </c>
    </row>
    <row r="46" spans="3:14" ht="14.25" hidden="1">
      <c r="D46" s="1620">
        <v>10</v>
      </c>
      <c r="E46" s="1622" t="s">
        <v>1999</v>
      </c>
    </row>
    <row r="47" spans="3:14" ht="14.25" hidden="1">
      <c r="D47" s="1620">
        <v>11</v>
      </c>
      <c r="E47" s="1622" t="s">
        <v>2000</v>
      </c>
    </row>
    <row r="48" spans="3:14" hidden="1">
      <c r="D48" s="1620">
        <v>12</v>
      </c>
      <c r="E48" s="1622" t="s">
        <v>2001</v>
      </c>
    </row>
    <row r="49" spans="3:11" hidden="1">
      <c r="D49" s="1620">
        <v>13</v>
      </c>
      <c r="E49" s="1622" t="s">
        <v>840</v>
      </c>
    </row>
    <row r="50" spans="3:11" hidden="1"/>
    <row r="51" spans="3:11" hidden="1"/>
    <row r="52" spans="3:11" hidden="1"/>
    <row r="53" spans="3:11" hidden="1"/>
    <row r="54" spans="3:11" hidden="1"/>
    <row r="55" spans="3:11" hidden="1"/>
    <row r="57" spans="3:11">
      <c r="C57" s="1605"/>
    </row>
    <row r="58" spans="3:11">
      <c r="C58" s="1605"/>
    </row>
    <row r="59" spans="3:11">
      <c r="K59" s="1238"/>
    </row>
    <row r="60" spans="3:11">
      <c r="K60" s="1238"/>
    </row>
  </sheetData>
  <pageMargins left="0.75" right="0.75" top="1" bottom="1" header="0.5" footer="0.5"/>
  <pageSetup paperSize="9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Line="0" autoPict="0" macro="[0]!Вначало">
                <anchor moveWithCells="1" sizeWithCells="1">
                  <from>
                    <xdr:col>6</xdr:col>
                    <xdr:colOff>9525</xdr:colOff>
                    <xdr:row>0</xdr:row>
                    <xdr:rowOff>47625</xdr:rowOff>
                  </from>
                  <to>
                    <xdr:col>13</xdr:col>
                    <xdr:colOff>228600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5" name="Drop Down 38">
              <controlPr defaultSize="0" print="0" autoLine="0" autoPict="0" macro="[0]!Мак1_для_листа16">
                <anchor moveWithCells="1">
                  <from>
                    <xdr:col>11</xdr:col>
                    <xdr:colOff>57150</xdr:colOff>
                    <xdr:row>1</xdr:row>
                    <xdr:rowOff>47625</xdr:rowOff>
                  </from>
                  <to>
                    <xdr:col>16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6" name="Drop Down 39">
              <controlPr defaultSize="0" print="0" autoLine="0" autoPict="0" macro="[0]!Мак2_для_листа16">
                <anchor moveWithCells="1">
                  <from>
                    <xdr:col>11</xdr:col>
                    <xdr:colOff>66675</xdr:colOff>
                    <xdr:row>3</xdr:row>
                    <xdr:rowOff>133350</xdr:rowOff>
                  </from>
                  <to>
                    <xdr:col>13</xdr:col>
                    <xdr:colOff>142875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1"/>
  <dimension ref="C1:U65"/>
  <sheetViews>
    <sheetView workbookViewId="0">
      <pane ySplit="11" topLeftCell="A12" activePane="bottomLeft" state="frozenSplit"/>
      <selection pane="bottomLeft"/>
    </sheetView>
  </sheetViews>
  <sheetFormatPr defaultColWidth="9.140625" defaultRowHeight="12.75"/>
  <cols>
    <col min="1" max="1" width="2.85546875" style="1238" customWidth="1"/>
    <col min="2" max="2" width="1.5703125" style="1238" customWidth="1"/>
    <col min="3" max="3" width="6.42578125" style="1238" customWidth="1"/>
    <col min="4" max="4" width="3.85546875" style="1238" customWidth="1"/>
    <col min="5" max="5" width="4.7109375" style="1238" customWidth="1"/>
    <col min="6" max="6" width="4.85546875" style="1238" customWidth="1"/>
    <col min="7" max="7" width="4.7109375" style="1238" customWidth="1"/>
    <col min="8" max="8" width="5" style="1238" customWidth="1"/>
    <col min="9" max="9" width="7.42578125" style="1238" customWidth="1"/>
    <col min="10" max="10" width="5.7109375" style="1238" customWidth="1"/>
    <col min="11" max="11" width="7.42578125" style="1239" customWidth="1"/>
    <col min="12" max="12" width="7.5703125" style="1238" customWidth="1"/>
    <col min="13" max="13" width="6.28515625" style="1238" customWidth="1"/>
    <col min="14" max="14" width="6.42578125" style="1238" customWidth="1"/>
    <col min="15" max="15" width="6.5703125" style="1238" customWidth="1"/>
    <col min="16" max="16" width="6.7109375" style="1238" customWidth="1"/>
    <col min="17" max="18" width="6.42578125" style="1238" customWidth="1"/>
    <col min="19" max="19" width="6.28515625" style="1238" customWidth="1"/>
    <col min="20" max="20" width="5.42578125" style="1238" customWidth="1"/>
    <col min="21" max="21" width="5.140625" style="1238" customWidth="1"/>
    <col min="22" max="16384" width="9.140625" style="1238"/>
  </cols>
  <sheetData>
    <row r="1" spans="3:21" ht="22.5" customHeight="1" thickBot="1">
      <c r="H1" s="1484"/>
    </row>
    <row r="2" spans="3:21" ht="14.25" customHeight="1" thickBot="1">
      <c r="F2" s="1266"/>
      <c r="G2" s="1534"/>
      <c r="H2" s="1535"/>
      <c r="I2" s="1535"/>
      <c r="J2" s="1536" t="s">
        <v>1481</v>
      </c>
      <c r="K2" s="1249"/>
      <c r="L2" s="1625"/>
      <c r="M2" s="1537"/>
      <c r="N2" s="1538"/>
      <c r="O2" s="1538"/>
      <c r="P2" s="1538"/>
      <c r="Q2" s="1538"/>
      <c r="R2" s="1539"/>
      <c r="S2" s="1266"/>
      <c r="T2" s="1266"/>
      <c r="U2" s="1266"/>
    </row>
    <row r="3" spans="3:21" ht="13.5" thickBot="1">
      <c r="F3" s="1266"/>
      <c r="G3" s="1540"/>
      <c r="H3" s="1626"/>
      <c r="I3" s="1541"/>
      <c r="J3" s="1102">
        <v>11.41</v>
      </c>
      <c r="K3" s="1542">
        <f>I3*J3</f>
        <v>0</v>
      </c>
      <c r="L3" s="1543" t="s">
        <v>1483</v>
      </c>
      <c r="M3" s="1627"/>
      <c r="N3" s="1628"/>
      <c r="O3" s="1546"/>
      <c r="P3" s="1546"/>
      <c r="Q3" s="1546"/>
      <c r="R3" s="1547"/>
      <c r="S3" s="1266"/>
      <c r="T3" s="1266"/>
      <c r="U3" s="1266"/>
    </row>
    <row r="4" spans="3:21" ht="13.5" thickBot="1">
      <c r="F4" s="1266"/>
      <c r="G4" s="1540"/>
      <c r="H4" s="1626"/>
      <c r="I4" s="1541"/>
      <c r="J4" s="1232">
        <f>J3</f>
        <v>11.41</v>
      </c>
      <c r="K4" s="1548">
        <f>IF(I4=0,0,I4/J4)</f>
        <v>0</v>
      </c>
      <c r="L4" s="1549" t="s">
        <v>1926</v>
      </c>
      <c r="M4" s="1627"/>
      <c r="N4" s="1628"/>
      <c r="O4" s="1546"/>
      <c r="P4" s="1546"/>
      <c r="Q4" s="1546"/>
      <c r="R4" s="1547"/>
      <c r="S4" s="1266"/>
      <c r="T4" s="1266"/>
      <c r="U4" s="1266"/>
    </row>
    <row r="5" spans="3:21" ht="13.5" thickBot="1">
      <c r="D5" s="1550"/>
      <c r="F5" s="1266"/>
      <c r="G5" s="1253"/>
      <c r="H5" s="1254"/>
      <c r="I5" s="1551" t="s">
        <v>1486</v>
      </c>
      <c r="J5" s="1069">
        <v>14.54</v>
      </c>
      <c r="K5" s="1254"/>
      <c r="L5" s="1552" t="s">
        <v>110</v>
      </c>
      <c r="M5" s="1544"/>
      <c r="N5" s="1628"/>
      <c r="O5" s="1554"/>
      <c r="P5" s="1554"/>
      <c r="Q5" s="1554"/>
      <c r="R5" s="1555"/>
      <c r="S5" s="1265"/>
      <c r="T5" s="1265"/>
      <c r="U5" s="1265"/>
    </row>
    <row r="6" spans="3:21" ht="13.5" thickBot="1">
      <c r="D6" s="1550"/>
      <c r="F6" s="1266"/>
      <c r="G6" s="1556"/>
      <c r="H6" s="1558"/>
      <c r="I6" s="1557" t="s">
        <v>1488</v>
      </c>
      <c r="J6" s="1103">
        <v>120</v>
      </c>
      <c r="K6" s="1629"/>
      <c r="L6" s="1559" t="str">
        <f>CHOOSE(M40,E11,F11,G11,H11,I11,J11,K11,L11,M11,N11,O11,P11,Q11,R11)</f>
        <v>мм</v>
      </c>
      <c r="M6" s="1630"/>
      <c r="N6" s="1631"/>
      <c r="O6" s="1554"/>
      <c r="P6" s="1554"/>
      <c r="Q6" s="1554"/>
      <c r="R6" s="1555"/>
      <c r="S6" s="1265"/>
      <c r="T6" s="1265"/>
      <c r="U6" s="1265"/>
    </row>
    <row r="7" spans="3:21" ht="15.75" customHeight="1" thickBot="1">
      <c r="D7" s="1550"/>
      <c r="F7" s="1266"/>
      <c r="G7" s="1270"/>
      <c r="H7" s="1271"/>
      <c r="I7" s="1271"/>
      <c r="J7" s="1271"/>
      <c r="K7" s="1271"/>
      <c r="L7" s="1272"/>
      <c r="M7" s="1561"/>
      <c r="N7" s="1562"/>
      <c r="O7" s="1562"/>
      <c r="P7" s="1562"/>
      <c r="Q7" s="1562"/>
      <c r="R7" s="1563"/>
      <c r="S7" s="1265"/>
      <c r="T7" s="1265"/>
      <c r="U7" s="1265"/>
    </row>
    <row r="8" spans="3:21" ht="16.5" customHeight="1" thickBot="1">
      <c r="D8" s="1550"/>
      <c r="G8" s="1239"/>
      <c r="H8" s="1239"/>
      <c r="I8" s="1239"/>
      <c r="J8" s="1239"/>
      <c r="L8" s="1239"/>
      <c r="M8" s="1564" t="s">
        <v>881</v>
      </c>
      <c r="N8" s="1239"/>
      <c r="O8" s="1239"/>
      <c r="P8" s="1239"/>
      <c r="Q8" s="1239"/>
      <c r="R8" s="1239"/>
      <c r="S8" s="1239"/>
      <c r="T8" s="1239"/>
      <c r="U8" s="1239"/>
    </row>
    <row r="9" spans="3:21" ht="36.75" customHeight="1">
      <c r="E9" s="1632"/>
      <c r="F9" s="1566"/>
      <c r="G9" s="1566"/>
      <c r="H9" s="1567" t="s">
        <v>829</v>
      </c>
      <c r="I9" s="1471" t="s">
        <v>112</v>
      </c>
      <c r="J9" s="1471" t="s">
        <v>1491</v>
      </c>
      <c r="K9" s="1468" t="s">
        <v>113</v>
      </c>
      <c r="L9" s="1567" t="s">
        <v>114</v>
      </c>
      <c r="M9" s="1567" t="s">
        <v>115</v>
      </c>
      <c r="N9" s="1567" t="s">
        <v>116</v>
      </c>
      <c r="O9" s="1468" t="s">
        <v>117</v>
      </c>
      <c r="P9" s="1567" t="s">
        <v>118</v>
      </c>
      <c r="Q9" s="1568" t="s">
        <v>118</v>
      </c>
      <c r="R9" s="1470" t="s">
        <v>116</v>
      </c>
    </row>
    <row r="10" spans="3:21" s="1569" customFormat="1" ht="18.75">
      <c r="E10" s="1573" t="s">
        <v>120</v>
      </c>
      <c r="F10" s="1571" t="s">
        <v>1528</v>
      </c>
      <c r="G10" s="1571" t="s">
        <v>121</v>
      </c>
      <c r="H10" s="1572" t="s">
        <v>1532</v>
      </c>
      <c r="I10" s="1573" t="s">
        <v>1531</v>
      </c>
      <c r="J10" s="1573" t="s">
        <v>1530</v>
      </c>
      <c r="K10" s="1573" t="s">
        <v>1940</v>
      </c>
      <c r="L10" s="1571" t="s">
        <v>122</v>
      </c>
      <c r="M10" s="1571" t="s">
        <v>123</v>
      </c>
      <c r="N10" s="1571" t="s">
        <v>124</v>
      </c>
      <c r="O10" s="1573" t="s">
        <v>1943</v>
      </c>
      <c r="P10" s="1571" t="s">
        <v>125</v>
      </c>
      <c r="Q10" s="1574" t="s">
        <v>1945</v>
      </c>
      <c r="R10" s="1575" t="s">
        <v>830</v>
      </c>
    </row>
    <row r="11" spans="3:21" s="1576" customFormat="1" ht="15" thickBot="1">
      <c r="D11" s="1633" t="s">
        <v>1544</v>
      </c>
      <c r="E11" s="1580" t="s">
        <v>1545</v>
      </c>
      <c r="F11" s="1579" t="s">
        <v>1545</v>
      </c>
      <c r="G11" s="1579" t="s">
        <v>1545</v>
      </c>
      <c r="H11" s="1579" t="s">
        <v>1545</v>
      </c>
      <c r="I11" s="1580" t="s">
        <v>1954</v>
      </c>
      <c r="J11" s="1581" t="s">
        <v>1483</v>
      </c>
      <c r="K11" s="1580" t="s">
        <v>1956</v>
      </c>
      <c r="L11" s="1579" t="s">
        <v>127</v>
      </c>
      <c r="M11" s="1579" t="s">
        <v>1549</v>
      </c>
      <c r="N11" s="1579" t="s">
        <v>127</v>
      </c>
      <c r="O11" s="1580" t="s">
        <v>1956</v>
      </c>
      <c r="P11" s="1579" t="s">
        <v>127</v>
      </c>
      <c r="Q11" s="1582" t="s">
        <v>1549</v>
      </c>
      <c r="R11" s="1583" t="s">
        <v>127</v>
      </c>
    </row>
    <row r="12" spans="3:21">
      <c r="C12" s="1605" t="s">
        <v>831</v>
      </c>
      <c r="D12" s="1633">
        <v>1</v>
      </c>
      <c r="E12" s="1585">
        <v>97</v>
      </c>
      <c r="F12" s="1634">
        <v>80</v>
      </c>
      <c r="G12" s="1586">
        <v>3</v>
      </c>
      <c r="H12" s="1586">
        <v>6</v>
      </c>
      <c r="I12" s="1587">
        <v>9.8699999999999992</v>
      </c>
      <c r="J12" s="1588">
        <v>7.76</v>
      </c>
      <c r="K12" s="1589">
        <v>134.72999999999999</v>
      </c>
      <c r="L12" s="1590">
        <v>27.78</v>
      </c>
      <c r="M12" s="1591">
        <v>3.69</v>
      </c>
      <c r="N12" s="1592">
        <v>21.99</v>
      </c>
      <c r="O12" s="1591">
        <v>100.45</v>
      </c>
      <c r="P12" s="1591">
        <v>25.11</v>
      </c>
      <c r="Q12" s="1591">
        <v>3.19</v>
      </c>
      <c r="R12" s="1592">
        <v>14.5</v>
      </c>
    </row>
    <row r="13" spans="3:21">
      <c r="C13" s="1605" t="s">
        <v>831</v>
      </c>
      <c r="D13" s="1633">
        <v>2</v>
      </c>
      <c r="E13" s="1593">
        <v>120</v>
      </c>
      <c r="F13" s="1635">
        <v>80</v>
      </c>
      <c r="G13" s="1594">
        <v>4</v>
      </c>
      <c r="H13" s="1594">
        <v>8</v>
      </c>
      <c r="I13" s="1595">
        <v>14.54</v>
      </c>
      <c r="J13" s="1596">
        <v>11.41</v>
      </c>
      <c r="K13" s="1597">
        <v>279.35000000000002</v>
      </c>
      <c r="L13" s="1598">
        <v>42.33</v>
      </c>
      <c r="M13" s="1599">
        <v>4.38</v>
      </c>
      <c r="N13" s="1600">
        <v>28.63</v>
      </c>
      <c r="O13" s="1599">
        <v>150.46</v>
      </c>
      <c r="P13" s="1599">
        <v>37.619999999999997</v>
      </c>
      <c r="Q13" s="1599">
        <v>3.22</v>
      </c>
      <c r="R13" s="1600">
        <v>21.27</v>
      </c>
    </row>
    <row r="14" spans="3:21">
      <c r="C14" s="1605" t="s">
        <v>833</v>
      </c>
      <c r="D14" s="1633">
        <v>3</v>
      </c>
      <c r="E14" s="1601">
        <v>120</v>
      </c>
      <c r="F14" s="1636">
        <v>80</v>
      </c>
      <c r="G14" s="1602">
        <v>6</v>
      </c>
      <c r="H14" s="1602">
        <v>14</v>
      </c>
      <c r="I14" s="1603">
        <v>20.71</v>
      </c>
      <c r="J14" s="1604">
        <v>16.25</v>
      </c>
      <c r="K14" s="1412">
        <v>341.47</v>
      </c>
      <c r="L14" s="1419">
        <v>53.83</v>
      </c>
      <c r="M14" s="1413">
        <v>4.24</v>
      </c>
      <c r="N14" s="1414">
        <v>32.28</v>
      </c>
      <c r="O14" s="1413">
        <v>199.52</v>
      </c>
      <c r="P14" s="1413">
        <v>49.88</v>
      </c>
      <c r="Q14" s="1413">
        <v>3.1</v>
      </c>
      <c r="R14" s="1414">
        <v>29.85</v>
      </c>
    </row>
    <row r="15" spans="3:21">
      <c r="C15" s="1605" t="s">
        <v>833</v>
      </c>
      <c r="D15" s="1633">
        <v>4</v>
      </c>
      <c r="E15" s="1593">
        <v>150</v>
      </c>
      <c r="F15" s="1635">
        <v>100</v>
      </c>
      <c r="G15" s="1594">
        <v>6</v>
      </c>
      <c r="H15" s="1594">
        <v>14</v>
      </c>
      <c r="I15" s="1595">
        <v>26.71</v>
      </c>
      <c r="J15" s="1596">
        <v>20.96</v>
      </c>
      <c r="K15" s="1597">
        <v>780.9</v>
      </c>
      <c r="L15" s="1598">
        <v>92.96</v>
      </c>
      <c r="M15" s="1599">
        <v>5.41</v>
      </c>
      <c r="N15" s="1600">
        <v>64.8</v>
      </c>
      <c r="O15" s="1599">
        <v>420.07</v>
      </c>
      <c r="P15" s="1599">
        <v>84.01</v>
      </c>
      <c r="Q15" s="1599">
        <v>3.97</v>
      </c>
      <c r="R15" s="1600">
        <v>49.27</v>
      </c>
    </row>
    <row r="16" spans="3:21" ht="13.5">
      <c r="C16" s="1584" t="s">
        <v>2004</v>
      </c>
      <c r="D16" s="1633">
        <v>5</v>
      </c>
      <c r="E16" s="1601">
        <v>150</v>
      </c>
      <c r="F16" s="1636">
        <v>100</v>
      </c>
      <c r="G16" s="1602">
        <v>8</v>
      </c>
      <c r="H16" s="1602">
        <v>22</v>
      </c>
      <c r="I16" s="1603">
        <v>34.42</v>
      </c>
      <c r="J16" s="1604">
        <v>27.02</v>
      </c>
      <c r="K16" s="1412">
        <v>959.61</v>
      </c>
      <c r="L16" s="1419">
        <v>127.96</v>
      </c>
      <c r="M16" s="1413">
        <v>5.28</v>
      </c>
      <c r="N16" s="1414">
        <v>81.39</v>
      </c>
      <c r="O16" s="1413">
        <v>513.87</v>
      </c>
      <c r="P16" s="1413">
        <v>102.77</v>
      </c>
      <c r="Q16" s="1413">
        <v>3.86</v>
      </c>
      <c r="R16" s="1414">
        <v>61.77</v>
      </c>
    </row>
    <row r="17" spans="3:18" ht="13.5">
      <c r="C17" s="1584" t="s">
        <v>2004</v>
      </c>
      <c r="D17" s="1633">
        <v>6</v>
      </c>
      <c r="E17" s="1593">
        <v>160</v>
      </c>
      <c r="F17" s="1635">
        <v>80</v>
      </c>
      <c r="G17" s="1594">
        <v>4</v>
      </c>
      <c r="H17" s="1594">
        <v>10</v>
      </c>
      <c r="I17" s="1595">
        <v>17.87</v>
      </c>
      <c r="J17" s="1596">
        <v>14.03</v>
      </c>
      <c r="K17" s="1597">
        <v>579.88</v>
      </c>
      <c r="L17" s="1598">
        <v>69.03</v>
      </c>
      <c r="M17" s="1599">
        <v>5.7</v>
      </c>
      <c r="N17" s="1600">
        <v>45.32</v>
      </c>
      <c r="O17" s="1599">
        <v>199.05</v>
      </c>
      <c r="P17" s="1599">
        <v>49.76</v>
      </c>
      <c r="Q17" s="1599">
        <v>3.34</v>
      </c>
      <c r="R17" s="1600">
        <v>28.14</v>
      </c>
    </row>
    <row r="18" spans="3:18">
      <c r="C18" s="1605" t="s">
        <v>833</v>
      </c>
      <c r="D18" s="1633">
        <v>7</v>
      </c>
      <c r="E18" s="1601">
        <v>160</v>
      </c>
      <c r="F18" s="1636">
        <v>80</v>
      </c>
      <c r="G18" s="1602">
        <v>7</v>
      </c>
      <c r="H18" s="1602">
        <v>18</v>
      </c>
      <c r="I18" s="1603">
        <v>29.12</v>
      </c>
      <c r="J18" s="1604">
        <v>22.86</v>
      </c>
      <c r="K18" s="1412">
        <v>857.47</v>
      </c>
      <c r="L18" s="1419">
        <v>94.75</v>
      </c>
      <c r="M18" s="1413">
        <v>5.43</v>
      </c>
      <c r="N18" s="1414">
        <v>70.02</v>
      </c>
      <c r="O18" s="1413">
        <v>292.89999999999998</v>
      </c>
      <c r="P18" s="1413">
        <v>73.22</v>
      </c>
      <c r="Q18" s="1413">
        <v>3.17</v>
      </c>
      <c r="R18" s="1414">
        <v>43.43</v>
      </c>
    </row>
    <row r="19" spans="3:18" ht="13.5">
      <c r="C19" s="1584" t="s">
        <v>2007</v>
      </c>
      <c r="D19" s="1633">
        <v>8</v>
      </c>
      <c r="E19" s="1593">
        <v>160</v>
      </c>
      <c r="F19" s="1635">
        <v>120</v>
      </c>
      <c r="G19" s="1594">
        <v>3</v>
      </c>
      <c r="H19" s="1594">
        <v>6</v>
      </c>
      <c r="I19" s="1595">
        <v>16.05</v>
      </c>
      <c r="J19" s="1596">
        <v>12.6</v>
      </c>
      <c r="K19" s="1597">
        <v>601.73</v>
      </c>
      <c r="L19" s="1598">
        <v>75.22</v>
      </c>
      <c r="M19" s="1599">
        <v>6.12</v>
      </c>
      <c r="N19" s="1600">
        <v>44.69</v>
      </c>
      <c r="O19" s="1599">
        <v>388.86</v>
      </c>
      <c r="P19" s="1599">
        <v>64.81</v>
      </c>
      <c r="Q19" s="1599">
        <v>4.92</v>
      </c>
      <c r="R19" s="1600">
        <v>36.369999999999997</v>
      </c>
    </row>
    <row r="20" spans="3:18">
      <c r="C20" s="1605" t="s">
        <v>831</v>
      </c>
      <c r="D20" s="1633">
        <v>9</v>
      </c>
      <c r="E20" s="1601">
        <v>160</v>
      </c>
      <c r="F20" s="1636">
        <v>120</v>
      </c>
      <c r="G20" s="1602">
        <v>4</v>
      </c>
      <c r="H20" s="1602" t="s">
        <v>832</v>
      </c>
      <c r="I20" s="1603">
        <v>20.94</v>
      </c>
      <c r="J20" s="1604">
        <v>16.43</v>
      </c>
      <c r="K20" s="1412">
        <v>765.5</v>
      </c>
      <c r="L20" s="1419">
        <v>89.01</v>
      </c>
      <c r="M20" s="1413">
        <v>6.05</v>
      </c>
      <c r="N20" s="1414">
        <v>57.24</v>
      </c>
      <c r="O20" s="1413">
        <v>494.73</v>
      </c>
      <c r="P20" s="1413">
        <v>82.45</v>
      </c>
      <c r="Q20" s="1413">
        <v>4.8600000000000003</v>
      </c>
      <c r="R20" s="1414">
        <v>47.19</v>
      </c>
    </row>
    <row r="21" spans="3:18" ht="13.5">
      <c r="C21" s="1584" t="s">
        <v>2004</v>
      </c>
      <c r="D21" s="1633">
        <v>10</v>
      </c>
      <c r="E21" s="1593">
        <v>160</v>
      </c>
      <c r="F21" s="1635">
        <v>130</v>
      </c>
      <c r="G21" s="1594">
        <v>7</v>
      </c>
      <c r="H21" s="1594">
        <v>18</v>
      </c>
      <c r="I21" s="1595">
        <v>36.06</v>
      </c>
      <c r="J21" s="1596">
        <v>28.3</v>
      </c>
      <c r="K21" s="1597">
        <v>1263.31</v>
      </c>
      <c r="L21" s="1598">
        <v>157.91</v>
      </c>
      <c r="M21" s="1599">
        <v>5.92</v>
      </c>
      <c r="N21" s="1600">
        <v>96.54</v>
      </c>
      <c r="O21" s="1599">
        <v>921.02</v>
      </c>
      <c r="P21" s="1599">
        <v>141.69999999999999</v>
      </c>
      <c r="Q21" s="1599">
        <v>5.05</v>
      </c>
      <c r="R21" s="1600">
        <v>83.99</v>
      </c>
    </row>
    <row r="22" spans="3:18" ht="13.5">
      <c r="C22" s="1584" t="s">
        <v>2007</v>
      </c>
      <c r="D22" s="1633">
        <v>11</v>
      </c>
      <c r="E22" s="1601">
        <v>160</v>
      </c>
      <c r="F22" s="1636">
        <v>130</v>
      </c>
      <c r="G22" s="1602">
        <v>7</v>
      </c>
      <c r="H22" s="1602">
        <v>18</v>
      </c>
      <c r="I22" s="1603">
        <v>36.06</v>
      </c>
      <c r="J22" s="1604">
        <v>28.3</v>
      </c>
      <c r="K22" s="1412">
        <v>1263.31</v>
      </c>
      <c r="L22" s="1419">
        <v>157.91</v>
      </c>
      <c r="M22" s="1413">
        <v>5.92</v>
      </c>
      <c r="N22" s="1414">
        <v>96.54</v>
      </c>
      <c r="O22" s="1413">
        <v>921.02</v>
      </c>
      <c r="P22" s="1413">
        <v>141.69999999999999</v>
      </c>
      <c r="Q22" s="1413">
        <v>5.05</v>
      </c>
      <c r="R22" s="1414">
        <v>83.99</v>
      </c>
    </row>
    <row r="23" spans="3:18">
      <c r="C23" s="1605" t="s">
        <v>831</v>
      </c>
      <c r="D23" s="1633">
        <v>12</v>
      </c>
      <c r="E23" s="1593">
        <v>180</v>
      </c>
      <c r="F23" s="1635">
        <v>75</v>
      </c>
      <c r="G23" s="1594">
        <v>4</v>
      </c>
      <c r="H23" s="1594" t="s">
        <v>832</v>
      </c>
      <c r="I23" s="1595">
        <v>18.940000000000001</v>
      </c>
      <c r="J23" s="1596">
        <v>14.86</v>
      </c>
      <c r="K23" s="1597">
        <v>737.11</v>
      </c>
      <c r="L23" s="1598">
        <v>76.78</v>
      </c>
      <c r="M23" s="1599">
        <v>6.24</v>
      </c>
      <c r="N23" s="1600">
        <v>52.27</v>
      </c>
      <c r="O23" s="1599">
        <v>190.15</v>
      </c>
      <c r="P23" s="1599">
        <v>50.71</v>
      </c>
      <c r="Q23" s="1599">
        <v>3.17</v>
      </c>
      <c r="R23" s="1600">
        <v>28.5</v>
      </c>
    </row>
    <row r="24" spans="3:18">
      <c r="C24" s="1605" t="s">
        <v>833</v>
      </c>
      <c r="D24" s="1633">
        <v>13</v>
      </c>
      <c r="E24" s="1601">
        <v>180</v>
      </c>
      <c r="F24" s="1636">
        <v>75</v>
      </c>
      <c r="G24" s="1602">
        <v>5</v>
      </c>
      <c r="H24" s="1602">
        <v>12</v>
      </c>
      <c r="I24" s="1603">
        <v>23.26</v>
      </c>
      <c r="J24" s="1604">
        <v>18.260000000000002</v>
      </c>
      <c r="K24" s="1412">
        <v>883.02</v>
      </c>
      <c r="L24" s="1419">
        <v>98.11</v>
      </c>
      <c r="M24" s="1413">
        <v>6.16</v>
      </c>
      <c r="N24" s="1414">
        <v>63.33</v>
      </c>
      <c r="O24" s="1413">
        <v>226.38</v>
      </c>
      <c r="P24" s="1413">
        <v>60.37</v>
      </c>
      <c r="Q24" s="1413">
        <v>3.12</v>
      </c>
      <c r="R24" s="1414">
        <v>34.44</v>
      </c>
    </row>
    <row r="25" spans="3:18">
      <c r="C25" s="1605" t="s">
        <v>833</v>
      </c>
      <c r="D25" s="1633">
        <v>14</v>
      </c>
      <c r="E25" s="1593">
        <v>180</v>
      </c>
      <c r="F25" s="1635">
        <v>75</v>
      </c>
      <c r="G25" s="1594">
        <v>6</v>
      </c>
      <c r="H25" s="1594">
        <v>14</v>
      </c>
      <c r="I25" s="1595">
        <v>27.31</v>
      </c>
      <c r="J25" s="1596">
        <v>21.44</v>
      </c>
      <c r="K25" s="1597">
        <v>1005.32</v>
      </c>
      <c r="L25" s="1598">
        <v>101.55</v>
      </c>
      <c r="M25" s="1599">
        <v>6.07</v>
      </c>
      <c r="N25" s="1600">
        <v>73.13</v>
      </c>
      <c r="O25" s="1599">
        <v>256.87</v>
      </c>
      <c r="P25" s="1599">
        <v>68.5</v>
      </c>
      <c r="Q25" s="1599">
        <v>3.07</v>
      </c>
      <c r="R25" s="1600">
        <v>39.72</v>
      </c>
    </row>
    <row r="26" spans="3:18" ht="13.5">
      <c r="C26" s="1584" t="s">
        <v>2004</v>
      </c>
      <c r="D26" s="1633">
        <v>15</v>
      </c>
      <c r="E26" s="1601">
        <v>180</v>
      </c>
      <c r="F26" s="1636">
        <v>125</v>
      </c>
      <c r="G26" s="1602">
        <v>4</v>
      </c>
      <c r="H26" s="1602">
        <v>10</v>
      </c>
      <c r="I26" s="1603">
        <v>22.94</v>
      </c>
      <c r="J26" s="1604">
        <v>18</v>
      </c>
      <c r="K26" s="1412">
        <v>1046.92</v>
      </c>
      <c r="L26" s="1419">
        <v>116.32</v>
      </c>
      <c r="M26" s="1413">
        <v>6.76</v>
      </c>
      <c r="N26" s="1414">
        <v>69.87</v>
      </c>
      <c r="O26" s="1413">
        <v>601.91</v>
      </c>
      <c r="P26" s="1413">
        <v>87.84</v>
      </c>
      <c r="Q26" s="1413">
        <v>5.12</v>
      </c>
      <c r="R26" s="1414">
        <v>54.69</v>
      </c>
    </row>
    <row r="27" spans="3:18">
      <c r="C27" s="1605" t="s">
        <v>833</v>
      </c>
      <c r="D27" s="1633">
        <v>16</v>
      </c>
      <c r="E27" s="1593">
        <v>180</v>
      </c>
      <c r="F27" s="1635">
        <v>125</v>
      </c>
      <c r="G27" s="1594">
        <v>5</v>
      </c>
      <c r="H27" s="1594">
        <v>12</v>
      </c>
      <c r="I27" s="1595">
        <v>28.26</v>
      </c>
      <c r="J27" s="1596">
        <v>22.18</v>
      </c>
      <c r="K27" s="1597">
        <v>1265.94</v>
      </c>
      <c r="L27" s="1598">
        <v>140.66</v>
      </c>
      <c r="M27" s="1599">
        <v>6.69</v>
      </c>
      <c r="N27" s="1600">
        <v>85.2</v>
      </c>
      <c r="O27" s="1599">
        <v>726.58</v>
      </c>
      <c r="P27" s="1599">
        <v>116.25</v>
      </c>
      <c r="Q27" s="1599">
        <v>5.07</v>
      </c>
      <c r="R27" s="1600">
        <v>66.63</v>
      </c>
    </row>
    <row r="28" spans="3:18">
      <c r="C28" s="1605" t="s">
        <v>833</v>
      </c>
      <c r="D28" s="1633">
        <v>17</v>
      </c>
      <c r="E28" s="1601">
        <v>220</v>
      </c>
      <c r="F28" s="1636">
        <v>100</v>
      </c>
      <c r="G28" s="1602">
        <v>5</v>
      </c>
      <c r="H28" s="1602">
        <v>12</v>
      </c>
      <c r="I28" s="1603">
        <v>29.71</v>
      </c>
      <c r="J28" s="1604">
        <v>23.32</v>
      </c>
      <c r="K28" s="1412">
        <v>1771.58</v>
      </c>
      <c r="L28" s="1419">
        <v>150.77000000000001</v>
      </c>
      <c r="M28" s="1413">
        <v>7.72</v>
      </c>
      <c r="N28" s="1414">
        <v>101.78</v>
      </c>
      <c r="O28" s="1413">
        <v>525.41999999999996</v>
      </c>
      <c r="P28" s="1413">
        <v>105.08</v>
      </c>
      <c r="Q28" s="1413">
        <v>4.21</v>
      </c>
      <c r="R28" s="1414">
        <v>59.15</v>
      </c>
    </row>
    <row r="29" spans="3:18" ht="13.5">
      <c r="C29" s="1619" t="s">
        <v>841</v>
      </c>
      <c r="D29" s="1633">
        <v>18</v>
      </c>
      <c r="E29" s="1637">
        <v>230</v>
      </c>
      <c r="F29" s="1638">
        <v>100</v>
      </c>
      <c r="G29" s="1639">
        <v>5</v>
      </c>
      <c r="H29" s="1639">
        <v>22</v>
      </c>
      <c r="I29" s="1640">
        <v>29.9</v>
      </c>
      <c r="J29" s="1641">
        <v>23.47</v>
      </c>
      <c r="K29" s="1642">
        <v>1868.01</v>
      </c>
      <c r="L29" s="1643">
        <v>162.44</v>
      </c>
      <c r="M29" s="1644">
        <v>7.9</v>
      </c>
      <c r="N29" s="1645">
        <v>104.48</v>
      </c>
      <c r="O29" s="1644">
        <v>525.04999999999995</v>
      </c>
      <c r="P29" s="1644">
        <v>105.01</v>
      </c>
      <c r="Q29" s="1644">
        <v>4.1900000000000004</v>
      </c>
      <c r="R29" s="1645">
        <v>59.31</v>
      </c>
    </row>
    <row r="30" spans="3:18" ht="14.25" thickBot="1">
      <c r="C30" s="1584" t="s">
        <v>2004</v>
      </c>
      <c r="D30" s="1633">
        <v>19</v>
      </c>
      <c r="E30" s="1606">
        <v>230</v>
      </c>
      <c r="F30" s="1646">
        <v>100</v>
      </c>
      <c r="G30" s="1607">
        <v>8</v>
      </c>
      <c r="H30" s="1607">
        <v>22</v>
      </c>
      <c r="I30" s="1608">
        <v>46.47</v>
      </c>
      <c r="J30" s="1609">
        <v>36.64</v>
      </c>
      <c r="K30" s="1610">
        <v>2804.05</v>
      </c>
      <c r="L30" s="1611">
        <v>243.83</v>
      </c>
      <c r="M30" s="1612">
        <v>7.75</v>
      </c>
      <c r="N30" s="1613">
        <v>159.76</v>
      </c>
      <c r="O30" s="1612">
        <v>770.24</v>
      </c>
      <c r="P30" s="1612">
        <v>154.05000000000001</v>
      </c>
      <c r="Q30" s="1612">
        <v>4.0599999999999996</v>
      </c>
      <c r="R30" s="1613">
        <v>89.73</v>
      </c>
    </row>
    <row r="32" spans="3:18" ht="13.5">
      <c r="C32" s="1584" t="s">
        <v>2004</v>
      </c>
      <c r="D32" s="1238" t="s">
        <v>835</v>
      </c>
    </row>
    <row r="33" spans="3:14" ht="13.5">
      <c r="C33" s="1584" t="s">
        <v>2007</v>
      </c>
      <c r="D33" s="1238" t="s">
        <v>836</v>
      </c>
    </row>
    <row r="35" spans="3:14">
      <c r="D35" s="1620"/>
      <c r="E35" s="1621"/>
    </row>
    <row r="36" spans="3:14" hidden="1">
      <c r="D36" s="1647">
        <v>1</v>
      </c>
      <c r="E36" s="1621" t="s">
        <v>842</v>
      </c>
    </row>
    <row r="37" spans="3:14" hidden="1">
      <c r="D37" s="1647">
        <v>2</v>
      </c>
      <c r="E37" s="1621" t="s">
        <v>837</v>
      </c>
    </row>
    <row r="38" spans="3:14" hidden="1">
      <c r="D38" s="1647">
        <v>3</v>
      </c>
      <c r="E38" s="1621" t="s">
        <v>838</v>
      </c>
    </row>
    <row r="39" spans="3:14" ht="13.5" hidden="1" thickBot="1">
      <c r="D39" s="1647">
        <v>4</v>
      </c>
      <c r="E39" s="1622" t="s">
        <v>839</v>
      </c>
    </row>
    <row r="40" spans="3:14" ht="15" hidden="1" thickBot="1">
      <c r="D40" s="1647">
        <v>5</v>
      </c>
      <c r="E40" s="1622" t="s">
        <v>1995</v>
      </c>
      <c r="M40" s="1067">
        <v>1</v>
      </c>
      <c r="N40" s="1623" t="s">
        <v>159</v>
      </c>
    </row>
    <row r="41" spans="3:14" ht="13.5" hidden="1" thickBot="1">
      <c r="D41" s="1647">
        <v>6</v>
      </c>
      <c r="E41" s="1622" t="s">
        <v>1994</v>
      </c>
      <c r="M41" s="1068">
        <v>2</v>
      </c>
      <c r="N41" s="1624" t="s">
        <v>2005</v>
      </c>
    </row>
    <row r="42" spans="3:14" ht="14.25" hidden="1">
      <c r="D42" s="1647">
        <v>7</v>
      </c>
      <c r="E42" s="1622" t="s">
        <v>1997</v>
      </c>
    </row>
    <row r="43" spans="3:14" ht="14.25" hidden="1">
      <c r="D43" s="1647">
        <v>8</v>
      </c>
      <c r="E43" s="1622" t="s">
        <v>1998</v>
      </c>
    </row>
    <row r="44" spans="3:14" hidden="1">
      <c r="D44" s="1647">
        <v>9</v>
      </c>
      <c r="E44" s="1622" t="s">
        <v>1568</v>
      </c>
    </row>
    <row r="45" spans="3:14" hidden="1">
      <c r="D45" s="1647">
        <v>10</v>
      </c>
      <c r="E45" s="1622" t="s">
        <v>136</v>
      </c>
    </row>
    <row r="46" spans="3:14" ht="14.25" hidden="1">
      <c r="D46" s="1647">
        <v>11</v>
      </c>
      <c r="E46" s="1622" t="s">
        <v>1999</v>
      </c>
    </row>
    <row r="47" spans="3:14" ht="14.25" hidden="1">
      <c r="D47" s="1647">
        <v>12</v>
      </c>
      <c r="E47" s="1622" t="s">
        <v>2000</v>
      </c>
    </row>
    <row r="48" spans="3:14" hidden="1">
      <c r="D48" s="1647">
        <v>13</v>
      </c>
      <c r="E48" s="1622" t="s">
        <v>2001</v>
      </c>
    </row>
    <row r="49" spans="3:11" hidden="1">
      <c r="D49" s="1647">
        <v>14</v>
      </c>
      <c r="E49" s="1622" t="s">
        <v>840</v>
      </c>
    </row>
    <row r="50" spans="3:11" hidden="1"/>
    <row r="51" spans="3:11" hidden="1"/>
    <row r="52" spans="3:11" hidden="1"/>
    <row r="53" spans="3:11" hidden="1"/>
    <row r="54" spans="3:11" hidden="1"/>
    <row r="55" spans="3:11" hidden="1"/>
    <row r="56" spans="3:11" hidden="1"/>
    <row r="57" spans="3:11" hidden="1">
      <c r="C57" s="1605"/>
    </row>
    <row r="58" spans="3:11" hidden="1">
      <c r="C58" s="1605"/>
    </row>
    <row r="59" spans="3:11" hidden="1">
      <c r="K59" s="1238"/>
    </row>
    <row r="60" spans="3:11" hidden="1">
      <c r="K60" s="1238"/>
    </row>
    <row r="61" spans="3:11" hidden="1"/>
    <row r="62" spans="3:11" hidden="1"/>
    <row r="63" spans="3:11" hidden="1"/>
    <row r="64" spans="3:11" hidden="1"/>
    <row r="65" hidden="1"/>
  </sheetData>
  <pageMargins left="0.75" right="0.75" top="1" bottom="1" header="0.5" footer="0.5"/>
  <pageSetup paperSize="9" orientation="portrait" horizontalDpi="2400" verticalDpi="2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3">
              <controlPr defaultSize="0" print="0" autoFill="0" autoLine="0" autoPict="0" macro="[0]!Вначало">
                <anchor mov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14</xdr:col>
                    <xdr:colOff>247650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5" name="Drop Down 57">
              <controlPr defaultSize="0" print="0" autoFill="0" autoLine="0" autoPict="0" macro="[0]!Мак1_для_листа17">
                <anchor moveWithCells="1">
                  <from>
                    <xdr:col>12</xdr:col>
                    <xdr:colOff>38100</xdr:colOff>
                    <xdr:row>1</xdr:row>
                    <xdr:rowOff>47625</xdr:rowOff>
                  </from>
                  <to>
                    <xdr:col>17</xdr:col>
                    <xdr:colOff>171450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" name="Drop Down 58">
              <controlPr defaultSize="0" print="0" autoFill="0" autoLine="0" autoPict="0" macro="[0]!Мак2_для_листа17">
                <anchor moveWithCells="1">
                  <from>
                    <xdr:col>12</xdr:col>
                    <xdr:colOff>57150</xdr:colOff>
                    <xdr:row>3</xdr:row>
                    <xdr:rowOff>19050</xdr:rowOff>
                  </from>
                  <to>
                    <xdr:col>14</xdr:col>
                    <xdr:colOff>171450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22"/>
  <dimension ref="A1:AB175"/>
  <sheetViews>
    <sheetView workbookViewId="0">
      <pane ySplit="11" topLeftCell="A38" activePane="bottomLeft" state="frozenSplit"/>
      <selection pane="bottomLeft" activeCell="F42" sqref="F42"/>
    </sheetView>
  </sheetViews>
  <sheetFormatPr defaultColWidth="9.140625" defaultRowHeight="12.75"/>
  <cols>
    <col min="1" max="1" width="6" style="1238" customWidth="1"/>
    <col min="2" max="2" width="5.28515625" style="1238" customWidth="1"/>
    <col min="3" max="3" width="7.28515625" style="1650" customWidth="1"/>
    <col min="4" max="4" width="3.85546875" style="1238" customWidth="1"/>
    <col min="5" max="5" width="6.42578125" style="1238" customWidth="1"/>
    <col min="6" max="6" width="4.85546875" style="1238" customWidth="1"/>
    <col min="7" max="7" width="5.7109375" style="1238" customWidth="1"/>
    <col min="8" max="8" width="8.42578125" style="1238" customWidth="1"/>
    <col min="9" max="9" width="8.7109375" style="1238" customWidth="1"/>
    <col min="10" max="10" width="8.140625" style="1238" customWidth="1"/>
    <col min="11" max="11" width="7.5703125" style="1239" customWidth="1"/>
    <col min="12" max="12" width="7.5703125" style="1238" customWidth="1"/>
    <col min="13" max="13" width="6.28515625" style="1238" customWidth="1"/>
    <col min="14" max="14" width="8.140625" style="1238" customWidth="1"/>
    <col min="15" max="15" width="7.42578125" style="1238" bestFit="1" customWidth="1"/>
    <col min="16" max="16" width="6.7109375" style="1238" customWidth="1"/>
    <col min="17" max="18" width="6.42578125" style="1238" customWidth="1"/>
    <col min="19" max="19" width="6.28515625" style="1238" customWidth="1"/>
    <col min="20" max="20" width="5.42578125" style="1238" customWidth="1"/>
    <col min="21" max="21" width="5.140625" style="1238" customWidth="1"/>
    <col min="22" max="27" width="9.140625" style="1238"/>
    <col min="28" max="28" width="9.140625" style="1238" hidden="1" customWidth="1"/>
    <col min="29" max="16384" width="9.140625" style="1238"/>
  </cols>
  <sheetData>
    <row r="1" spans="1:21" ht="22.5" customHeight="1" thickBot="1"/>
    <row r="2" spans="1:21" ht="14.25" customHeight="1" thickBot="1">
      <c r="F2" s="1266"/>
      <c r="G2" s="1534"/>
      <c r="H2" s="1535"/>
      <c r="I2" s="1536" t="s">
        <v>1924</v>
      </c>
      <c r="J2" s="1249"/>
      <c r="K2" s="1250"/>
      <c r="L2" s="1651"/>
      <c r="M2" s="1538"/>
      <c r="N2" s="1538"/>
      <c r="O2" s="1538"/>
      <c r="P2" s="1538"/>
      <c r="Q2" s="1539"/>
      <c r="R2" s="1266"/>
      <c r="S2" s="1266"/>
      <c r="T2" s="1266"/>
      <c r="U2" s="1266"/>
    </row>
    <row r="3" spans="1:21" ht="13.5" thickBot="1">
      <c r="F3" s="1266"/>
      <c r="G3" s="1540"/>
      <c r="H3" s="1123">
        <v>174</v>
      </c>
      <c r="I3" s="1102">
        <v>5.92</v>
      </c>
      <c r="J3" s="1542">
        <f>H3*I3</f>
        <v>1030.08</v>
      </c>
      <c r="K3" s="1543" t="s">
        <v>1483</v>
      </c>
      <c r="L3" s="1544"/>
      <c r="M3" s="1545"/>
      <c r="N3" s="1628"/>
      <c r="O3" s="1546"/>
      <c r="P3" s="1546"/>
      <c r="Q3" s="1547"/>
      <c r="R3" s="1266"/>
      <c r="S3" s="1266"/>
      <c r="T3" s="1266"/>
      <c r="U3" s="1266"/>
    </row>
    <row r="4" spans="1:21" ht="13.5" thickBot="1">
      <c r="F4" s="1266"/>
      <c r="G4" s="1540"/>
      <c r="H4" s="1123"/>
      <c r="I4" s="1254">
        <f>I3</f>
        <v>5.92</v>
      </c>
      <c r="J4" s="1548">
        <f>IF(I4=0,0,H4/I4)</f>
        <v>0</v>
      </c>
      <c r="K4" s="1549" t="s">
        <v>1926</v>
      </c>
      <c r="L4" s="1544"/>
      <c r="M4" s="1545"/>
      <c r="N4" s="1628"/>
      <c r="O4" s="1546"/>
      <c r="P4" s="1546"/>
      <c r="Q4" s="1547"/>
      <c r="R4" s="1266"/>
      <c r="S4" s="1266"/>
      <c r="T4" s="1266"/>
      <c r="U4" s="1266"/>
    </row>
    <row r="5" spans="1:21" ht="13.5" thickBot="1">
      <c r="D5" s="1550"/>
      <c r="F5" s="1266"/>
      <c r="G5" s="1253"/>
      <c r="H5" s="1551" t="s">
        <v>1486</v>
      </c>
      <c r="I5" s="1069">
        <v>7.54</v>
      </c>
      <c r="J5" s="1254"/>
      <c r="K5" s="1552" t="s">
        <v>110</v>
      </c>
      <c r="L5" s="1553"/>
      <c r="M5" s="1554"/>
      <c r="N5" s="1628"/>
      <c r="O5" s="1554"/>
      <c r="P5" s="1554"/>
      <c r="Q5" s="1555"/>
      <c r="R5" s="1265"/>
      <c r="S5" s="1265"/>
      <c r="T5" s="1265"/>
      <c r="U5" s="1265"/>
    </row>
    <row r="6" spans="1:21" ht="13.5" thickBot="1">
      <c r="D6" s="1550"/>
      <c r="F6" s="1266"/>
      <c r="G6" s="1556"/>
      <c r="H6" s="1557" t="s">
        <v>1488</v>
      </c>
      <c r="I6" s="1103">
        <v>6</v>
      </c>
      <c r="J6" s="1558"/>
      <c r="K6" s="1559" t="str">
        <f>CHOOSE(M130,E11,F11,G11,H11,I11,J11,K11,L11,M11,N11,O11,P11,Q11)</f>
        <v>мм</v>
      </c>
      <c r="L6" s="1560"/>
      <c r="M6" s="1546"/>
      <c r="N6" s="1546"/>
      <c r="O6" s="1554"/>
      <c r="P6" s="1554"/>
      <c r="Q6" s="1555"/>
      <c r="R6" s="1265"/>
      <c r="S6" s="1265"/>
      <c r="T6" s="1265"/>
      <c r="U6" s="1265"/>
    </row>
    <row r="7" spans="1:21" ht="7.5" customHeight="1" thickBot="1">
      <c r="D7" s="1550"/>
      <c r="F7" s="1266"/>
      <c r="G7" s="1270"/>
      <c r="H7" s="1271"/>
      <c r="I7" s="1271"/>
      <c r="J7" s="1271"/>
      <c r="K7" s="1272"/>
      <c r="L7" s="1561"/>
      <c r="M7" s="1562"/>
      <c r="N7" s="1562"/>
      <c r="O7" s="1562"/>
      <c r="P7" s="1562"/>
      <c r="Q7" s="1563"/>
      <c r="R7" s="1265"/>
      <c r="S7" s="1265"/>
      <c r="T7" s="1265"/>
      <c r="U7" s="1265"/>
    </row>
    <row r="8" spans="1:21" ht="13.5" thickBot="1">
      <c r="D8" s="1550"/>
      <c r="G8" s="1239"/>
      <c r="H8" s="1239"/>
      <c r="I8" s="1239"/>
      <c r="J8" s="1239"/>
      <c r="L8" s="1239"/>
      <c r="M8" s="1564" t="s">
        <v>883</v>
      </c>
      <c r="N8" s="1239"/>
      <c r="O8" s="1239"/>
      <c r="P8" s="1239"/>
      <c r="Q8" s="1239"/>
      <c r="R8" s="1239"/>
      <c r="S8" s="1239"/>
      <c r="T8" s="1239"/>
      <c r="U8" s="1239"/>
    </row>
    <row r="9" spans="1:21" ht="27" customHeight="1">
      <c r="E9" s="1565"/>
      <c r="F9" s="1566"/>
      <c r="G9" s="1567" t="s">
        <v>829</v>
      </c>
      <c r="H9" s="1471" t="s">
        <v>112</v>
      </c>
      <c r="I9" s="1471" t="s">
        <v>1491</v>
      </c>
      <c r="J9" s="1468" t="s">
        <v>882</v>
      </c>
      <c r="K9" s="1567" t="s">
        <v>114</v>
      </c>
      <c r="L9" s="1567" t="s">
        <v>115</v>
      </c>
      <c r="M9" s="1567" t="s">
        <v>116</v>
      </c>
      <c r="N9" s="1468" t="s">
        <v>117</v>
      </c>
      <c r="O9" s="1567" t="s">
        <v>118</v>
      </c>
      <c r="P9" s="1568" t="s">
        <v>118</v>
      </c>
      <c r="Q9" s="1470" t="s">
        <v>116</v>
      </c>
    </row>
    <row r="10" spans="1:21" s="1569" customFormat="1" ht="18.75">
      <c r="C10" s="1652"/>
      <c r="E10" s="1570" t="s">
        <v>289</v>
      </c>
      <c r="F10" s="1571" t="s">
        <v>121</v>
      </c>
      <c r="G10" s="1572" t="s">
        <v>1532</v>
      </c>
      <c r="H10" s="1573" t="s">
        <v>1531</v>
      </c>
      <c r="I10" s="1573" t="s">
        <v>1530</v>
      </c>
      <c r="J10" s="1573" t="s">
        <v>1940</v>
      </c>
      <c r="K10" s="1571" t="s">
        <v>122</v>
      </c>
      <c r="L10" s="1571" t="s">
        <v>123</v>
      </c>
      <c r="M10" s="1571" t="s">
        <v>124</v>
      </c>
      <c r="N10" s="1573" t="s">
        <v>1943</v>
      </c>
      <c r="O10" s="1571" t="s">
        <v>125</v>
      </c>
      <c r="P10" s="1574" t="s">
        <v>1945</v>
      </c>
      <c r="Q10" s="1575" t="s">
        <v>830</v>
      </c>
    </row>
    <row r="11" spans="1:21" s="1576" customFormat="1" ht="16.5" thickBot="1">
      <c r="A11" s="1569"/>
      <c r="C11" s="1653"/>
      <c r="D11" s="1654" t="s">
        <v>1544</v>
      </c>
      <c r="E11" s="1578" t="s">
        <v>1545</v>
      </c>
      <c r="F11" s="1579" t="s">
        <v>1545</v>
      </c>
      <c r="G11" s="1579" t="s">
        <v>1545</v>
      </c>
      <c r="H11" s="1580" t="s">
        <v>1954</v>
      </c>
      <c r="I11" s="1581" t="s">
        <v>1483</v>
      </c>
      <c r="J11" s="1580" t="s">
        <v>1956</v>
      </c>
      <c r="K11" s="1579" t="s">
        <v>127</v>
      </c>
      <c r="L11" s="1579" t="s">
        <v>1549</v>
      </c>
      <c r="M11" s="1579" t="s">
        <v>127</v>
      </c>
      <c r="N11" s="1580" t="s">
        <v>1956</v>
      </c>
      <c r="O11" s="1579" t="s">
        <v>127</v>
      </c>
      <c r="P11" s="1582" t="s">
        <v>1549</v>
      </c>
      <c r="Q11" s="1583" t="s">
        <v>127</v>
      </c>
    </row>
    <row r="12" spans="1:21" ht="15.75">
      <c r="A12" s="1569"/>
      <c r="C12" s="1655" t="str">
        <f>IF(AND(E12&lt;60,F12&lt;8),"I, III",IF(AND(E12&lt;=100,F12&lt;=5),"I, II, III",IF(AND(E12&lt;=120,F12&lt;=8),"I, II",IF(AND(E12&gt;=60,F12&gt;4),"II",""))))</f>
        <v>I, III</v>
      </c>
      <c r="D12" s="1654">
        <v>1</v>
      </c>
      <c r="E12" s="1585">
        <v>10</v>
      </c>
      <c r="F12" s="1656">
        <v>1</v>
      </c>
      <c r="G12" s="1586">
        <v>2</v>
      </c>
      <c r="H12" s="1657">
        <v>0.34300000000000003</v>
      </c>
      <c r="I12" s="1658">
        <v>0.26900000000000002</v>
      </c>
      <c r="J12" s="1659">
        <v>4.5199999999999997E-2</v>
      </c>
      <c r="K12" s="1660">
        <v>9.0399999999999994E-2</v>
      </c>
      <c r="L12" s="1591"/>
      <c r="M12" s="1592"/>
      <c r="N12" s="1659">
        <v>4.5199999999999997E-2</v>
      </c>
      <c r="O12" s="1660">
        <v>9.0399999999999994E-2</v>
      </c>
      <c r="P12" s="1591">
        <v>0</v>
      </c>
      <c r="Q12" s="1592">
        <v>0</v>
      </c>
    </row>
    <row r="13" spans="1:21">
      <c r="C13" s="1655" t="str">
        <f t="shared" ref="C13:C76" si="0">IF(AND(E13&lt;60,F13&lt;8),"I, III",IF(AND(E13&lt;=100,F13&lt;=5),"I, II, III",IF(AND(E13&lt;=120,F13&lt;=8),"I, II",IF(AND(E13&gt;=60,F13&gt;4),"II",""))))</f>
        <v>I, III</v>
      </c>
      <c r="D13" s="1654">
        <v>2</v>
      </c>
      <c r="E13" s="1593">
        <v>15</v>
      </c>
      <c r="F13" s="1661">
        <v>1</v>
      </c>
      <c r="G13" s="1594">
        <v>2</v>
      </c>
      <c r="H13" s="1662">
        <v>0.54300000000000004</v>
      </c>
      <c r="I13" s="1663">
        <v>0.42599999999999999</v>
      </c>
      <c r="J13" s="1664">
        <v>0.17599999999999999</v>
      </c>
      <c r="K13" s="1665">
        <v>0.23466666666666666</v>
      </c>
      <c r="L13" s="1599"/>
      <c r="M13" s="1600"/>
      <c r="N13" s="1664">
        <v>0.17599999999999999</v>
      </c>
      <c r="O13" s="1666">
        <v>0.23466666666666666</v>
      </c>
      <c r="P13" s="1599">
        <v>0</v>
      </c>
      <c r="Q13" s="1600">
        <v>0</v>
      </c>
    </row>
    <row r="14" spans="1:21">
      <c r="C14" s="1655" t="str">
        <f t="shared" si="0"/>
        <v>I, III</v>
      </c>
      <c r="D14" s="1654">
        <v>3</v>
      </c>
      <c r="E14" s="1593">
        <v>15</v>
      </c>
      <c r="F14" s="1661">
        <v>1.5</v>
      </c>
      <c r="G14" s="1594">
        <v>3</v>
      </c>
      <c r="H14" s="1662">
        <v>0.77100000000000002</v>
      </c>
      <c r="I14" s="1663">
        <v>0.60499999999999998</v>
      </c>
      <c r="J14" s="1664">
        <v>0.29899999999999999</v>
      </c>
      <c r="K14" s="1665">
        <v>0.39866666666666667</v>
      </c>
      <c r="L14" s="1599"/>
      <c r="M14" s="1600"/>
      <c r="N14" s="1664">
        <v>0.29899999999999999</v>
      </c>
      <c r="O14" s="1666">
        <v>0.39866666666666667</v>
      </c>
      <c r="P14" s="1599">
        <v>0</v>
      </c>
      <c r="Q14" s="1600">
        <v>0</v>
      </c>
    </row>
    <row r="15" spans="1:21">
      <c r="C15" s="1655" t="str">
        <f t="shared" si="0"/>
        <v>I, III</v>
      </c>
      <c r="D15" s="1654">
        <v>4</v>
      </c>
      <c r="E15" s="1601">
        <v>20</v>
      </c>
      <c r="F15" s="1667">
        <v>1</v>
      </c>
      <c r="G15" s="1602">
        <v>2</v>
      </c>
      <c r="H15" s="1668">
        <v>0.74299999999999999</v>
      </c>
      <c r="I15" s="1669">
        <v>0.58299999999999996</v>
      </c>
      <c r="J15" s="1670">
        <v>0.442</v>
      </c>
      <c r="K15" s="1671">
        <v>0.442</v>
      </c>
      <c r="L15" s="1413"/>
      <c r="M15" s="1414"/>
      <c r="N15" s="1670">
        <v>0.442</v>
      </c>
      <c r="O15" s="1672">
        <v>0.442</v>
      </c>
      <c r="P15" s="1413">
        <v>0</v>
      </c>
      <c r="Q15" s="1414">
        <v>0</v>
      </c>
    </row>
    <row r="16" spans="1:21">
      <c r="C16" s="1655" t="str">
        <f t="shared" si="0"/>
        <v>I, III</v>
      </c>
      <c r="D16" s="1654">
        <v>5</v>
      </c>
      <c r="E16" s="1601">
        <v>20</v>
      </c>
      <c r="F16" s="1667">
        <v>1.5</v>
      </c>
      <c r="G16" s="1602">
        <v>3</v>
      </c>
      <c r="H16" s="1668">
        <v>1.071</v>
      </c>
      <c r="I16" s="1669">
        <v>0.84099999999999997</v>
      </c>
      <c r="J16" s="1670">
        <v>0.6</v>
      </c>
      <c r="K16" s="1671">
        <v>0.6</v>
      </c>
      <c r="L16" s="1413"/>
      <c r="M16" s="1414"/>
      <c r="N16" s="1670">
        <v>0.6</v>
      </c>
      <c r="O16" s="1672">
        <v>0.6</v>
      </c>
      <c r="P16" s="1413">
        <v>0</v>
      </c>
      <c r="Q16" s="1414">
        <v>0</v>
      </c>
    </row>
    <row r="17" spans="2:18">
      <c r="C17" s="1655" t="str">
        <f t="shared" si="0"/>
        <v>I, III</v>
      </c>
      <c r="D17" s="1654">
        <v>6</v>
      </c>
      <c r="E17" s="1601">
        <v>20</v>
      </c>
      <c r="F17" s="1667">
        <v>2</v>
      </c>
      <c r="G17" s="1602">
        <v>4</v>
      </c>
      <c r="H17" s="1668">
        <v>1.37</v>
      </c>
      <c r="I17" s="1669">
        <v>1.075</v>
      </c>
      <c r="J17" s="1670">
        <v>0.72299999999999998</v>
      </c>
      <c r="K17" s="1671">
        <v>0.72299999999999998</v>
      </c>
      <c r="L17" s="1413"/>
      <c r="M17" s="1414"/>
      <c r="N17" s="1670">
        <v>0.72299999999999998</v>
      </c>
      <c r="O17" s="1672">
        <v>0.72299999999999998</v>
      </c>
      <c r="P17" s="1413">
        <v>0</v>
      </c>
      <c r="Q17" s="1414">
        <v>0</v>
      </c>
    </row>
    <row r="18" spans="2:18">
      <c r="C18" s="1655" t="str">
        <f t="shared" si="0"/>
        <v>I, III</v>
      </c>
      <c r="D18" s="1654">
        <v>7</v>
      </c>
      <c r="E18" s="1593">
        <v>25</v>
      </c>
      <c r="F18" s="1661">
        <v>1</v>
      </c>
      <c r="G18" s="1594">
        <v>2</v>
      </c>
      <c r="H18" s="1595">
        <v>0.94299999999999995</v>
      </c>
      <c r="I18" s="1596">
        <v>0.74</v>
      </c>
      <c r="J18" s="1664">
        <v>0.89700000000000002</v>
      </c>
      <c r="K18" s="1665">
        <v>0.71760000000000002</v>
      </c>
      <c r="L18" s="1599"/>
      <c r="M18" s="1600"/>
      <c r="N18" s="1664">
        <v>0.89700000000000002</v>
      </c>
      <c r="O18" s="1666">
        <v>0.71760000000000002</v>
      </c>
      <c r="P18" s="1599">
        <v>0</v>
      </c>
      <c r="Q18" s="1600">
        <v>0</v>
      </c>
    </row>
    <row r="19" spans="2:18">
      <c r="C19" s="1655" t="str">
        <f t="shared" si="0"/>
        <v>I, III</v>
      </c>
      <c r="D19" s="1654">
        <v>8</v>
      </c>
      <c r="E19" s="1593">
        <v>25</v>
      </c>
      <c r="F19" s="1661">
        <v>1.5</v>
      </c>
      <c r="G19" s="1594">
        <v>3</v>
      </c>
      <c r="H19" s="1595">
        <v>1.37</v>
      </c>
      <c r="I19" s="1596">
        <v>1.07</v>
      </c>
      <c r="J19" s="1597">
        <v>1.24</v>
      </c>
      <c r="K19" s="1673">
        <v>0.99199999999999999</v>
      </c>
      <c r="L19" s="1599"/>
      <c r="M19" s="1600"/>
      <c r="N19" s="1597">
        <v>1.24</v>
      </c>
      <c r="O19" s="1674">
        <v>0.99199999999999999</v>
      </c>
      <c r="P19" s="1599">
        <v>0</v>
      </c>
      <c r="Q19" s="1600">
        <v>0</v>
      </c>
    </row>
    <row r="20" spans="2:18">
      <c r="C20" s="1655" t="str">
        <f t="shared" si="0"/>
        <v>I, III</v>
      </c>
      <c r="D20" s="1654">
        <v>9</v>
      </c>
      <c r="E20" s="1593">
        <v>25</v>
      </c>
      <c r="F20" s="1661">
        <v>2</v>
      </c>
      <c r="G20" s="1594">
        <v>4</v>
      </c>
      <c r="H20" s="1595">
        <v>1.77</v>
      </c>
      <c r="I20" s="1596">
        <v>1.39</v>
      </c>
      <c r="J20" s="1597">
        <v>1.53</v>
      </c>
      <c r="K20" s="1673">
        <v>1.224</v>
      </c>
      <c r="L20" s="1599"/>
      <c r="M20" s="1600"/>
      <c r="N20" s="1597">
        <v>1.53</v>
      </c>
      <c r="O20" s="1674">
        <v>1.224</v>
      </c>
      <c r="P20" s="1599">
        <v>0</v>
      </c>
      <c r="Q20" s="1600">
        <v>0</v>
      </c>
    </row>
    <row r="21" spans="2:18">
      <c r="C21" s="1655" t="str">
        <f t="shared" si="0"/>
        <v>I, III</v>
      </c>
      <c r="D21" s="1654">
        <v>10</v>
      </c>
      <c r="E21" s="1593">
        <v>25</v>
      </c>
      <c r="F21" s="1661">
        <v>2.5</v>
      </c>
      <c r="G21" s="1594">
        <v>5</v>
      </c>
      <c r="H21" s="1595">
        <v>2.14</v>
      </c>
      <c r="I21" s="1596">
        <v>1.68</v>
      </c>
      <c r="J21" s="1597">
        <v>1.77</v>
      </c>
      <c r="K21" s="1673">
        <v>1.4159999999999999</v>
      </c>
      <c r="L21" s="1599"/>
      <c r="M21" s="1600"/>
      <c r="N21" s="1597">
        <v>1.77</v>
      </c>
      <c r="O21" s="1674">
        <v>1.4159999999999999</v>
      </c>
      <c r="P21" s="1599">
        <v>0</v>
      </c>
      <c r="Q21" s="1600">
        <v>0</v>
      </c>
    </row>
    <row r="22" spans="2:18">
      <c r="C22" s="1655" t="str">
        <f t="shared" si="0"/>
        <v>I, III</v>
      </c>
      <c r="D22" s="1654">
        <v>11</v>
      </c>
      <c r="E22" s="1593">
        <v>25</v>
      </c>
      <c r="F22" s="1661">
        <v>3</v>
      </c>
      <c r="G22" s="1594">
        <v>6</v>
      </c>
      <c r="H22" s="1595">
        <v>2.48</v>
      </c>
      <c r="I22" s="1596">
        <v>1.95</v>
      </c>
      <c r="J22" s="1597">
        <v>1.95</v>
      </c>
      <c r="K22" s="1673">
        <v>1.56</v>
      </c>
      <c r="L22" s="1599"/>
      <c r="M22" s="1600"/>
      <c r="N22" s="1597">
        <v>1.95</v>
      </c>
      <c r="O22" s="1674">
        <v>1.56</v>
      </c>
      <c r="P22" s="1599">
        <v>0</v>
      </c>
      <c r="Q22" s="1600">
        <v>0</v>
      </c>
    </row>
    <row r="23" spans="2:18">
      <c r="C23" s="1655" t="str">
        <f t="shared" si="0"/>
        <v>I, III</v>
      </c>
      <c r="D23" s="1654">
        <v>12</v>
      </c>
      <c r="E23" s="1601">
        <v>30</v>
      </c>
      <c r="F23" s="1667">
        <v>2</v>
      </c>
      <c r="G23" s="1602">
        <v>4</v>
      </c>
      <c r="H23" s="1603">
        <v>2.17</v>
      </c>
      <c r="I23" s="1604">
        <v>1.7</v>
      </c>
      <c r="J23" s="1412">
        <v>2.79</v>
      </c>
      <c r="K23" s="1675">
        <v>1.86</v>
      </c>
      <c r="L23" s="1413"/>
      <c r="M23" s="1414"/>
      <c r="N23" s="1412">
        <v>2.79</v>
      </c>
      <c r="O23" s="1676">
        <v>1.86</v>
      </c>
      <c r="P23" s="1413">
        <v>0</v>
      </c>
      <c r="Q23" s="1414">
        <v>0</v>
      </c>
    </row>
    <row r="24" spans="2:18">
      <c r="C24" s="1655" t="str">
        <f t="shared" si="0"/>
        <v>I, III</v>
      </c>
      <c r="D24" s="1654">
        <v>13</v>
      </c>
      <c r="E24" s="1601">
        <v>30</v>
      </c>
      <c r="F24" s="1667">
        <v>2.5</v>
      </c>
      <c r="G24" s="1602">
        <v>5</v>
      </c>
      <c r="H24" s="1603">
        <v>2.64</v>
      </c>
      <c r="I24" s="1604">
        <v>2.0699999999999998</v>
      </c>
      <c r="J24" s="1412">
        <v>3.27</v>
      </c>
      <c r="K24" s="1675">
        <v>2.1800000000000002</v>
      </c>
      <c r="L24" s="1413"/>
      <c r="M24" s="1414"/>
      <c r="N24" s="1412">
        <v>3.27</v>
      </c>
      <c r="O24" s="1676">
        <v>2.1800000000000002</v>
      </c>
      <c r="P24" s="1413">
        <v>0</v>
      </c>
      <c r="Q24" s="1414">
        <v>0</v>
      </c>
    </row>
    <row r="25" spans="2:18">
      <c r="C25" s="1655" t="str">
        <f t="shared" si="0"/>
        <v>I, III</v>
      </c>
      <c r="D25" s="1654">
        <v>14</v>
      </c>
      <c r="E25" s="1601">
        <v>30</v>
      </c>
      <c r="F25" s="1667">
        <v>3</v>
      </c>
      <c r="G25" s="1602">
        <v>6</v>
      </c>
      <c r="H25" s="1603">
        <v>3.08</v>
      </c>
      <c r="I25" s="1604">
        <v>2.42</v>
      </c>
      <c r="J25" s="1412">
        <v>3.66</v>
      </c>
      <c r="K25" s="1675">
        <v>2.44</v>
      </c>
      <c r="L25" s="1413"/>
      <c r="M25" s="1414"/>
      <c r="N25" s="1412">
        <v>3.66</v>
      </c>
      <c r="O25" s="1676">
        <v>2.44</v>
      </c>
      <c r="P25" s="1413">
        <v>0</v>
      </c>
      <c r="Q25" s="1414">
        <v>0</v>
      </c>
    </row>
    <row r="26" spans="2:18">
      <c r="C26" s="1655" t="str">
        <f t="shared" si="0"/>
        <v>I, III</v>
      </c>
      <c r="D26" s="1654">
        <v>15</v>
      </c>
      <c r="E26" s="1601">
        <v>30</v>
      </c>
      <c r="F26" s="1667">
        <v>3.5</v>
      </c>
      <c r="G26" s="1602">
        <v>7</v>
      </c>
      <c r="H26" s="1603">
        <v>3.5</v>
      </c>
      <c r="I26" s="1604">
        <v>2.75</v>
      </c>
      <c r="J26" s="1412">
        <v>3.98</v>
      </c>
      <c r="K26" s="1675">
        <v>2.6533333333333333</v>
      </c>
      <c r="L26" s="1413"/>
      <c r="M26" s="1414"/>
      <c r="N26" s="1412">
        <v>3.98</v>
      </c>
      <c r="O26" s="1676">
        <v>2.6533333333333333</v>
      </c>
      <c r="P26" s="1413">
        <v>0</v>
      </c>
      <c r="Q26" s="1414">
        <v>0</v>
      </c>
    </row>
    <row r="27" spans="2:18">
      <c r="C27" s="1655" t="str">
        <f t="shared" si="0"/>
        <v>I, III</v>
      </c>
      <c r="D27" s="1654">
        <v>16</v>
      </c>
      <c r="E27" s="1601">
        <v>30</v>
      </c>
      <c r="F27" s="1667">
        <v>4</v>
      </c>
      <c r="G27" s="1602">
        <v>8</v>
      </c>
      <c r="H27" s="1603">
        <v>3.88</v>
      </c>
      <c r="I27" s="1604">
        <v>3.04</v>
      </c>
      <c r="J27" s="1412">
        <v>4.2300000000000004</v>
      </c>
      <c r="K27" s="1675">
        <v>2.82</v>
      </c>
      <c r="L27" s="1413"/>
      <c r="M27" s="1414"/>
      <c r="N27" s="1412">
        <v>4.2300000000000004</v>
      </c>
      <c r="O27" s="1676">
        <v>2.82</v>
      </c>
      <c r="P27" s="1413">
        <v>0</v>
      </c>
      <c r="Q27" s="1414">
        <v>0</v>
      </c>
    </row>
    <row r="28" spans="2:18">
      <c r="B28" s="1619" t="s">
        <v>889</v>
      </c>
      <c r="C28" s="1655" t="str">
        <f t="shared" si="0"/>
        <v>I, III</v>
      </c>
      <c r="D28" s="1654">
        <v>17</v>
      </c>
      <c r="E28" s="1637">
        <v>32</v>
      </c>
      <c r="F28" s="1677">
        <v>4</v>
      </c>
      <c r="G28" s="1639">
        <v>8</v>
      </c>
      <c r="H28" s="1640">
        <v>4.2</v>
      </c>
      <c r="I28" s="1641">
        <v>3.3</v>
      </c>
      <c r="J28" s="1642">
        <v>5.33</v>
      </c>
      <c r="K28" s="1678">
        <v>3.3312499999999998</v>
      </c>
      <c r="L28" s="1644"/>
      <c r="M28" s="1645"/>
      <c r="N28" s="1642">
        <v>5.33</v>
      </c>
      <c r="O28" s="1679">
        <v>3.3312499999999998</v>
      </c>
      <c r="P28" s="1644">
        <v>0</v>
      </c>
      <c r="Q28" s="1645">
        <v>0</v>
      </c>
      <c r="R28" s="1242"/>
    </row>
    <row r="29" spans="2:18">
      <c r="C29" s="1655" t="str">
        <f t="shared" si="0"/>
        <v>I, III</v>
      </c>
      <c r="D29" s="1654">
        <v>18</v>
      </c>
      <c r="E29" s="1593">
        <v>35</v>
      </c>
      <c r="F29" s="1661">
        <v>2</v>
      </c>
      <c r="G29" s="1594">
        <v>4</v>
      </c>
      <c r="H29" s="1595">
        <v>2.57</v>
      </c>
      <c r="I29" s="1596">
        <v>2.02</v>
      </c>
      <c r="J29" s="1597">
        <v>4.6100000000000003</v>
      </c>
      <c r="K29" s="1673">
        <v>2.6342857142857143</v>
      </c>
      <c r="L29" s="1599"/>
      <c r="M29" s="1600"/>
      <c r="N29" s="1597">
        <v>4.6100000000000003</v>
      </c>
      <c r="O29" s="1674">
        <v>2.6342857142857143</v>
      </c>
      <c r="P29" s="1599">
        <v>0</v>
      </c>
      <c r="Q29" s="1600">
        <v>0</v>
      </c>
    </row>
    <row r="30" spans="2:18">
      <c r="C30" s="1655" t="str">
        <f t="shared" si="0"/>
        <v>I, III</v>
      </c>
      <c r="D30" s="1654">
        <v>19</v>
      </c>
      <c r="E30" s="1593">
        <v>35</v>
      </c>
      <c r="F30" s="1661">
        <v>2.5</v>
      </c>
      <c r="G30" s="1594">
        <v>5</v>
      </c>
      <c r="H30" s="1595">
        <v>3.14</v>
      </c>
      <c r="I30" s="1596">
        <v>2.46</v>
      </c>
      <c r="J30" s="1597">
        <v>5.44</v>
      </c>
      <c r="K30" s="1673">
        <v>3.108571428571429</v>
      </c>
      <c r="L30" s="1599"/>
      <c r="M30" s="1600"/>
      <c r="N30" s="1597">
        <v>5.44</v>
      </c>
      <c r="O30" s="1674">
        <v>3.108571428571429</v>
      </c>
      <c r="P30" s="1599">
        <v>0</v>
      </c>
      <c r="Q30" s="1600">
        <v>0</v>
      </c>
    </row>
    <row r="31" spans="2:18">
      <c r="C31" s="1655" t="str">
        <f t="shared" si="0"/>
        <v>I, III</v>
      </c>
      <c r="D31" s="1654">
        <v>20</v>
      </c>
      <c r="E31" s="1593">
        <v>35</v>
      </c>
      <c r="F31" s="1661">
        <v>3</v>
      </c>
      <c r="G31" s="1594">
        <v>6</v>
      </c>
      <c r="H31" s="1595">
        <v>3.68</v>
      </c>
      <c r="I31" s="1596">
        <v>2.89</v>
      </c>
      <c r="J31" s="1597">
        <v>6.17</v>
      </c>
      <c r="K31" s="1673">
        <v>3.5257142857142858</v>
      </c>
      <c r="L31" s="1599"/>
      <c r="M31" s="1600"/>
      <c r="N31" s="1597">
        <v>6.17</v>
      </c>
      <c r="O31" s="1674">
        <v>3.5257142857142858</v>
      </c>
      <c r="P31" s="1599">
        <v>0</v>
      </c>
      <c r="Q31" s="1600">
        <v>0</v>
      </c>
    </row>
    <row r="32" spans="2:18">
      <c r="C32" s="1655" t="str">
        <f t="shared" si="0"/>
        <v>I, III</v>
      </c>
      <c r="D32" s="1654">
        <v>21</v>
      </c>
      <c r="E32" s="1593">
        <v>35</v>
      </c>
      <c r="F32" s="1661">
        <v>3.5</v>
      </c>
      <c r="G32" s="1594">
        <v>7</v>
      </c>
      <c r="H32" s="1595">
        <v>4.2</v>
      </c>
      <c r="I32" s="1596">
        <v>3.3</v>
      </c>
      <c r="J32" s="1597">
        <v>6.78</v>
      </c>
      <c r="K32" s="1673">
        <v>3.8742857142857146</v>
      </c>
      <c r="L32" s="1599"/>
      <c r="M32" s="1600"/>
      <c r="N32" s="1597">
        <v>6.78</v>
      </c>
      <c r="O32" s="1674">
        <v>3.8742857142857146</v>
      </c>
      <c r="P32" s="1599">
        <v>0</v>
      </c>
      <c r="Q32" s="1600">
        <v>0</v>
      </c>
    </row>
    <row r="33" spans="2:17">
      <c r="C33" s="1655" t="str">
        <f t="shared" si="0"/>
        <v>I, III</v>
      </c>
      <c r="D33" s="1654">
        <v>22</v>
      </c>
      <c r="E33" s="1593">
        <v>35</v>
      </c>
      <c r="F33" s="1661">
        <v>4</v>
      </c>
      <c r="G33" s="1594">
        <v>8</v>
      </c>
      <c r="H33" s="1595">
        <v>4.68</v>
      </c>
      <c r="I33" s="1596">
        <v>3.67</v>
      </c>
      <c r="J33" s="1597">
        <v>7.3</v>
      </c>
      <c r="K33" s="1673">
        <v>4.1714285714285717</v>
      </c>
      <c r="L33" s="1599"/>
      <c r="M33" s="1600"/>
      <c r="N33" s="1597">
        <v>7.3</v>
      </c>
      <c r="O33" s="1674">
        <v>4.1714285714285717</v>
      </c>
      <c r="P33" s="1599">
        <v>0</v>
      </c>
      <c r="Q33" s="1600">
        <v>0</v>
      </c>
    </row>
    <row r="34" spans="2:17">
      <c r="C34" s="1655" t="str">
        <f t="shared" si="0"/>
        <v>I, III</v>
      </c>
      <c r="D34" s="1654">
        <v>23</v>
      </c>
      <c r="E34" s="1593">
        <v>35</v>
      </c>
      <c r="F34" s="1661">
        <v>5</v>
      </c>
      <c r="G34" s="1594">
        <v>10</v>
      </c>
      <c r="H34" s="1595">
        <v>5.57</v>
      </c>
      <c r="I34" s="1596">
        <v>4.37</v>
      </c>
      <c r="J34" s="1597">
        <v>8.0500000000000007</v>
      </c>
      <c r="K34" s="1673">
        <v>4.5999999999999996</v>
      </c>
      <c r="L34" s="1599"/>
      <c r="M34" s="1600"/>
      <c r="N34" s="1597">
        <v>8.0500000000000007</v>
      </c>
      <c r="O34" s="1674">
        <v>4.5999999999999996</v>
      </c>
      <c r="P34" s="1599">
        <v>0</v>
      </c>
      <c r="Q34" s="1600">
        <v>0</v>
      </c>
    </row>
    <row r="35" spans="2:17">
      <c r="B35" s="1619" t="s">
        <v>889</v>
      </c>
      <c r="C35" s="1655" t="str">
        <f t="shared" si="0"/>
        <v>I, III</v>
      </c>
      <c r="D35" s="1654">
        <v>24</v>
      </c>
      <c r="E35" s="1637">
        <v>36</v>
      </c>
      <c r="F35" s="1677">
        <v>4</v>
      </c>
      <c r="G35" s="1639">
        <v>8</v>
      </c>
      <c r="H35" s="1640">
        <v>4.84</v>
      </c>
      <c r="I35" s="1641">
        <v>3.8</v>
      </c>
      <c r="J35" s="1642">
        <v>8.0500000000000007</v>
      </c>
      <c r="K35" s="1678">
        <v>4.4722222222222223</v>
      </c>
      <c r="L35" s="1644"/>
      <c r="M35" s="1645"/>
      <c r="N35" s="1642">
        <v>8.0500000000000007</v>
      </c>
      <c r="O35" s="1679">
        <v>4.4722222222222223</v>
      </c>
      <c r="P35" s="1644">
        <v>0</v>
      </c>
      <c r="Q35" s="1645">
        <v>0</v>
      </c>
    </row>
    <row r="36" spans="2:17">
      <c r="B36" s="1619" t="s">
        <v>889</v>
      </c>
      <c r="C36" s="1655" t="str">
        <f t="shared" si="0"/>
        <v>I, III</v>
      </c>
      <c r="D36" s="1654">
        <v>25</v>
      </c>
      <c r="E36" s="1637">
        <v>40</v>
      </c>
      <c r="F36" s="1677">
        <v>2</v>
      </c>
      <c r="G36" s="1639">
        <v>4</v>
      </c>
      <c r="H36" s="1640">
        <v>2.97</v>
      </c>
      <c r="I36" s="1641">
        <v>2.33</v>
      </c>
      <c r="J36" s="1642">
        <v>7.07</v>
      </c>
      <c r="K36" s="1678">
        <v>3.5350000000000001</v>
      </c>
      <c r="L36" s="1644"/>
      <c r="M36" s="1645"/>
      <c r="N36" s="1642">
        <v>7.07</v>
      </c>
      <c r="O36" s="1679">
        <v>3.5350000000000001</v>
      </c>
      <c r="P36" s="1644">
        <v>0</v>
      </c>
      <c r="Q36" s="1645">
        <v>0</v>
      </c>
    </row>
    <row r="37" spans="2:17">
      <c r="C37" s="1655" t="str">
        <f t="shared" si="0"/>
        <v>I, III</v>
      </c>
      <c r="D37" s="1654">
        <v>26</v>
      </c>
      <c r="E37" s="1601">
        <v>40</v>
      </c>
      <c r="F37" s="1667">
        <v>2.5</v>
      </c>
      <c r="G37" s="1602">
        <v>5</v>
      </c>
      <c r="H37" s="1603">
        <v>3.64</v>
      </c>
      <c r="I37" s="1604">
        <v>2.85</v>
      </c>
      <c r="J37" s="1412">
        <v>8.42</v>
      </c>
      <c r="K37" s="1675">
        <v>4.21</v>
      </c>
      <c r="L37" s="1413"/>
      <c r="M37" s="1414"/>
      <c r="N37" s="1412">
        <v>8.42</v>
      </c>
      <c r="O37" s="1676">
        <v>4.21</v>
      </c>
      <c r="P37" s="1413">
        <v>0</v>
      </c>
      <c r="Q37" s="1414">
        <v>0</v>
      </c>
    </row>
    <row r="38" spans="2:17">
      <c r="C38" s="1655" t="str">
        <f t="shared" si="0"/>
        <v>I, III</v>
      </c>
      <c r="D38" s="1654">
        <v>27</v>
      </c>
      <c r="E38" s="1601">
        <v>40</v>
      </c>
      <c r="F38" s="1667">
        <v>3</v>
      </c>
      <c r="G38" s="1602">
        <v>6</v>
      </c>
      <c r="H38" s="1603">
        <v>4.28</v>
      </c>
      <c r="I38" s="1604">
        <v>3.36</v>
      </c>
      <c r="J38" s="1412">
        <v>9.61</v>
      </c>
      <c r="K38" s="1675">
        <v>4.8049999999999997</v>
      </c>
      <c r="L38" s="1413"/>
      <c r="M38" s="1414"/>
      <c r="N38" s="1412">
        <v>9.61</v>
      </c>
      <c r="O38" s="1676">
        <v>4.8049999999999997</v>
      </c>
      <c r="P38" s="1413">
        <v>0</v>
      </c>
      <c r="Q38" s="1414">
        <v>0</v>
      </c>
    </row>
    <row r="39" spans="2:17">
      <c r="C39" s="1655" t="str">
        <f t="shared" si="0"/>
        <v>I, III</v>
      </c>
      <c r="D39" s="1654">
        <v>28</v>
      </c>
      <c r="E39" s="1601">
        <v>40</v>
      </c>
      <c r="F39" s="1667">
        <v>3.5</v>
      </c>
      <c r="G39" s="1602">
        <v>7</v>
      </c>
      <c r="H39" s="1603">
        <v>4.9000000000000004</v>
      </c>
      <c r="I39" s="1604">
        <v>3.85</v>
      </c>
      <c r="J39" s="1412">
        <v>10.66</v>
      </c>
      <c r="K39" s="1675">
        <v>5.33</v>
      </c>
      <c r="L39" s="1413"/>
      <c r="M39" s="1414"/>
      <c r="N39" s="1412">
        <v>10.66</v>
      </c>
      <c r="O39" s="1676">
        <v>5.33</v>
      </c>
      <c r="P39" s="1413">
        <v>0</v>
      </c>
      <c r="Q39" s="1414">
        <v>0</v>
      </c>
    </row>
    <row r="40" spans="2:17">
      <c r="C40" s="1655" t="str">
        <f t="shared" si="0"/>
        <v>I, III</v>
      </c>
      <c r="D40" s="1654">
        <v>29</v>
      </c>
      <c r="E40" s="1601">
        <v>40</v>
      </c>
      <c r="F40" s="1667">
        <v>4</v>
      </c>
      <c r="G40" s="1602">
        <v>8</v>
      </c>
      <c r="H40" s="1603">
        <v>5.48</v>
      </c>
      <c r="I40" s="1604">
        <v>4.3</v>
      </c>
      <c r="J40" s="1412">
        <v>11.57</v>
      </c>
      <c r="K40" s="1675">
        <v>5.7850000000000001</v>
      </c>
      <c r="L40" s="1413"/>
      <c r="M40" s="1414"/>
      <c r="N40" s="1412">
        <v>11.57</v>
      </c>
      <c r="O40" s="1676">
        <v>5.7850000000000001</v>
      </c>
      <c r="P40" s="1413">
        <v>0</v>
      </c>
      <c r="Q40" s="1414">
        <v>0</v>
      </c>
    </row>
    <row r="41" spans="2:17">
      <c r="C41" s="1655" t="str">
        <f t="shared" si="0"/>
        <v>I, III</v>
      </c>
      <c r="D41" s="1654">
        <v>30</v>
      </c>
      <c r="E41" s="1601">
        <v>40</v>
      </c>
      <c r="F41" s="1667">
        <v>5</v>
      </c>
      <c r="G41" s="1602">
        <v>10</v>
      </c>
      <c r="H41" s="1603">
        <v>6.57</v>
      </c>
      <c r="I41" s="1604">
        <v>5.16</v>
      </c>
      <c r="J41" s="1412">
        <v>13.01</v>
      </c>
      <c r="K41" s="1675">
        <v>6.5049999999999999</v>
      </c>
      <c r="L41" s="1413"/>
      <c r="M41" s="1414"/>
      <c r="N41" s="1412">
        <v>13.01</v>
      </c>
      <c r="O41" s="1676">
        <v>6.5049999999999999</v>
      </c>
      <c r="P41" s="1413">
        <v>0</v>
      </c>
      <c r="Q41" s="1414">
        <v>0</v>
      </c>
    </row>
    <row r="42" spans="2:17">
      <c r="C42" s="1655" t="str">
        <f t="shared" si="0"/>
        <v>I, III</v>
      </c>
      <c r="D42" s="1654">
        <v>31</v>
      </c>
      <c r="E42" s="1601">
        <v>40</v>
      </c>
      <c r="F42" s="1667">
        <v>6</v>
      </c>
      <c r="G42" s="1602">
        <v>12</v>
      </c>
      <c r="H42" s="1603">
        <v>7.54</v>
      </c>
      <c r="I42" s="1604">
        <v>5.92</v>
      </c>
      <c r="J42" s="1412">
        <v>13.96</v>
      </c>
      <c r="K42" s="1675">
        <v>6.98</v>
      </c>
      <c r="L42" s="1413"/>
      <c r="M42" s="1414"/>
      <c r="N42" s="1412">
        <v>13.96</v>
      </c>
      <c r="O42" s="1676">
        <v>6.98</v>
      </c>
      <c r="P42" s="1413">
        <v>0</v>
      </c>
      <c r="Q42" s="1414">
        <v>0</v>
      </c>
    </row>
    <row r="43" spans="2:17">
      <c r="C43" s="1655" t="str">
        <f t="shared" si="0"/>
        <v>I, III</v>
      </c>
      <c r="D43" s="1654">
        <v>32</v>
      </c>
      <c r="E43" s="1593">
        <v>42</v>
      </c>
      <c r="F43" s="1661">
        <v>3</v>
      </c>
      <c r="G43" s="1594">
        <v>6</v>
      </c>
      <c r="H43" s="1595">
        <v>4.5199999999999996</v>
      </c>
      <c r="I43" s="1596">
        <v>3.55</v>
      </c>
      <c r="J43" s="1597">
        <v>11.3</v>
      </c>
      <c r="K43" s="1673">
        <v>5.3809523809523814</v>
      </c>
      <c r="L43" s="1599"/>
      <c r="M43" s="1600"/>
      <c r="N43" s="1597">
        <v>11.3</v>
      </c>
      <c r="O43" s="1674">
        <v>5.3809523809523814</v>
      </c>
      <c r="P43" s="1599">
        <v>0</v>
      </c>
      <c r="Q43" s="1600">
        <v>0</v>
      </c>
    </row>
    <row r="44" spans="2:17">
      <c r="C44" s="1655" t="str">
        <f t="shared" si="0"/>
        <v>I, III</v>
      </c>
      <c r="D44" s="1654">
        <v>33</v>
      </c>
      <c r="E44" s="1593">
        <v>42</v>
      </c>
      <c r="F44" s="1661">
        <v>3.5</v>
      </c>
      <c r="G44" s="1594">
        <v>7</v>
      </c>
      <c r="H44" s="1595">
        <v>5.18</v>
      </c>
      <c r="I44" s="1596">
        <v>4.07</v>
      </c>
      <c r="J44" s="1597">
        <v>12.56</v>
      </c>
      <c r="K44" s="1673">
        <v>5.980952380952381</v>
      </c>
      <c r="L44" s="1599"/>
      <c r="M44" s="1600"/>
      <c r="N44" s="1597">
        <v>12.56</v>
      </c>
      <c r="O44" s="1674">
        <v>5.980952380952381</v>
      </c>
      <c r="P44" s="1599">
        <v>0</v>
      </c>
      <c r="Q44" s="1600">
        <v>0</v>
      </c>
    </row>
    <row r="45" spans="2:17">
      <c r="C45" s="1655" t="str">
        <f t="shared" si="0"/>
        <v>I, III</v>
      </c>
      <c r="D45" s="1654">
        <v>34</v>
      </c>
      <c r="E45" s="1593">
        <v>42</v>
      </c>
      <c r="F45" s="1661">
        <v>4</v>
      </c>
      <c r="G45" s="1594">
        <v>8</v>
      </c>
      <c r="H45" s="1595">
        <v>5.8</v>
      </c>
      <c r="I45" s="1596">
        <v>4.5599999999999996</v>
      </c>
      <c r="J45" s="1597">
        <v>13.67</v>
      </c>
      <c r="K45" s="1673">
        <v>6.5095238095238095</v>
      </c>
      <c r="L45" s="1599"/>
      <c r="M45" s="1600"/>
      <c r="N45" s="1597">
        <v>13.67</v>
      </c>
      <c r="O45" s="1674">
        <v>6.5095238095238095</v>
      </c>
      <c r="P45" s="1599">
        <v>0</v>
      </c>
      <c r="Q45" s="1600">
        <v>0</v>
      </c>
    </row>
    <row r="46" spans="2:17">
      <c r="C46" s="1655" t="str">
        <f t="shared" si="0"/>
        <v>I, III</v>
      </c>
      <c r="D46" s="1654">
        <v>35</v>
      </c>
      <c r="E46" s="1593">
        <v>42</v>
      </c>
      <c r="F46" s="1661">
        <v>5</v>
      </c>
      <c r="G46" s="1594">
        <v>10</v>
      </c>
      <c r="H46" s="1595">
        <v>6.97</v>
      </c>
      <c r="I46" s="1596">
        <v>5.47</v>
      </c>
      <c r="J46" s="1597">
        <v>15.45</v>
      </c>
      <c r="K46" s="1673">
        <v>7.3571428571428568</v>
      </c>
      <c r="L46" s="1599"/>
      <c r="M46" s="1600"/>
      <c r="N46" s="1597">
        <v>15.45</v>
      </c>
      <c r="O46" s="1674">
        <v>7.3571428571428568</v>
      </c>
      <c r="P46" s="1599">
        <v>0</v>
      </c>
      <c r="Q46" s="1600">
        <v>0</v>
      </c>
    </row>
    <row r="47" spans="2:17">
      <c r="C47" s="1655" t="str">
        <f t="shared" si="0"/>
        <v>I, III</v>
      </c>
      <c r="D47" s="1654">
        <v>36</v>
      </c>
      <c r="E47" s="1593">
        <v>42</v>
      </c>
      <c r="F47" s="1661">
        <v>6</v>
      </c>
      <c r="G47" s="1594">
        <v>12</v>
      </c>
      <c r="H47" s="1595">
        <v>8.02</v>
      </c>
      <c r="I47" s="1596">
        <v>6.3</v>
      </c>
      <c r="J47" s="1597">
        <v>16.690000000000001</v>
      </c>
      <c r="K47" s="1673">
        <v>7.9476190476190478</v>
      </c>
      <c r="L47" s="1599"/>
      <c r="M47" s="1600"/>
      <c r="N47" s="1597">
        <v>16.690000000000001</v>
      </c>
      <c r="O47" s="1674">
        <v>7.9476190476190478</v>
      </c>
      <c r="P47" s="1599">
        <v>0</v>
      </c>
      <c r="Q47" s="1600">
        <v>0</v>
      </c>
    </row>
    <row r="48" spans="2:17">
      <c r="C48" s="1655" t="str">
        <f t="shared" si="0"/>
        <v>I, III</v>
      </c>
      <c r="D48" s="1654">
        <v>37</v>
      </c>
      <c r="E48" s="1601">
        <v>45</v>
      </c>
      <c r="F48" s="1667">
        <v>3</v>
      </c>
      <c r="G48" s="1602">
        <v>6</v>
      </c>
      <c r="H48" s="1603">
        <v>4.88</v>
      </c>
      <c r="I48" s="1604">
        <v>3.83</v>
      </c>
      <c r="J48" s="1412">
        <v>14.15</v>
      </c>
      <c r="K48" s="1675">
        <v>6.2888888888888888</v>
      </c>
      <c r="L48" s="1413"/>
      <c r="M48" s="1414"/>
      <c r="N48" s="1412">
        <v>14.15</v>
      </c>
      <c r="O48" s="1676">
        <v>6.2888888888888888</v>
      </c>
      <c r="P48" s="1413">
        <v>0</v>
      </c>
      <c r="Q48" s="1414">
        <v>0</v>
      </c>
    </row>
    <row r="49" spans="3:17">
      <c r="C49" s="1655" t="str">
        <f t="shared" si="0"/>
        <v>I, III</v>
      </c>
      <c r="D49" s="1654">
        <v>38</v>
      </c>
      <c r="E49" s="1601">
        <v>45</v>
      </c>
      <c r="F49" s="1667">
        <v>3.5</v>
      </c>
      <c r="G49" s="1602">
        <v>7</v>
      </c>
      <c r="H49" s="1603">
        <v>5.6</v>
      </c>
      <c r="I49" s="1604">
        <v>4.4000000000000004</v>
      </c>
      <c r="J49" s="1412">
        <v>15.79</v>
      </c>
      <c r="K49" s="1675">
        <v>7.017777777777777</v>
      </c>
      <c r="L49" s="1413"/>
      <c r="M49" s="1414"/>
      <c r="N49" s="1412">
        <v>15.79</v>
      </c>
      <c r="O49" s="1676">
        <v>7.017777777777777</v>
      </c>
      <c r="P49" s="1413">
        <v>0</v>
      </c>
      <c r="Q49" s="1414">
        <v>0</v>
      </c>
    </row>
    <row r="50" spans="3:17">
      <c r="C50" s="1655" t="str">
        <f t="shared" si="0"/>
        <v>I, III</v>
      </c>
      <c r="D50" s="1654">
        <v>39</v>
      </c>
      <c r="E50" s="1601">
        <v>45</v>
      </c>
      <c r="F50" s="1667">
        <v>4</v>
      </c>
      <c r="G50" s="1602">
        <v>8</v>
      </c>
      <c r="H50" s="1603">
        <v>6.28</v>
      </c>
      <c r="I50" s="1604">
        <v>4.93</v>
      </c>
      <c r="J50" s="1412">
        <v>17.25</v>
      </c>
      <c r="K50" s="1675">
        <v>7.666666666666667</v>
      </c>
      <c r="L50" s="1413"/>
      <c r="M50" s="1414"/>
      <c r="N50" s="1412">
        <v>17.25</v>
      </c>
      <c r="O50" s="1676">
        <v>7.666666666666667</v>
      </c>
      <c r="P50" s="1413">
        <v>0</v>
      </c>
      <c r="Q50" s="1414">
        <v>0</v>
      </c>
    </row>
    <row r="51" spans="3:17">
      <c r="C51" s="1655" t="str">
        <f t="shared" si="0"/>
        <v>I, III</v>
      </c>
      <c r="D51" s="1654">
        <v>40</v>
      </c>
      <c r="E51" s="1601">
        <v>45</v>
      </c>
      <c r="F51" s="1667">
        <v>5</v>
      </c>
      <c r="G51" s="1602">
        <v>10</v>
      </c>
      <c r="H51" s="1603">
        <v>7.57</v>
      </c>
      <c r="I51" s="1604">
        <v>5.94</v>
      </c>
      <c r="J51" s="1412">
        <v>19.66</v>
      </c>
      <c r="K51" s="1675">
        <v>8.7377777777777776</v>
      </c>
      <c r="L51" s="1413"/>
      <c r="M51" s="1414"/>
      <c r="N51" s="1412">
        <v>19.66</v>
      </c>
      <c r="O51" s="1676">
        <v>8.7377777777777776</v>
      </c>
      <c r="P51" s="1413">
        <v>0</v>
      </c>
      <c r="Q51" s="1414">
        <v>0</v>
      </c>
    </row>
    <row r="52" spans="3:17">
      <c r="C52" s="1655" t="str">
        <f t="shared" si="0"/>
        <v>I, III</v>
      </c>
      <c r="D52" s="1654">
        <v>41</v>
      </c>
      <c r="E52" s="1601">
        <v>45</v>
      </c>
      <c r="F52" s="1667">
        <v>6</v>
      </c>
      <c r="G52" s="1602">
        <v>12</v>
      </c>
      <c r="H52" s="1603">
        <v>8.74</v>
      </c>
      <c r="I52" s="1604">
        <v>6.86</v>
      </c>
      <c r="J52" s="1412">
        <v>21.42</v>
      </c>
      <c r="K52" s="1675">
        <v>9.52</v>
      </c>
      <c r="L52" s="1413"/>
      <c r="M52" s="1414"/>
      <c r="N52" s="1412">
        <v>21.42</v>
      </c>
      <c r="O52" s="1676">
        <v>9.52</v>
      </c>
      <c r="P52" s="1413">
        <v>0</v>
      </c>
      <c r="Q52" s="1414">
        <v>0</v>
      </c>
    </row>
    <row r="53" spans="3:17">
      <c r="C53" s="1655" t="str">
        <f t="shared" si="0"/>
        <v>I, III</v>
      </c>
      <c r="D53" s="1654">
        <v>42</v>
      </c>
      <c r="E53" s="1601">
        <v>45</v>
      </c>
      <c r="F53" s="1667">
        <v>7</v>
      </c>
      <c r="G53" s="1602">
        <v>14</v>
      </c>
      <c r="H53" s="1603">
        <v>9.8000000000000007</v>
      </c>
      <c r="I53" s="1604">
        <v>7.69</v>
      </c>
      <c r="J53" s="1412">
        <v>22.6</v>
      </c>
      <c r="K53" s="1675">
        <v>10.044444444444444</v>
      </c>
      <c r="L53" s="1413"/>
      <c r="M53" s="1414"/>
      <c r="N53" s="1412">
        <v>22.6</v>
      </c>
      <c r="O53" s="1676">
        <v>10.044444444444444</v>
      </c>
      <c r="P53" s="1413">
        <v>0</v>
      </c>
      <c r="Q53" s="1414">
        <v>0</v>
      </c>
    </row>
    <row r="54" spans="3:17">
      <c r="C54" s="1655" t="str">
        <f t="shared" si="0"/>
        <v>I, II</v>
      </c>
      <c r="D54" s="1654">
        <v>43</v>
      </c>
      <c r="E54" s="1601">
        <v>45</v>
      </c>
      <c r="F54" s="1667">
        <v>8</v>
      </c>
      <c r="G54" s="1602">
        <v>16</v>
      </c>
      <c r="H54" s="1603">
        <v>10.74</v>
      </c>
      <c r="I54" s="1604">
        <v>8.43</v>
      </c>
      <c r="J54" s="1412">
        <v>23.23</v>
      </c>
      <c r="K54" s="1675">
        <v>10.324444444444445</v>
      </c>
      <c r="L54" s="1413"/>
      <c r="M54" s="1414"/>
      <c r="N54" s="1412">
        <v>23.23</v>
      </c>
      <c r="O54" s="1676">
        <v>10.324444444444445</v>
      </c>
      <c r="P54" s="1413">
        <v>0</v>
      </c>
      <c r="Q54" s="1414">
        <v>0</v>
      </c>
    </row>
    <row r="55" spans="3:17">
      <c r="C55" s="1655" t="str">
        <f t="shared" si="0"/>
        <v>I, III</v>
      </c>
      <c r="D55" s="1654">
        <v>44</v>
      </c>
      <c r="E55" s="1593">
        <v>50</v>
      </c>
      <c r="F55" s="1661">
        <v>3</v>
      </c>
      <c r="G55" s="1594">
        <v>6</v>
      </c>
      <c r="H55" s="1595">
        <v>5.48</v>
      </c>
      <c r="I55" s="1596">
        <v>4.3099999999999996</v>
      </c>
      <c r="J55" s="1597">
        <v>19.93</v>
      </c>
      <c r="K55" s="1673">
        <v>7.9719999999999995</v>
      </c>
      <c r="L55" s="1599"/>
      <c r="M55" s="1600"/>
      <c r="N55" s="1597">
        <v>19.93</v>
      </c>
      <c r="O55" s="1674">
        <v>7.9719999999999995</v>
      </c>
      <c r="P55" s="1599">
        <v>0</v>
      </c>
      <c r="Q55" s="1600">
        <v>0</v>
      </c>
    </row>
    <row r="56" spans="3:17">
      <c r="C56" s="1655" t="str">
        <f t="shared" si="0"/>
        <v>I, III</v>
      </c>
      <c r="D56" s="1654">
        <v>45</v>
      </c>
      <c r="E56" s="1593">
        <v>50</v>
      </c>
      <c r="F56" s="1661">
        <v>3.5</v>
      </c>
      <c r="G56" s="1594">
        <v>7</v>
      </c>
      <c r="H56" s="1595">
        <v>6.3</v>
      </c>
      <c r="I56" s="1596">
        <v>4.9400000000000004</v>
      </c>
      <c r="J56" s="1597">
        <v>22.35</v>
      </c>
      <c r="K56" s="1673">
        <v>8.94</v>
      </c>
      <c r="L56" s="1599"/>
      <c r="M56" s="1600"/>
      <c r="N56" s="1597">
        <v>22.35</v>
      </c>
      <c r="O56" s="1674">
        <v>8.94</v>
      </c>
      <c r="P56" s="1599">
        <v>0</v>
      </c>
      <c r="Q56" s="1600">
        <v>0</v>
      </c>
    </row>
    <row r="57" spans="3:17">
      <c r="C57" s="1655" t="str">
        <f t="shared" si="0"/>
        <v>I, III</v>
      </c>
      <c r="D57" s="1654">
        <v>46</v>
      </c>
      <c r="E57" s="1593">
        <v>50</v>
      </c>
      <c r="F57" s="1661">
        <v>4</v>
      </c>
      <c r="G57" s="1594">
        <v>8</v>
      </c>
      <c r="H57" s="1595">
        <v>7.08</v>
      </c>
      <c r="I57" s="1596">
        <v>5.56</v>
      </c>
      <c r="J57" s="1597">
        <v>24.54</v>
      </c>
      <c r="K57" s="1673">
        <v>9.8159999999999989</v>
      </c>
      <c r="L57" s="1599"/>
      <c r="M57" s="1600"/>
      <c r="N57" s="1597">
        <v>24.54</v>
      </c>
      <c r="O57" s="1674">
        <v>9.8159999999999989</v>
      </c>
      <c r="P57" s="1599">
        <v>0</v>
      </c>
      <c r="Q57" s="1600">
        <v>0</v>
      </c>
    </row>
    <row r="58" spans="3:17">
      <c r="C58" s="1655" t="str">
        <f t="shared" si="0"/>
        <v>I, III</v>
      </c>
      <c r="D58" s="1654">
        <v>47</v>
      </c>
      <c r="E58" s="1593">
        <v>50</v>
      </c>
      <c r="F58" s="1661">
        <v>5</v>
      </c>
      <c r="G58" s="1594">
        <v>10</v>
      </c>
      <c r="H58" s="1595">
        <v>8.57</v>
      </c>
      <c r="I58" s="1596">
        <v>6.73</v>
      </c>
      <c r="J58" s="1597">
        <v>28.26</v>
      </c>
      <c r="K58" s="1673">
        <v>11.304</v>
      </c>
      <c r="L58" s="1599"/>
      <c r="M58" s="1600"/>
      <c r="N58" s="1597">
        <v>28.26</v>
      </c>
      <c r="O58" s="1674">
        <v>11.304</v>
      </c>
      <c r="P58" s="1599">
        <v>0</v>
      </c>
      <c r="Q58" s="1600">
        <v>0</v>
      </c>
    </row>
    <row r="59" spans="3:17">
      <c r="C59" s="1655" t="str">
        <f t="shared" si="0"/>
        <v>I, III</v>
      </c>
      <c r="D59" s="1654">
        <v>48</v>
      </c>
      <c r="E59" s="1593">
        <v>50</v>
      </c>
      <c r="F59" s="1661">
        <v>6</v>
      </c>
      <c r="G59" s="1594">
        <v>12</v>
      </c>
      <c r="H59" s="1595">
        <v>9.94</v>
      </c>
      <c r="I59" s="1596">
        <v>7.8</v>
      </c>
      <c r="J59" s="1597">
        <v>31.15</v>
      </c>
      <c r="K59" s="1673">
        <v>12.46</v>
      </c>
      <c r="L59" s="1599"/>
      <c r="M59" s="1600"/>
      <c r="N59" s="1597">
        <v>31.15</v>
      </c>
      <c r="O59" s="1674">
        <v>12.46</v>
      </c>
      <c r="P59" s="1599">
        <v>0</v>
      </c>
      <c r="Q59" s="1600">
        <v>0</v>
      </c>
    </row>
    <row r="60" spans="3:17">
      <c r="C60" s="1655" t="str">
        <f t="shared" si="0"/>
        <v>I, III</v>
      </c>
      <c r="D60" s="1654">
        <v>49</v>
      </c>
      <c r="E60" s="1593">
        <v>50</v>
      </c>
      <c r="F60" s="1661">
        <v>7</v>
      </c>
      <c r="G60" s="1594">
        <v>14</v>
      </c>
      <c r="H60" s="1595">
        <v>11.2</v>
      </c>
      <c r="I60" s="1596">
        <v>8.7899999999999991</v>
      </c>
      <c r="J60" s="1597">
        <v>33.28</v>
      </c>
      <c r="K60" s="1673">
        <v>13.312000000000001</v>
      </c>
      <c r="L60" s="1599"/>
      <c r="M60" s="1600"/>
      <c r="N60" s="1597">
        <v>33.28</v>
      </c>
      <c r="O60" s="1674">
        <v>13.312000000000001</v>
      </c>
      <c r="P60" s="1599">
        <v>0</v>
      </c>
      <c r="Q60" s="1600">
        <v>0</v>
      </c>
    </row>
    <row r="61" spans="3:17">
      <c r="C61" s="1655" t="str">
        <f t="shared" si="0"/>
        <v>I, II</v>
      </c>
      <c r="D61" s="1654">
        <v>50</v>
      </c>
      <c r="E61" s="1593">
        <v>50</v>
      </c>
      <c r="F61" s="1661">
        <v>8</v>
      </c>
      <c r="G61" s="1594">
        <v>16</v>
      </c>
      <c r="H61" s="1595">
        <v>12.34</v>
      </c>
      <c r="I61" s="1596">
        <v>9.69</v>
      </c>
      <c r="J61" s="1597">
        <v>34.700000000000003</v>
      </c>
      <c r="K61" s="1673">
        <v>13.88</v>
      </c>
      <c r="L61" s="1599"/>
      <c r="M61" s="1600"/>
      <c r="N61" s="1597">
        <v>34.700000000000003</v>
      </c>
      <c r="O61" s="1674">
        <v>13.88</v>
      </c>
      <c r="P61" s="1599">
        <v>0</v>
      </c>
      <c r="Q61" s="1600">
        <v>0</v>
      </c>
    </row>
    <row r="62" spans="3:17">
      <c r="C62" s="1655" t="str">
        <f t="shared" si="0"/>
        <v>I, II, III</v>
      </c>
      <c r="D62" s="1654">
        <v>51</v>
      </c>
      <c r="E62" s="1601">
        <v>60</v>
      </c>
      <c r="F62" s="1667">
        <v>3.5</v>
      </c>
      <c r="G62" s="1602">
        <v>7</v>
      </c>
      <c r="H62" s="1603">
        <v>7.7</v>
      </c>
      <c r="I62" s="1604">
        <v>6.04</v>
      </c>
      <c r="J62" s="1412">
        <v>40.44</v>
      </c>
      <c r="K62" s="1675">
        <v>13.48</v>
      </c>
      <c r="L62" s="1413"/>
      <c r="M62" s="1414"/>
      <c r="N62" s="1412">
        <v>40.44</v>
      </c>
      <c r="O62" s="1676">
        <v>13.48</v>
      </c>
      <c r="P62" s="1413">
        <v>0</v>
      </c>
      <c r="Q62" s="1414">
        <v>0</v>
      </c>
    </row>
    <row r="63" spans="3:17">
      <c r="C63" s="1655" t="str">
        <f t="shared" si="0"/>
        <v>I, II, III</v>
      </c>
      <c r="D63" s="1654">
        <v>52</v>
      </c>
      <c r="E63" s="1601">
        <v>60</v>
      </c>
      <c r="F63" s="1667">
        <v>4</v>
      </c>
      <c r="G63" s="1602">
        <v>8</v>
      </c>
      <c r="H63" s="1603">
        <v>8.68</v>
      </c>
      <c r="I63" s="1604">
        <v>6.82</v>
      </c>
      <c r="J63" s="1412">
        <v>44.73</v>
      </c>
      <c r="K63" s="1675">
        <v>14.91</v>
      </c>
      <c r="L63" s="1413"/>
      <c r="M63" s="1414"/>
      <c r="N63" s="1412">
        <v>44.73</v>
      </c>
      <c r="O63" s="1676">
        <v>14.91</v>
      </c>
      <c r="P63" s="1413">
        <v>0</v>
      </c>
      <c r="Q63" s="1414">
        <v>0</v>
      </c>
    </row>
    <row r="64" spans="3:17">
      <c r="C64" s="1655" t="str">
        <f t="shared" si="0"/>
        <v>I, II, III</v>
      </c>
      <c r="D64" s="1654">
        <v>53</v>
      </c>
      <c r="E64" s="1601">
        <v>60</v>
      </c>
      <c r="F64" s="1667">
        <v>5</v>
      </c>
      <c r="G64" s="1602">
        <v>10</v>
      </c>
      <c r="H64" s="1603">
        <v>10.57</v>
      </c>
      <c r="I64" s="1604">
        <v>8.3000000000000007</v>
      </c>
      <c r="J64" s="1412">
        <v>52.3</v>
      </c>
      <c r="K64" s="1675">
        <v>17.433333333333334</v>
      </c>
      <c r="L64" s="1413"/>
      <c r="M64" s="1414"/>
      <c r="N64" s="1412">
        <v>52.3</v>
      </c>
      <c r="O64" s="1676">
        <v>17.433333333333334</v>
      </c>
      <c r="P64" s="1413">
        <v>0</v>
      </c>
      <c r="Q64" s="1414">
        <v>0</v>
      </c>
    </row>
    <row r="65" spans="2:17">
      <c r="C65" s="1655" t="str">
        <f t="shared" si="0"/>
        <v>I, II</v>
      </c>
      <c r="D65" s="1654">
        <v>54</v>
      </c>
      <c r="E65" s="1601">
        <v>60</v>
      </c>
      <c r="F65" s="1667">
        <v>6</v>
      </c>
      <c r="G65" s="1602">
        <v>12</v>
      </c>
      <c r="H65" s="1603">
        <v>12.34</v>
      </c>
      <c r="I65" s="1604">
        <v>9.69</v>
      </c>
      <c r="J65" s="1412">
        <v>58.6</v>
      </c>
      <c r="K65" s="1675">
        <v>19.533333333333335</v>
      </c>
      <c r="L65" s="1413"/>
      <c r="M65" s="1414"/>
      <c r="N65" s="1412">
        <v>58.6</v>
      </c>
      <c r="O65" s="1676">
        <v>19.533333333333335</v>
      </c>
      <c r="P65" s="1413">
        <v>0</v>
      </c>
      <c r="Q65" s="1414">
        <v>0</v>
      </c>
    </row>
    <row r="66" spans="2:17">
      <c r="C66" s="1655" t="str">
        <f t="shared" si="0"/>
        <v>I, II</v>
      </c>
      <c r="D66" s="1654">
        <v>55</v>
      </c>
      <c r="E66" s="1601">
        <v>60</v>
      </c>
      <c r="F66" s="1667">
        <v>7</v>
      </c>
      <c r="G66" s="1602">
        <v>14</v>
      </c>
      <c r="H66" s="1603">
        <v>14</v>
      </c>
      <c r="I66" s="1604">
        <v>11</v>
      </c>
      <c r="J66" s="1412">
        <v>63.71</v>
      </c>
      <c r="K66" s="1675">
        <v>21.236666666666668</v>
      </c>
      <c r="L66" s="1413"/>
      <c r="M66" s="1414"/>
      <c r="N66" s="1412">
        <v>63.71</v>
      </c>
      <c r="O66" s="1676">
        <v>21.236666666666668</v>
      </c>
      <c r="P66" s="1413">
        <v>0</v>
      </c>
      <c r="Q66" s="1414">
        <v>0</v>
      </c>
    </row>
    <row r="67" spans="2:17">
      <c r="C67" s="1655" t="str">
        <f t="shared" si="0"/>
        <v>I, II</v>
      </c>
      <c r="D67" s="1654">
        <v>56</v>
      </c>
      <c r="E67" s="1601">
        <v>60</v>
      </c>
      <c r="F67" s="1667">
        <v>8</v>
      </c>
      <c r="G67" s="1602">
        <v>16</v>
      </c>
      <c r="H67" s="1603">
        <v>15.54</v>
      </c>
      <c r="I67" s="1604">
        <v>12.2</v>
      </c>
      <c r="J67" s="1412">
        <v>67.709999999999994</v>
      </c>
      <c r="K67" s="1675">
        <v>22.57</v>
      </c>
      <c r="L67" s="1413"/>
      <c r="M67" s="1414"/>
      <c r="N67" s="1412">
        <v>67.709999999999994</v>
      </c>
      <c r="O67" s="1676">
        <v>22.57</v>
      </c>
      <c r="P67" s="1413">
        <v>0</v>
      </c>
      <c r="Q67" s="1414">
        <v>0</v>
      </c>
    </row>
    <row r="68" spans="2:17">
      <c r="B68" s="1704" t="s">
        <v>889</v>
      </c>
      <c r="C68" s="1705" t="str">
        <f t="shared" si="0"/>
        <v>I, II</v>
      </c>
      <c r="D68" s="1706">
        <v>57</v>
      </c>
      <c r="E68" s="1637">
        <v>65</v>
      </c>
      <c r="F68" s="1677">
        <v>6</v>
      </c>
      <c r="G68" s="1639">
        <v>12</v>
      </c>
      <c r="H68" s="1640">
        <v>13.54</v>
      </c>
      <c r="I68" s="1641">
        <v>10.63</v>
      </c>
      <c r="J68" s="1642">
        <v>76.91</v>
      </c>
      <c r="K68" s="1678">
        <v>23.664615384615384</v>
      </c>
      <c r="L68" s="1644"/>
      <c r="M68" s="1645"/>
      <c r="N68" s="1642">
        <v>76.91</v>
      </c>
      <c r="O68" s="1679">
        <v>23.664615384615384</v>
      </c>
      <c r="P68" s="1644">
        <v>0</v>
      </c>
      <c r="Q68" s="1645">
        <v>0</v>
      </c>
    </row>
    <row r="69" spans="2:17">
      <c r="C69" s="1655" t="str">
        <f t="shared" si="0"/>
        <v>I, II, III</v>
      </c>
      <c r="D69" s="1654">
        <v>58</v>
      </c>
      <c r="E69" s="1593">
        <v>70</v>
      </c>
      <c r="F69" s="1661">
        <v>4</v>
      </c>
      <c r="G69" s="1594">
        <v>8</v>
      </c>
      <c r="H69" s="1595">
        <v>10.28</v>
      </c>
      <c r="I69" s="1596">
        <v>8.07</v>
      </c>
      <c r="J69" s="1597">
        <v>73.739999999999995</v>
      </c>
      <c r="K69" s="1673">
        <v>21.068571428571428</v>
      </c>
      <c r="L69" s="1599"/>
      <c r="M69" s="1600"/>
      <c r="N69" s="1597">
        <v>73.739999999999995</v>
      </c>
      <c r="O69" s="1674">
        <v>21.068571428571428</v>
      </c>
      <c r="P69" s="1599">
        <v>0</v>
      </c>
      <c r="Q69" s="1600">
        <v>0</v>
      </c>
    </row>
    <row r="70" spans="2:17">
      <c r="C70" s="1655" t="str">
        <f t="shared" si="0"/>
        <v>I, II, III</v>
      </c>
      <c r="D70" s="1654">
        <v>59</v>
      </c>
      <c r="E70" s="1593">
        <v>70</v>
      </c>
      <c r="F70" s="1661">
        <v>5</v>
      </c>
      <c r="G70" s="1594">
        <v>10</v>
      </c>
      <c r="H70" s="1595">
        <v>12.57</v>
      </c>
      <c r="I70" s="1596">
        <v>9.8699999999999992</v>
      </c>
      <c r="J70" s="1597">
        <v>87.12</v>
      </c>
      <c r="K70" s="1673">
        <v>24.891428571428573</v>
      </c>
      <c r="L70" s="1599"/>
      <c r="M70" s="1600"/>
      <c r="N70" s="1597">
        <v>87.12</v>
      </c>
      <c r="O70" s="1674">
        <v>24.891428571428573</v>
      </c>
      <c r="P70" s="1599">
        <v>0</v>
      </c>
      <c r="Q70" s="1600">
        <v>0</v>
      </c>
    </row>
    <row r="71" spans="2:17">
      <c r="C71" s="1655" t="str">
        <f t="shared" si="0"/>
        <v>I, II</v>
      </c>
      <c r="D71" s="1654">
        <v>60</v>
      </c>
      <c r="E71" s="1593">
        <v>70</v>
      </c>
      <c r="F71" s="1661">
        <v>6</v>
      </c>
      <c r="G71" s="1594">
        <v>12</v>
      </c>
      <c r="H71" s="1595">
        <v>14.74</v>
      </c>
      <c r="I71" s="1596">
        <v>11.57</v>
      </c>
      <c r="J71" s="1597">
        <v>98.69</v>
      </c>
      <c r="K71" s="1673">
        <v>28.197142857142858</v>
      </c>
      <c r="L71" s="1599"/>
      <c r="M71" s="1600"/>
      <c r="N71" s="1597">
        <v>98.69</v>
      </c>
      <c r="O71" s="1674">
        <v>28.197142857142858</v>
      </c>
      <c r="P71" s="1599">
        <v>0</v>
      </c>
      <c r="Q71" s="1600">
        <v>0</v>
      </c>
    </row>
    <row r="72" spans="2:17">
      <c r="C72" s="1655" t="str">
        <f t="shared" si="0"/>
        <v>I, II</v>
      </c>
      <c r="D72" s="1654">
        <v>61</v>
      </c>
      <c r="E72" s="1593">
        <v>70</v>
      </c>
      <c r="F72" s="1661">
        <v>7</v>
      </c>
      <c r="G72" s="1594">
        <v>14</v>
      </c>
      <c r="H72" s="1595">
        <v>16.8</v>
      </c>
      <c r="I72" s="1596">
        <v>13.19</v>
      </c>
      <c r="J72" s="1597">
        <v>108.56</v>
      </c>
      <c r="K72" s="1673">
        <v>31.017142857142858</v>
      </c>
      <c r="L72" s="1599"/>
      <c r="M72" s="1600"/>
      <c r="N72" s="1597">
        <v>108.56</v>
      </c>
      <c r="O72" s="1674">
        <v>31.017142857142858</v>
      </c>
      <c r="P72" s="1599">
        <v>0</v>
      </c>
      <c r="Q72" s="1600">
        <v>0</v>
      </c>
    </row>
    <row r="73" spans="2:17">
      <c r="C73" s="1655" t="str">
        <f t="shared" si="0"/>
        <v>I, II</v>
      </c>
      <c r="D73" s="1654">
        <v>62</v>
      </c>
      <c r="E73" s="1593">
        <v>70</v>
      </c>
      <c r="F73" s="1661">
        <v>8</v>
      </c>
      <c r="G73" s="1594">
        <v>16</v>
      </c>
      <c r="H73" s="1595">
        <v>18.739999999999998</v>
      </c>
      <c r="I73" s="1596">
        <v>14.71</v>
      </c>
      <c r="J73" s="1597">
        <v>116.81</v>
      </c>
      <c r="K73" s="1673">
        <v>33.374285714285712</v>
      </c>
      <c r="L73" s="1599"/>
      <c r="M73" s="1600"/>
      <c r="N73" s="1597">
        <v>116.81</v>
      </c>
      <c r="O73" s="1674">
        <v>33.374285714285712</v>
      </c>
      <c r="P73" s="1599">
        <v>0</v>
      </c>
      <c r="Q73" s="1600">
        <v>0</v>
      </c>
    </row>
    <row r="74" spans="2:17">
      <c r="C74" s="1655" t="str">
        <f t="shared" si="0"/>
        <v>I, II, III</v>
      </c>
      <c r="D74" s="1654">
        <v>63</v>
      </c>
      <c r="E74" s="1601">
        <v>80</v>
      </c>
      <c r="F74" s="1667">
        <v>4</v>
      </c>
      <c r="G74" s="1602">
        <v>8</v>
      </c>
      <c r="H74" s="1603">
        <v>11.88</v>
      </c>
      <c r="I74" s="1604">
        <v>9.33</v>
      </c>
      <c r="J74" s="1412">
        <v>113.17</v>
      </c>
      <c r="K74" s="1675">
        <v>28.2925</v>
      </c>
      <c r="L74" s="1413"/>
      <c r="M74" s="1414"/>
      <c r="N74" s="1412">
        <v>113.17</v>
      </c>
      <c r="O74" s="1676">
        <v>28.2925</v>
      </c>
      <c r="P74" s="1413">
        <v>0</v>
      </c>
      <c r="Q74" s="1414">
        <v>0</v>
      </c>
    </row>
    <row r="75" spans="2:17">
      <c r="C75" s="1655" t="str">
        <f t="shared" si="0"/>
        <v>I, II, III</v>
      </c>
      <c r="D75" s="1654">
        <v>64</v>
      </c>
      <c r="E75" s="1601">
        <v>80</v>
      </c>
      <c r="F75" s="1667">
        <v>5</v>
      </c>
      <c r="G75" s="1602">
        <v>10</v>
      </c>
      <c r="H75" s="1603">
        <v>14.57</v>
      </c>
      <c r="I75" s="1604">
        <v>11.44</v>
      </c>
      <c r="J75" s="1412">
        <v>134.72999999999999</v>
      </c>
      <c r="K75" s="1675">
        <v>33.682499999999997</v>
      </c>
      <c r="L75" s="1413"/>
      <c r="M75" s="1414"/>
      <c r="N75" s="1412">
        <v>134.72999999999999</v>
      </c>
      <c r="O75" s="1676">
        <v>33.682499999999997</v>
      </c>
      <c r="P75" s="1413">
        <v>0</v>
      </c>
      <c r="Q75" s="1414">
        <v>0</v>
      </c>
    </row>
    <row r="76" spans="2:17">
      <c r="C76" s="1655" t="str">
        <f t="shared" si="0"/>
        <v>I, II</v>
      </c>
      <c r="D76" s="1654">
        <v>65</v>
      </c>
      <c r="E76" s="1601">
        <v>80</v>
      </c>
      <c r="F76" s="1667">
        <v>6</v>
      </c>
      <c r="G76" s="1602">
        <v>12</v>
      </c>
      <c r="H76" s="1603">
        <v>17.14</v>
      </c>
      <c r="I76" s="1604">
        <v>13.46</v>
      </c>
      <c r="J76" s="1412">
        <v>153.84</v>
      </c>
      <c r="K76" s="1675">
        <v>38.46</v>
      </c>
      <c r="L76" s="1413"/>
      <c r="M76" s="1414"/>
      <c r="N76" s="1412">
        <v>153.84</v>
      </c>
      <c r="O76" s="1676">
        <v>38.46</v>
      </c>
      <c r="P76" s="1413">
        <v>0</v>
      </c>
      <c r="Q76" s="1414">
        <v>0</v>
      </c>
    </row>
    <row r="77" spans="2:17">
      <c r="C77" s="1655" t="str">
        <f t="shared" ref="C77:C86" si="1">IF(AND(E77&lt;60,F77&lt;8),"I, III",IF(AND(E77&lt;=100,F77&lt;=5),"I, II, III",IF(AND(E77&lt;=120,F77&lt;=8),"I, II",IF(AND(E77&gt;=60,F77&gt;4),"II",""))))</f>
        <v>I, II</v>
      </c>
      <c r="D77" s="1654">
        <v>66</v>
      </c>
      <c r="E77" s="1601">
        <v>80</v>
      </c>
      <c r="F77" s="1667">
        <v>7</v>
      </c>
      <c r="G77" s="1602">
        <v>14</v>
      </c>
      <c r="H77" s="1603">
        <v>19.600000000000001</v>
      </c>
      <c r="I77" s="1604">
        <v>15.38</v>
      </c>
      <c r="J77" s="1412">
        <v>170.63</v>
      </c>
      <c r="K77" s="1675">
        <v>42.657499999999999</v>
      </c>
      <c r="L77" s="1413"/>
      <c r="M77" s="1414"/>
      <c r="N77" s="1412">
        <v>170.63</v>
      </c>
      <c r="O77" s="1676">
        <v>42.657499999999999</v>
      </c>
      <c r="P77" s="1413">
        <v>0</v>
      </c>
      <c r="Q77" s="1414">
        <v>0</v>
      </c>
    </row>
    <row r="78" spans="2:17">
      <c r="C78" s="1655" t="str">
        <f t="shared" si="1"/>
        <v>I, II</v>
      </c>
      <c r="D78" s="1654">
        <v>67</v>
      </c>
      <c r="E78" s="1601">
        <v>80</v>
      </c>
      <c r="F78" s="1667">
        <v>8</v>
      </c>
      <c r="G78" s="1602">
        <v>16</v>
      </c>
      <c r="H78" s="1603">
        <v>21.94</v>
      </c>
      <c r="I78" s="1604">
        <v>17.22</v>
      </c>
      <c r="J78" s="1412">
        <v>185.2</v>
      </c>
      <c r="K78" s="1675">
        <v>46.3</v>
      </c>
      <c r="L78" s="1413"/>
      <c r="M78" s="1414"/>
      <c r="N78" s="1412">
        <v>185.2</v>
      </c>
      <c r="O78" s="1676">
        <v>46.3</v>
      </c>
      <c r="P78" s="1413">
        <v>0</v>
      </c>
      <c r="Q78" s="1414">
        <v>0</v>
      </c>
    </row>
    <row r="79" spans="2:17">
      <c r="C79" s="1655" t="str">
        <f t="shared" si="1"/>
        <v>I, II, III</v>
      </c>
      <c r="D79" s="1654">
        <v>68</v>
      </c>
      <c r="E79" s="1593">
        <v>90</v>
      </c>
      <c r="F79" s="1661">
        <v>5</v>
      </c>
      <c r="G79" s="1594">
        <v>10</v>
      </c>
      <c r="H79" s="1595">
        <v>16.57</v>
      </c>
      <c r="I79" s="1596">
        <v>13</v>
      </c>
      <c r="J79" s="1597">
        <v>197.12</v>
      </c>
      <c r="K79" s="1673">
        <v>43.804444444444442</v>
      </c>
      <c r="L79" s="1599"/>
      <c r="M79" s="1600"/>
      <c r="N79" s="1597">
        <v>197.12</v>
      </c>
      <c r="O79" s="1674">
        <v>43.804444444444442</v>
      </c>
      <c r="P79" s="1599">
        <v>0</v>
      </c>
      <c r="Q79" s="1600">
        <v>0</v>
      </c>
    </row>
    <row r="80" spans="2:17">
      <c r="C80" s="1655" t="str">
        <f t="shared" si="1"/>
        <v>I, II</v>
      </c>
      <c r="D80" s="1654">
        <v>69</v>
      </c>
      <c r="E80" s="1593">
        <v>90</v>
      </c>
      <c r="F80" s="1661">
        <v>6</v>
      </c>
      <c r="G80" s="1594">
        <v>12</v>
      </c>
      <c r="H80" s="1595">
        <v>19.54</v>
      </c>
      <c r="I80" s="1596">
        <v>15.34</v>
      </c>
      <c r="J80" s="1597">
        <v>226.44</v>
      </c>
      <c r="K80" s="1673">
        <v>50.32</v>
      </c>
      <c r="L80" s="1599"/>
      <c r="M80" s="1600"/>
      <c r="N80" s="1597">
        <v>226.44</v>
      </c>
      <c r="O80" s="1674">
        <v>50.32</v>
      </c>
      <c r="P80" s="1599">
        <v>0</v>
      </c>
      <c r="Q80" s="1600">
        <v>0</v>
      </c>
    </row>
    <row r="81" spans="3:17">
      <c r="C81" s="1655" t="str">
        <f t="shared" si="1"/>
        <v>I, II</v>
      </c>
      <c r="D81" s="1654">
        <v>70</v>
      </c>
      <c r="E81" s="1593">
        <v>90</v>
      </c>
      <c r="F81" s="1661">
        <v>7</v>
      </c>
      <c r="G81" s="1594">
        <v>14</v>
      </c>
      <c r="H81" s="1595">
        <v>22.4</v>
      </c>
      <c r="I81" s="1596">
        <v>17.579999999999998</v>
      </c>
      <c r="J81" s="1597">
        <v>252.71</v>
      </c>
      <c r="K81" s="1673">
        <v>56.157777777777781</v>
      </c>
      <c r="L81" s="1599"/>
      <c r="M81" s="1600"/>
      <c r="N81" s="1597">
        <v>252.71</v>
      </c>
      <c r="O81" s="1674">
        <v>56.157777777777781</v>
      </c>
      <c r="P81" s="1599">
        <v>0</v>
      </c>
      <c r="Q81" s="1600">
        <v>0</v>
      </c>
    </row>
    <row r="82" spans="3:17">
      <c r="C82" s="1655" t="str">
        <f t="shared" si="1"/>
        <v>I, II</v>
      </c>
      <c r="D82" s="1654">
        <v>71</v>
      </c>
      <c r="E82" s="1593">
        <v>90</v>
      </c>
      <c r="F82" s="1661">
        <v>8</v>
      </c>
      <c r="G82" s="1594">
        <v>16</v>
      </c>
      <c r="H82" s="1595">
        <v>25.14</v>
      </c>
      <c r="I82" s="1596">
        <v>19.73</v>
      </c>
      <c r="J82" s="1597">
        <v>276.08</v>
      </c>
      <c r="K82" s="1673">
        <v>61.351111111111109</v>
      </c>
      <c r="L82" s="1599"/>
      <c r="M82" s="1600"/>
      <c r="N82" s="1597">
        <v>276.08</v>
      </c>
      <c r="O82" s="1674">
        <v>61.351111111111109</v>
      </c>
      <c r="P82" s="1599">
        <v>0</v>
      </c>
      <c r="Q82" s="1600">
        <v>0</v>
      </c>
    </row>
    <row r="83" spans="3:17">
      <c r="C83" s="1655" t="str">
        <f t="shared" si="1"/>
        <v>I, II</v>
      </c>
      <c r="D83" s="1654">
        <v>72</v>
      </c>
      <c r="E83" s="1601">
        <v>100</v>
      </c>
      <c r="F83" s="1667">
        <v>6</v>
      </c>
      <c r="G83" s="1602">
        <v>12</v>
      </c>
      <c r="H83" s="1603">
        <v>21.94</v>
      </c>
      <c r="I83" s="1604">
        <v>17.22</v>
      </c>
      <c r="J83" s="1412">
        <v>318.89</v>
      </c>
      <c r="K83" s="1675">
        <v>63.777999999999999</v>
      </c>
      <c r="L83" s="1413"/>
      <c r="M83" s="1414"/>
      <c r="N83" s="1412">
        <v>318.89</v>
      </c>
      <c r="O83" s="1676">
        <v>63.777999999999999</v>
      </c>
      <c r="P83" s="1413">
        <v>0</v>
      </c>
      <c r="Q83" s="1414">
        <v>0</v>
      </c>
    </row>
    <row r="84" spans="3:17">
      <c r="C84" s="1655" t="str">
        <f t="shared" si="1"/>
        <v>I, II</v>
      </c>
      <c r="D84" s="1654">
        <v>73</v>
      </c>
      <c r="E84" s="1601">
        <v>100</v>
      </c>
      <c r="F84" s="1667">
        <v>7</v>
      </c>
      <c r="G84" s="1602">
        <v>14</v>
      </c>
      <c r="H84" s="1603">
        <v>25.2</v>
      </c>
      <c r="I84" s="1604">
        <v>19.78</v>
      </c>
      <c r="J84" s="1412">
        <v>357.62</v>
      </c>
      <c r="K84" s="1675">
        <v>71.524000000000001</v>
      </c>
      <c r="L84" s="1413"/>
      <c r="M84" s="1414"/>
      <c r="N84" s="1412">
        <v>357.62</v>
      </c>
      <c r="O84" s="1676">
        <v>71.524000000000001</v>
      </c>
      <c r="P84" s="1413">
        <v>0</v>
      </c>
      <c r="Q84" s="1414">
        <v>0</v>
      </c>
    </row>
    <row r="85" spans="3:17">
      <c r="C85" s="1655" t="str">
        <f t="shared" si="1"/>
        <v>I, II</v>
      </c>
      <c r="D85" s="1654">
        <v>74</v>
      </c>
      <c r="E85" s="1601">
        <v>100</v>
      </c>
      <c r="F85" s="1667">
        <v>8</v>
      </c>
      <c r="G85" s="1602">
        <v>16</v>
      </c>
      <c r="H85" s="1603">
        <v>28.34</v>
      </c>
      <c r="I85" s="1604">
        <v>22.25</v>
      </c>
      <c r="J85" s="1412">
        <v>392.65</v>
      </c>
      <c r="K85" s="1675">
        <v>78.53</v>
      </c>
      <c r="L85" s="1413"/>
      <c r="M85" s="1414"/>
      <c r="N85" s="1412">
        <v>392.65</v>
      </c>
      <c r="O85" s="1676">
        <v>78.53</v>
      </c>
      <c r="P85" s="1413">
        <v>0</v>
      </c>
      <c r="Q85" s="1414">
        <v>0</v>
      </c>
    </row>
    <row r="86" spans="3:17">
      <c r="C86" s="1655" t="str">
        <f t="shared" si="1"/>
        <v>II</v>
      </c>
      <c r="D86" s="1654">
        <v>75</v>
      </c>
      <c r="E86" s="1601">
        <v>100</v>
      </c>
      <c r="F86" s="1667">
        <v>9</v>
      </c>
      <c r="G86" s="1602">
        <v>18</v>
      </c>
      <c r="H86" s="1603">
        <v>31.37</v>
      </c>
      <c r="I86" s="1604">
        <v>24.62</v>
      </c>
      <c r="J86" s="1412">
        <v>424.11</v>
      </c>
      <c r="K86" s="1675">
        <v>84.822000000000003</v>
      </c>
      <c r="L86" s="1413"/>
      <c r="M86" s="1414"/>
      <c r="N86" s="1412">
        <v>424.11</v>
      </c>
      <c r="O86" s="1676">
        <v>84.822000000000003</v>
      </c>
      <c r="P86" s="1413">
        <v>0</v>
      </c>
      <c r="Q86" s="1414">
        <v>0</v>
      </c>
    </row>
    <row r="87" spans="3:17">
      <c r="C87" s="1655" t="str">
        <f>IF(AND(E87&lt;60,F87&lt;8),"I, III",IF(AND(E87&lt;=100,F87&lt;=5),"I, II, III",IF(AND(E87&lt;=120,F87&lt;=8),"I, II",IF(AND(E87&gt;=60,F87&gt;4),"II",""))))</f>
        <v>I, II</v>
      </c>
      <c r="D87" s="1654">
        <v>76</v>
      </c>
      <c r="E87" s="1593">
        <v>110</v>
      </c>
      <c r="F87" s="1661">
        <v>6</v>
      </c>
      <c r="G87" s="1594">
        <v>12</v>
      </c>
      <c r="H87" s="1595">
        <v>24.34</v>
      </c>
      <c r="I87" s="1596">
        <v>19.11</v>
      </c>
      <c r="J87" s="1597">
        <v>433.59</v>
      </c>
      <c r="K87" s="1673">
        <v>78.834545454545449</v>
      </c>
      <c r="L87" s="1599"/>
      <c r="M87" s="1600"/>
      <c r="N87" s="1597">
        <v>433.59</v>
      </c>
      <c r="O87" s="1674">
        <v>78.834545454545449</v>
      </c>
      <c r="P87" s="1599">
        <v>0</v>
      </c>
      <c r="Q87" s="1600">
        <v>0</v>
      </c>
    </row>
    <row r="88" spans="3:17">
      <c r="C88" s="1655" t="str">
        <f>IF(AND(E88&lt;60,F88&lt;8),"I, III",IF(AND(E88&lt;=100,F88&lt;=5),"I, II, III",IF(AND(E88&lt;=120,F88&lt;=8),"I, II",IF(AND(E88&gt;=60,F88&gt;4),"II",""))))</f>
        <v>I, II</v>
      </c>
      <c r="D88" s="1654">
        <v>77</v>
      </c>
      <c r="E88" s="1593">
        <v>110</v>
      </c>
      <c r="F88" s="1661">
        <v>7</v>
      </c>
      <c r="G88" s="1594">
        <v>14</v>
      </c>
      <c r="H88" s="1595">
        <v>28</v>
      </c>
      <c r="I88" s="1596">
        <v>21.98</v>
      </c>
      <c r="J88" s="1597">
        <v>488.14</v>
      </c>
      <c r="K88" s="1673">
        <v>88.75272727272727</v>
      </c>
      <c r="L88" s="1599"/>
      <c r="M88" s="1600"/>
      <c r="N88" s="1597">
        <v>488.14</v>
      </c>
      <c r="O88" s="1674">
        <v>88.75272727272727</v>
      </c>
      <c r="P88" s="1599">
        <v>0</v>
      </c>
      <c r="Q88" s="1600">
        <v>0</v>
      </c>
    </row>
    <row r="89" spans="3:17">
      <c r="C89" s="1655" t="str">
        <f>IF(AND(E89&lt;60,F89&lt;8),"I, III",IF(AND(E89&lt;=100,F89&lt;=5),"I, II, III",IF(AND(E89&lt;=120,F89&lt;=8),"I, II",IF(AND(E89&gt;=60,F89&gt;4),"II",""))))</f>
        <v>I, II</v>
      </c>
      <c r="D89" s="1654">
        <v>78</v>
      </c>
      <c r="E89" s="1593">
        <v>110</v>
      </c>
      <c r="F89" s="1661">
        <v>8</v>
      </c>
      <c r="G89" s="1594">
        <v>16</v>
      </c>
      <c r="H89" s="1595">
        <v>31.54</v>
      </c>
      <c r="I89" s="1596">
        <v>24.76</v>
      </c>
      <c r="J89" s="1597">
        <v>538.11</v>
      </c>
      <c r="K89" s="1673">
        <v>97.838181818181823</v>
      </c>
      <c r="L89" s="1599"/>
      <c r="M89" s="1600"/>
      <c r="N89" s="1597">
        <v>538.11</v>
      </c>
      <c r="O89" s="1674">
        <v>97.838181818181823</v>
      </c>
      <c r="P89" s="1599">
        <v>0</v>
      </c>
      <c r="Q89" s="1600">
        <v>0</v>
      </c>
    </row>
    <row r="90" spans="3:17">
      <c r="C90" s="1655" t="str">
        <f>IF(AND(E90&lt;60,F90&lt;8),"I, III",IF(AND(E90&lt;=100,F90&lt;=5),"I, II, III",IF(AND(E90&lt;=120,F90&lt;=8),"I, II",IF(AND(E90&gt;=60,F90&gt;4),"II",""))))</f>
        <v>II</v>
      </c>
      <c r="D90" s="1654">
        <v>79</v>
      </c>
      <c r="E90" s="1593">
        <v>110</v>
      </c>
      <c r="F90" s="1661">
        <v>9</v>
      </c>
      <c r="G90" s="1594">
        <v>18</v>
      </c>
      <c r="H90" s="1595">
        <v>34.97</v>
      </c>
      <c r="I90" s="1596">
        <v>27.45</v>
      </c>
      <c r="J90" s="1597">
        <v>583.63</v>
      </c>
      <c r="K90" s="1673">
        <v>106.11454545454545</v>
      </c>
      <c r="L90" s="1599"/>
      <c r="M90" s="1600"/>
      <c r="N90" s="1597">
        <v>583.63</v>
      </c>
      <c r="O90" s="1674">
        <v>106.11454545454545</v>
      </c>
      <c r="P90" s="1599">
        <v>0</v>
      </c>
      <c r="Q90" s="1600">
        <v>0</v>
      </c>
    </row>
    <row r="91" spans="3:17">
      <c r="C91" s="1655" t="str">
        <f>IF(AND(E91&lt;60,F91&lt;8),"I, III",IF(AND(E91&lt;=100,F91&lt;=5),"I, II, III",IF(AND(E91&lt;=120,F91&lt;=8),"I, II",IF(AND(E91&gt;=60,F91&gt;4),"II",""))))</f>
        <v>I, II</v>
      </c>
      <c r="D91" s="1654">
        <v>80</v>
      </c>
      <c r="E91" s="1601">
        <v>120</v>
      </c>
      <c r="F91" s="1667">
        <v>6</v>
      </c>
      <c r="G91" s="1602">
        <v>12</v>
      </c>
      <c r="H91" s="1603">
        <v>26.74</v>
      </c>
      <c r="I91" s="1604">
        <v>20.99</v>
      </c>
      <c r="J91" s="1412">
        <v>572.94000000000005</v>
      </c>
      <c r="K91" s="1675">
        <v>95.49</v>
      </c>
      <c r="L91" s="1413"/>
      <c r="M91" s="1414"/>
      <c r="N91" s="1412">
        <v>572.94000000000005</v>
      </c>
      <c r="O91" s="1676">
        <v>95.49</v>
      </c>
      <c r="P91" s="1413">
        <v>0</v>
      </c>
      <c r="Q91" s="1414">
        <v>0</v>
      </c>
    </row>
    <row r="92" spans="3:17">
      <c r="C92" s="1655" t="str">
        <f t="shared" ref="C92:C107" si="2">IF(AND(E92&lt;60,F92&lt;8),"I, III",IF(AND(E92&lt;=100,F92&lt;=5),"I, II, III",IF(AND(E92&lt;=120,F92&lt;=8),"I, II",IF(AND(E92&gt;=60,F92&gt;4),"II",""))))</f>
        <v>I, II</v>
      </c>
      <c r="D92" s="1654">
        <v>81</v>
      </c>
      <c r="E92" s="1601">
        <v>120</v>
      </c>
      <c r="F92" s="1667">
        <v>7</v>
      </c>
      <c r="G92" s="1602">
        <v>14</v>
      </c>
      <c r="H92" s="1603">
        <v>30.8</v>
      </c>
      <c r="I92" s="1604">
        <v>24.18</v>
      </c>
      <c r="J92" s="1412">
        <v>647.09</v>
      </c>
      <c r="K92" s="1675">
        <v>107.84833333333334</v>
      </c>
      <c r="L92" s="1413"/>
      <c r="M92" s="1414"/>
      <c r="N92" s="1412">
        <v>647.09</v>
      </c>
      <c r="O92" s="1676">
        <v>107.84833333333334</v>
      </c>
      <c r="P92" s="1413">
        <v>0</v>
      </c>
      <c r="Q92" s="1414">
        <v>0</v>
      </c>
    </row>
    <row r="93" spans="3:17">
      <c r="C93" s="1655" t="str">
        <f t="shared" si="2"/>
        <v>I, II</v>
      </c>
      <c r="D93" s="1654">
        <v>82</v>
      </c>
      <c r="E93" s="1601">
        <v>120</v>
      </c>
      <c r="F93" s="1667">
        <v>8</v>
      </c>
      <c r="G93" s="1602">
        <v>16</v>
      </c>
      <c r="H93" s="1603">
        <v>34.74</v>
      </c>
      <c r="I93" s="1604">
        <v>27.27</v>
      </c>
      <c r="J93" s="1412">
        <v>715.66</v>
      </c>
      <c r="K93" s="1675">
        <v>119.27666666666666</v>
      </c>
      <c r="L93" s="1413"/>
      <c r="M93" s="1414"/>
      <c r="N93" s="1412">
        <v>715.66</v>
      </c>
      <c r="O93" s="1676">
        <v>119.27666666666666</v>
      </c>
      <c r="P93" s="1413">
        <v>0</v>
      </c>
      <c r="Q93" s="1414">
        <v>0</v>
      </c>
    </row>
    <row r="94" spans="3:17">
      <c r="C94" s="1655" t="str">
        <f t="shared" si="2"/>
        <v>II</v>
      </c>
      <c r="D94" s="1654">
        <v>83</v>
      </c>
      <c r="E94" s="1601">
        <v>120</v>
      </c>
      <c r="F94" s="1667">
        <v>9</v>
      </c>
      <c r="G94" s="1602">
        <v>18</v>
      </c>
      <c r="H94" s="1603">
        <v>38.57</v>
      </c>
      <c r="I94" s="1604">
        <v>30.28</v>
      </c>
      <c r="J94" s="1412">
        <v>778.82</v>
      </c>
      <c r="K94" s="1675">
        <v>129.80333333333334</v>
      </c>
      <c r="L94" s="1413"/>
      <c r="M94" s="1414"/>
      <c r="N94" s="1412">
        <v>778.82</v>
      </c>
      <c r="O94" s="1676">
        <v>129.80333333333334</v>
      </c>
      <c r="P94" s="1413">
        <v>0</v>
      </c>
      <c r="Q94" s="1414">
        <v>0</v>
      </c>
    </row>
    <row r="95" spans="3:17">
      <c r="C95" s="1655" t="str">
        <f t="shared" si="2"/>
        <v>II</v>
      </c>
      <c r="D95" s="1654">
        <v>84</v>
      </c>
      <c r="E95" s="1593">
        <v>140</v>
      </c>
      <c r="F95" s="1661">
        <v>6</v>
      </c>
      <c r="G95" s="1594">
        <v>12</v>
      </c>
      <c r="H95" s="1595">
        <v>31.54</v>
      </c>
      <c r="I95" s="1596">
        <v>24.76</v>
      </c>
      <c r="J95" s="1597">
        <v>935.19</v>
      </c>
      <c r="K95" s="1673">
        <v>133.59857142857143</v>
      </c>
      <c r="L95" s="1599"/>
      <c r="M95" s="1600"/>
      <c r="N95" s="1597">
        <v>935.19</v>
      </c>
      <c r="O95" s="1674">
        <v>133.59857142857143</v>
      </c>
      <c r="P95" s="1599">
        <v>0</v>
      </c>
      <c r="Q95" s="1600">
        <v>0</v>
      </c>
    </row>
    <row r="96" spans="3:17">
      <c r="C96" s="1655" t="str">
        <f t="shared" si="2"/>
        <v>II</v>
      </c>
      <c r="D96" s="1654">
        <v>85</v>
      </c>
      <c r="E96" s="1593">
        <v>140</v>
      </c>
      <c r="F96" s="1661">
        <v>7</v>
      </c>
      <c r="G96" s="1594">
        <v>14</v>
      </c>
      <c r="H96" s="1595">
        <v>36.4</v>
      </c>
      <c r="I96" s="1596">
        <v>28.57</v>
      </c>
      <c r="J96" s="1597">
        <v>1061.44</v>
      </c>
      <c r="K96" s="1673">
        <v>151.63428571428571</v>
      </c>
      <c r="L96" s="1599"/>
      <c r="M96" s="1600"/>
      <c r="N96" s="1597">
        <v>1061.44</v>
      </c>
      <c r="O96" s="1674">
        <v>151.63428571428571</v>
      </c>
      <c r="P96" s="1599">
        <v>0</v>
      </c>
      <c r="Q96" s="1600">
        <v>0</v>
      </c>
    </row>
    <row r="97" spans="3:28">
      <c r="C97" s="1655" t="str">
        <f t="shared" si="2"/>
        <v>II</v>
      </c>
      <c r="D97" s="1654">
        <v>86</v>
      </c>
      <c r="E97" s="1593">
        <v>140</v>
      </c>
      <c r="F97" s="1661">
        <v>8</v>
      </c>
      <c r="G97" s="1594">
        <v>16</v>
      </c>
      <c r="H97" s="1595">
        <v>41.14</v>
      </c>
      <c r="I97" s="1596">
        <v>32.29</v>
      </c>
      <c r="J97" s="1597">
        <v>1179.83</v>
      </c>
      <c r="K97" s="1673">
        <v>168.54714285714286</v>
      </c>
      <c r="L97" s="1599"/>
      <c r="M97" s="1600"/>
      <c r="N97" s="1597">
        <v>1179.83</v>
      </c>
      <c r="O97" s="1674">
        <v>168.54714285714286</v>
      </c>
      <c r="P97" s="1599">
        <v>0</v>
      </c>
      <c r="Q97" s="1600">
        <v>0</v>
      </c>
    </row>
    <row r="98" spans="3:28">
      <c r="C98" s="1655" t="str">
        <f t="shared" si="2"/>
        <v>II</v>
      </c>
      <c r="D98" s="1654">
        <v>87</v>
      </c>
      <c r="E98" s="1593">
        <v>140</v>
      </c>
      <c r="F98" s="1661">
        <v>9</v>
      </c>
      <c r="G98" s="1594">
        <v>18</v>
      </c>
      <c r="H98" s="1595">
        <v>45.77</v>
      </c>
      <c r="I98" s="1596">
        <v>35.93</v>
      </c>
      <c r="J98" s="1597">
        <v>1290.58</v>
      </c>
      <c r="K98" s="1673">
        <v>184.36857142857141</v>
      </c>
      <c r="L98" s="1599"/>
      <c r="M98" s="1600"/>
      <c r="N98" s="1597">
        <v>1290.58</v>
      </c>
      <c r="O98" s="1674">
        <v>184.36857142857141</v>
      </c>
      <c r="P98" s="1599">
        <v>0</v>
      </c>
      <c r="Q98" s="1600">
        <v>0</v>
      </c>
    </row>
    <row r="99" spans="3:28">
      <c r="C99" s="1655" t="str">
        <f t="shared" si="2"/>
        <v>II</v>
      </c>
      <c r="D99" s="1654">
        <v>88</v>
      </c>
      <c r="E99" s="1601">
        <v>150</v>
      </c>
      <c r="F99" s="1667">
        <v>7</v>
      </c>
      <c r="G99" s="1602">
        <v>14</v>
      </c>
      <c r="H99" s="1603">
        <v>39.200000000000003</v>
      </c>
      <c r="I99" s="1604">
        <v>30.77</v>
      </c>
      <c r="J99" s="1412">
        <v>1322.44</v>
      </c>
      <c r="K99" s="1675">
        <v>176.32533333333333</v>
      </c>
      <c r="L99" s="1413"/>
      <c r="M99" s="1414"/>
      <c r="N99" s="1412">
        <v>1322.44</v>
      </c>
      <c r="O99" s="1676">
        <v>176.32533333333333</v>
      </c>
      <c r="P99" s="1413">
        <v>0</v>
      </c>
      <c r="Q99" s="1414">
        <v>0</v>
      </c>
      <c r="AB99" s="1038"/>
    </row>
    <row r="100" spans="3:28">
      <c r="C100" s="1655" t="str">
        <f t="shared" si="2"/>
        <v>II</v>
      </c>
      <c r="D100" s="1654">
        <v>89</v>
      </c>
      <c r="E100" s="1601">
        <v>150</v>
      </c>
      <c r="F100" s="1667">
        <v>8</v>
      </c>
      <c r="G100" s="1602">
        <v>16</v>
      </c>
      <c r="H100" s="1603">
        <v>44.34</v>
      </c>
      <c r="I100" s="1604">
        <v>34.81</v>
      </c>
      <c r="J100" s="1412">
        <v>1472.85</v>
      </c>
      <c r="K100" s="1675">
        <v>196.38</v>
      </c>
      <c r="L100" s="1413"/>
      <c r="M100" s="1414"/>
      <c r="N100" s="1412">
        <v>1472.85</v>
      </c>
      <c r="O100" s="1676">
        <v>196.38</v>
      </c>
      <c r="P100" s="1413">
        <v>0</v>
      </c>
      <c r="Q100" s="1414">
        <v>0</v>
      </c>
      <c r="AB100" s="1973">
        <v>2.5</v>
      </c>
    </row>
    <row r="101" spans="3:28">
      <c r="C101" s="1655" t="str">
        <f t="shared" si="2"/>
        <v>II</v>
      </c>
      <c r="D101" s="1654">
        <v>90</v>
      </c>
      <c r="E101" s="1601">
        <v>150</v>
      </c>
      <c r="F101" s="1667">
        <v>9</v>
      </c>
      <c r="G101" s="1602">
        <v>18</v>
      </c>
      <c r="H101" s="1603">
        <v>49.37</v>
      </c>
      <c r="I101" s="1604">
        <v>38.75</v>
      </c>
      <c r="J101" s="1412">
        <v>1614.37</v>
      </c>
      <c r="K101" s="1675">
        <v>215.24933333333331</v>
      </c>
      <c r="L101" s="1413"/>
      <c r="M101" s="1414"/>
      <c r="N101" s="1412">
        <v>1614.37</v>
      </c>
      <c r="O101" s="1676">
        <v>215.24933333333331</v>
      </c>
      <c r="P101" s="1413">
        <v>0</v>
      </c>
      <c r="Q101" s="1414">
        <v>0</v>
      </c>
      <c r="AB101" s="1973">
        <v>3</v>
      </c>
    </row>
    <row r="102" spans="3:28">
      <c r="C102" s="1655" t="str">
        <f t="shared" si="2"/>
        <v>II</v>
      </c>
      <c r="D102" s="1654">
        <v>91</v>
      </c>
      <c r="E102" s="1601">
        <v>150</v>
      </c>
      <c r="F102" s="1667">
        <v>10</v>
      </c>
      <c r="G102" s="1602">
        <v>20</v>
      </c>
      <c r="H102" s="1603">
        <v>54.28</v>
      </c>
      <c r="I102" s="1604">
        <v>42.61</v>
      </c>
      <c r="J102" s="1412">
        <v>1747.21</v>
      </c>
      <c r="K102" s="1675">
        <v>232.96133333333333</v>
      </c>
      <c r="L102" s="1413"/>
      <c r="M102" s="1414"/>
      <c r="N102" s="1412">
        <v>1747.21</v>
      </c>
      <c r="O102" s="1676">
        <v>232.96133333333333</v>
      </c>
      <c r="P102" s="1413">
        <v>0</v>
      </c>
      <c r="Q102" s="1414">
        <v>0</v>
      </c>
      <c r="AB102" s="1973">
        <v>3.5</v>
      </c>
    </row>
    <row r="103" spans="3:28">
      <c r="C103" s="1655" t="str">
        <f t="shared" si="2"/>
        <v>II</v>
      </c>
      <c r="D103" s="1654">
        <v>92</v>
      </c>
      <c r="E103" s="1593">
        <v>180</v>
      </c>
      <c r="F103" s="1661">
        <v>8</v>
      </c>
      <c r="G103" s="1594">
        <v>16</v>
      </c>
      <c r="H103" s="1595">
        <v>53.94</v>
      </c>
      <c r="I103" s="1596">
        <v>42.34</v>
      </c>
      <c r="J103" s="1597">
        <v>2634.06</v>
      </c>
      <c r="K103" s="1673">
        <v>292.67333333333335</v>
      </c>
      <c r="L103" s="1599"/>
      <c r="M103" s="1600"/>
      <c r="N103" s="1597">
        <v>2634.06</v>
      </c>
      <c r="O103" s="1674">
        <v>292.67333333333335</v>
      </c>
      <c r="P103" s="1599">
        <v>0</v>
      </c>
      <c r="Q103" s="1600">
        <v>0</v>
      </c>
      <c r="AB103" s="1973">
        <v>4</v>
      </c>
    </row>
    <row r="104" spans="3:28">
      <c r="C104" s="1655" t="str">
        <f t="shared" si="2"/>
        <v>II</v>
      </c>
      <c r="D104" s="1654">
        <v>93</v>
      </c>
      <c r="E104" s="1593">
        <v>180</v>
      </c>
      <c r="F104" s="1661">
        <v>9</v>
      </c>
      <c r="G104" s="1594">
        <v>18</v>
      </c>
      <c r="H104" s="1595">
        <v>60.17</v>
      </c>
      <c r="I104" s="1596">
        <v>47.23</v>
      </c>
      <c r="J104" s="1597">
        <v>2900.49</v>
      </c>
      <c r="K104" s="1673">
        <v>322.27666666666664</v>
      </c>
      <c r="L104" s="1599"/>
      <c r="M104" s="1600"/>
      <c r="N104" s="1597">
        <v>2900.49</v>
      </c>
      <c r="O104" s="1674">
        <v>322.27666666666664</v>
      </c>
      <c r="P104" s="1599">
        <v>0</v>
      </c>
      <c r="Q104" s="1600">
        <v>0</v>
      </c>
      <c r="AB104" s="1973">
        <v>5</v>
      </c>
    </row>
    <row r="105" spans="3:28">
      <c r="C105" s="1655" t="str">
        <f t="shared" si="2"/>
        <v>II</v>
      </c>
      <c r="D105" s="1654">
        <v>94</v>
      </c>
      <c r="E105" s="1593">
        <v>180</v>
      </c>
      <c r="F105" s="1661">
        <v>10</v>
      </c>
      <c r="G105" s="1594">
        <v>20</v>
      </c>
      <c r="H105" s="1595">
        <v>66.28</v>
      </c>
      <c r="I105" s="1596">
        <v>52.03</v>
      </c>
      <c r="J105" s="1597">
        <v>3153.95</v>
      </c>
      <c r="K105" s="1673">
        <v>350.43888888888887</v>
      </c>
      <c r="L105" s="1599"/>
      <c r="M105" s="1600"/>
      <c r="N105" s="1597">
        <v>3153.95</v>
      </c>
      <c r="O105" s="1674">
        <v>350.43888888888887</v>
      </c>
      <c r="P105" s="1599">
        <v>0</v>
      </c>
      <c r="Q105" s="1600">
        <v>0</v>
      </c>
      <c r="AB105" s="1973">
        <v>6</v>
      </c>
    </row>
    <row r="106" spans="3:28">
      <c r="C106" s="1655" t="str">
        <f t="shared" si="2"/>
        <v>II</v>
      </c>
      <c r="D106" s="1654">
        <v>95</v>
      </c>
      <c r="E106" s="1593">
        <v>180</v>
      </c>
      <c r="F106" s="1661">
        <v>12</v>
      </c>
      <c r="G106" s="1594">
        <v>24</v>
      </c>
      <c r="H106" s="1595">
        <v>78.17</v>
      </c>
      <c r="I106" s="1596">
        <v>61.36</v>
      </c>
      <c r="J106" s="1597">
        <v>3623.01</v>
      </c>
      <c r="K106" s="1673">
        <v>402.55666666666667</v>
      </c>
      <c r="L106" s="1599"/>
      <c r="M106" s="1600"/>
      <c r="N106" s="1597">
        <v>3623.01</v>
      </c>
      <c r="O106" s="1674">
        <v>402.55666666666667</v>
      </c>
      <c r="P106" s="1599">
        <v>0</v>
      </c>
      <c r="Q106" s="1600">
        <v>0</v>
      </c>
      <c r="AB106" s="1533"/>
    </row>
    <row r="107" spans="3:28" ht="13.5" thickBot="1">
      <c r="C107" s="1655" t="str">
        <f t="shared" si="2"/>
        <v>II</v>
      </c>
      <c r="D107" s="1654">
        <v>96</v>
      </c>
      <c r="E107" s="1680">
        <v>180</v>
      </c>
      <c r="F107" s="1681">
        <v>14</v>
      </c>
      <c r="G107" s="1682">
        <v>28</v>
      </c>
      <c r="H107" s="1683">
        <v>89.59</v>
      </c>
      <c r="I107" s="1684">
        <v>70.33</v>
      </c>
      <c r="J107" s="1685">
        <v>4043.41</v>
      </c>
      <c r="K107" s="1686">
        <v>449.26777777777778</v>
      </c>
      <c r="L107" s="1687"/>
      <c r="M107" s="1688"/>
      <c r="N107" s="1685">
        <v>4043.41</v>
      </c>
      <c r="O107" s="1689">
        <v>449.26777777777778</v>
      </c>
      <c r="P107" s="1687">
        <v>0</v>
      </c>
      <c r="Q107" s="1688">
        <v>0</v>
      </c>
      <c r="AB107" s="1038"/>
    </row>
    <row r="108" spans="3:28">
      <c r="C108" s="1690"/>
      <c r="D108" s="1614"/>
      <c r="E108" s="1266"/>
      <c r="F108" s="1691"/>
      <c r="G108" s="1615"/>
      <c r="H108" s="1616"/>
      <c r="I108" s="1617"/>
      <c r="J108" s="1618"/>
      <c r="K108" s="1618"/>
      <c r="L108" s="1618"/>
      <c r="M108" s="1618"/>
      <c r="N108" s="1618"/>
      <c r="O108" s="1618"/>
      <c r="P108" s="1618"/>
      <c r="Q108" s="1618"/>
    </row>
    <row r="109" spans="3:28">
      <c r="C109" s="1690"/>
      <c r="D109" s="1614"/>
      <c r="E109" s="1266"/>
      <c r="F109" s="1691"/>
      <c r="G109" s="1615"/>
      <c r="H109" s="1616"/>
      <c r="I109" s="1617"/>
      <c r="J109" s="1618"/>
      <c r="K109" s="1618"/>
      <c r="L109" s="1618"/>
      <c r="M109" s="1618"/>
      <c r="N109" s="1618"/>
      <c r="O109" s="1618"/>
      <c r="P109" s="1618"/>
      <c r="Q109" s="1618"/>
    </row>
    <row r="110" spans="3:28">
      <c r="C110" s="1690"/>
      <c r="D110" s="1614"/>
      <c r="E110" s="1266"/>
      <c r="F110" s="1691"/>
      <c r="G110" s="1615"/>
      <c r="H110" s="1616"/>
      <c r="I110" s="1617"/>
      <c r="J110" s="1618"/>
      <c r="K110" s="1618"/>
      <c r="L110" s="1618"/>
      <c r="M110" s="1618"/>
      <c r="N110" s="1618"/>
      <c r="O110" s="1618"/>
      <c r="P110" s="1618"/>
      <c r="Q110" s="1618"/>
    </row>
    <row r="111" spans="3:28">
      <c r="C111" s="1690"/>
      <c r="D111" s="1614"/>
      <c r="E111" s="1266"/>
      <c r="F111" s="1691"/>
      <c r="G111" s="1615"/>
      <c r="H111" s="1616"/>
      <c r="I111" s="1617"/>
      <c r="J111" s="1618"/>
      <c r="K111" s="1618"/>
      <c r="L111" s="1618"/>
      <c r="M111" s="1618"/>
      <c r="N111" s="1618"/>
      <c r="O111" s="1618"/>
      <c r="P111" s="1618"/>
      <c r="Q111" s="1618"/>
    </row>
    <row r="112" spans="3:28">
      <c r="C112" s="1690"/>
      <c r="D112" s="1614"/>
      <c r="E112" s="1266"/>
      <c r="F112" s="1691"/>
      <c r="G112" s="1615"/>
      <c r="H112" s="1616"/>
      <c r="I112" s="1617"/>
      <c r="J112" s="1618"/>
      <c r="K112" s="1618"/>
      <c r="L112" s="1618"/>
      <c r="M112" s="1618"/>
      <c r="N112" s="1618"/>
      <c r="O112" s="1618"/>
      <c r="P112" s="1618"/>
      <c r="Q112" s="1618"/>
    </row>
    <row r="113" spans="3:17">
      <c r="C113" s="1690"/>
      <c r="D113" s="1614"/>
      <c r="E113" s="1266"/>
      <c r="F113" s="1691"/>
      <c r="G113" s="1615"/>
      <c r="H113" s="1616"/>
      <c r="I113" s="1617"/>
      <c r="J113" s="1618"/>
      <c r="K113" s="1618"/>
      <c r="L113" s="1618"/>
      <c r="M113" s="1618"/>
      <c r="N113" s="1618"/>
      <c r="O113" s="1618"/>
      <c r="P113" s="1618"/>
      <c r="Q113" s="1618"/>
    </row>
    <row r="114" spans="3:17">
      <c r="C114" s="1690"/>
      <c r="D114" s="1614"/>
      <c r="E114" s="1266"/>
      <c r="F114" s="1691"/>
      <c r="G114" s="1615"/>
      <c r="H114" s="1616"/>
      <c r="I114" s="1617"/>
      <c r="J114" s="1618"/>
      <c r="K114" s="1618"/>
      <c r="L114" s="1618"/>
      <c r="M114" s="1618"/>
      <c r="N114" s="1618"/>
      <c r="O114" s="1618"/>
      <c r="P114" s="1618"/>
      <c r="Q114" s="1618"/>
    </row>
    <row r="115" spans="3:17">
      <c r="C115" s="1690"/>
      <c r="D115" s="1614"/>
      <c r="E115" s="1266"/>
      <c r="F115" s="1691"/>
      <c r="G115" s="1615"/>
      <c r="H115" s="1616"/>
      <c r="I115" s="1617"/>
      <c r="J115" s="1618"/>
      <c r="K115" s="1618"/>
      <c r="L115" s="1618"/>
      <c r="M115" s="1618"/>
      <c r="N115" s="1618"/>
      <c r="O115" s="1618"/>
      <c r="P115" s="1618"/>
      <c r="Q115" s="1618"/>
    </row>
    <row r="116" spans="3:17">
      <c r="C116" s="1690"/>
      <c r="D116" s="1614"/>
      <c r="E116" s="1266"/>
      <c r="F116" s="1691"/>
      <c r="G116" s="1615"/>
      <c r="H116" s="1616"/>
      <c r="I116" s="1617"/>
      <c r="J116" s="1618"/>
      <c r="K116" s="1618"/>
      <c r="L116" s="1618"/>
      <c r="M116" s="1618"/>
      <c r="N116" s="1618"/>
      <c r="O116" s="1618"/>
      <c r="P116" s="1618"/>
      <c r="Q116" s="1618"/>
    </row>
    <row r="117" spans="3:17">
      <c r="C117" s="1690"/>
      <c r="D117" s="1614"/>
      <c r="E117" s="1266"/>
      <c r="F117" s="1691"/>
      <c r="G117" s="1615"/>
      <c r="H117" s="1616"/>
      <c r="I117" s="1617"/>
      <c r="J117" s="1618"/>
      <c r="K117" s="1618"/>
      <c r="L117" s="1618"/>
      <c r="M117" s="1618"/>
      <c r="N117" s="1618"/>
      <c r="O117" s="1618"/>
      <c r="P117" s="1618"/>
      <c r="Q117" s="1618"/>
    </row>
    <row r="118" spans="3:17">
      <c r="C118" s="1690"/>
      <c r="D118" s="1614"/>
      <c r="E118" s="1266"/>
      <c r="F118" s="1691"/>
      <c r="G118" s="1615"/>
      <c r="H118" s="1616"/>
      <c r="I118" s="1617"/>
      <c r="J118" s="1618"/>
      <c r="K118" s="1618"/>
      <c r="L118" s="1618"/>
      <c r="M118" s="1618"/>
      <c r="N118" s="1618"/>
      <c r="O118" s="1618"/>
      <c r="P118" s="1618"/>
      <c r="Q118" s="1618"/>
    </row>
    <row r="119" spans="3:17">
      <c r="C119" s="1692"/>
      <c r="D119" s="1614"/>
      <c r="E119" s="1266"/>
      <c r="F119" s="1615"/>
      <c r="G119" s="1615"/>
      <c r="H119" s="1616"/>
      <c r="I119" s="1617"/>
      <c r="J119" s="1618"/>
      <c r="K119" s="1618"/>
      <c r="L119" s="1618"/>
      <c r="M119" s="1618"/>
      <c r="N119" s="1618"/>
      <c r="O119" s="1618"/>
      <c r="P119" s="1618"/>
      <c r="Q119" s="1618"/>
    </row>
    <row r="120" spans="3:17">
      <c r="C120" s="1655" t="s">
        <v>2004</v>
      </c>
      <c r="D120" s="1238" t="s">
        <v>884</v>
      </c>
      <c r="E120" s="1266"/>
      <c r="F120" s="1615"/>
      <c r="G120" s="1615"/>
      <c r="H120" s="1616"/>
      <c r="I120" s="1617"/>
      <c r="J120" s="1618"/>
      <c r="K120" s="1618"/>
      <c r="L120" s="1618"/>
      <c r="M120" s="1618"/>
      <c r="N120" s="1618"/>
      <c r="O120" s="1618"/>
      <c r="P120" s="1618"/>
      <c r="Q120" s="1618"/>
    </row>
    <row r="121" spans="3:17">
      <c r="C121" s="1655" t="s">
        <v>2007</v>
      </c>
      <c r="D121" s="1238" t="s">
        <v>885</v>
      </c>
    </row>
    <row r="122" spans="3:17">
      <c r="C122" s="1655" t="s">
        <v>2011</v>
      </c>
      <c r="D122" s="1238" t="s">
        <v>886</v>
      </c>
    </row>
    <row r="125" spans="3:17">
      <c r="C125" s="1690"/>
      <c r="D125" s="1620"/>
      <c r="E125" s="1621"/>
    </row>
    <row r="126" spans="3:17" hidden="1">
      <c r="C126" s="1690"/>
      <c r="D126" s="1620"/>
      <c r="E126" s="1621"/>
    </row>
    <row r="127" spans="3:17" hidden="1">
      <c r="D127" s="1693">
        <v>1</v>
      </c>
      <c r="E127" s="1621" t="s">
        <v>891</v>
      </c>
    </row>
    <row r="128" spans="3:17" hidden="1">
      <c r="D128" s="1693">
        <v>2</v>
      </c>
      <c r="E128" s="1621" t="s">
        <v>838</v>
      </c>
    </row>
    <row r="129" spans="4:14" ht="13.5" hidden="1" thickBot="1">
      <c r="D129" s="1693">
        <v>3</v>
      </c>
      <c r="E129" s="1622" t="s">
        <v>892</v>
      </c>
    </row>
    <row r="130" spans="4:14" ht="15" hidden="1" thickBot="1">
      <c r="D130" s="1693">
        <v>4</v>
      </c>
      <c r="E130" s="1622" t="s">
        <v>1995</v>
      </c>
      <c r="M130" s="1067">
        <v>2</v>
      </c>
      <c r="N130" s="1623" t="s">
        <v>159</v>
      </c>
    </row>
    <row r="131" spans="4:14" ht="13.5" hidden="1" thickBot="1">
      <c r="D131" s="1693">
        <v>5</v>
      </c>
      <c r="E131" s="1622" t="s">
        <v>1994</v>
      </c>
      <c r="M131" s="1229">
        <v>9</v>
      </c>
      <c r="N131" s="1624" t="s">
        <v>2005</v>
      </c>
    </row>
    <row r="132" spans="4:14" ht="15" hidden="1" thickBot="1">
      <c r="D132" s="1693">
        <v>6</v>
      </c>
      <c r="E132" s="1622" t="s">
        <v>1997</v>
      </c>
      <c r="M132" s="1649">
        <v>6</v>
      </c>
      <c r="N132" s="1238" t="s">
        <v>135</v>
      </c>
    </row>
    <row r="133" spans="4:14" ht="14.25" hidden="1">
      <c r="D133" s="1693">
        <v>7</v>
      </c>
      <c r="E133" s="1622" t="s">
        <v>1998</v>
      </c>
      <c r="M133" s="1457">
        <f>VLOOKUP(M131,B150:Q172,3,FALSE)</f>
        <v>26</v>
      </c>
    </row>
    <row r="134" spans="4:14" hidden="1">
      <c r="D134" s="1693">
        <v>8</v>
      </c>
      <c r="E134" s="1622" t="s">
        <v>1568</v>
      </c>
    </row>
    <row r="135" spans="4:14" hidden="1">
      <c r="D135" s="1693">
        <v>9</v>
      </c>
      <c r="E135" s="1622" t="s">
        <v>136</v>
      </c>
    </row>
    <row r="136" spans="4:14" ht="14.25" hidden="1">
      <c r="D136" s="1693">
        <v>10</v>
      </c>
      <c r="E136" s="1622" t="s">
        <v>1999</v>
      </c>
    </row>
    <row r="137" spans="4:14" ht="14.25" hidden="1">
      <c r="D137" s="1693">
        <v>11</v>
      </c>
      <c r="E137" s="1622" t="s">
        <v>2000</v>
      </c>
    </row>
    <row r="138" spans="4:14" hidden="1">
      <c r="D138" s="1693">
        <v>12</v>
      </c>
      <c r="E138" s="1622" t="s">
        <v>2001</v>
      </c>
    </row>
    <row r="139" spans="4:14" hidden="1">
      <c r="D139" s="1693">
        <v>13</v>
      </c>
      <c r="E139" s="1622" t="s">
        <v>840</v>
      </c>
    </row>
    <row r="140" spans="4:14" hidden="1"/>
    <row r="141" spans="4:14" hidden="1"/>
    <row r="142" spans="4:14" hidden="1"/>
    <row r="143" spans="4:14" hidden="1"/>
    <row r="144" spans="4:14" hidden="1"/>
    <row r="145" spans="1:17" hidden="1"/>
    <row r="146" spans="1:17" hidden="1"/>
    <row r="147" spans="1:17" hidden="1">
      <c r="C147" s="1690"/>
      <c r="E147" s="1238">
        <v>1</v>
      </c>
      <c r="F147" s="1238">
        <v>2</v>
      </c>
      <c r="G147" s="1238">
        <v>3</v>
      </c>
      <c r="H147" s="1238">
        <v>4</v>
      </c>
      <c r="I147" s="1238">
        <v>5</v>
      </c>
      <c r="J147" s="1238">
        <v>6</v>
      </c>
      <c r="K147" s="1238">
        <v>7</v>
      </c>
      <c r="L147" s="1238">
        <v>8</v>
      </c>
      <c r="M147" s="1238">
        <v>9</v>
      </c>
      <c r="N147" s="1238">
        <v>10</v>
      </c>
      <c r="O147" s="1238">
        <v>11</v>
      </c>
      <c r="P147" s="1238">
        <v>12</v>
      </c>
      <c r="Q147" s="1238">
        <v>13</v>
      </c>
    </row>
    <row r="148" spans="1:17" hidden="1">
      <c r="C148" s="1690"/>
      <c r="H148" s="1239" t="s">
        <v>897</v>
      </c>
    </row>
    <row r="149" spans="1:17" hidden="1">
      <c r="K149" s="1238"/>
    </row>
    <row r="150" spans="1:17" ht="15.75" hidden="1">
      <c r="A150" s="1569"/>
      <c r="B150" s="1238">
        <v>1</v>
      </c>
      <c r="D150" s="1694">
        <v>1</v>
      </c>
      <c r="E150" s="1238">
        <v>10</v>
      </c>
      <c r="F150" s="1238">
        <v>1</v>
      </c>
      <c r="G150" s="1238">
        <v>2</v>
      </c>
      <c r="H150" s="1238">
        <v>0.34300000000000003</v>
      </c>
      <c r="I150" s="1238">
        <v>0.26900000000000002</v>
      </c>
      <c r="J150" s="1238">
        <v>4.5199999999999997E-2</v>
      </c>
      <c r="K150" s="1238">
        <v>9.0399999999999994E-2</v>
      </c>
      <c r="L150" s="1238">
        <v>0</v>
      </c>
      <c r="M150" s="1238">
        <v>0</v>
      </c>
      <c r="N150" s="1238">
        <v>4.5199999999999997E-2</v>
      </c>
      <c r="O150" s="1238">
        <v>9.0399999999999994E-2</v>
      </c>
      <c r="P150" s="1238">
        <v>0</v>
      </c>
      <c r="Q150" s="1238">
        <v>0</v>
      </c>
    </row>
    <row r="151" spans="1:17" ht="15.75" hidden="1">
      <c r="A151" s="1569"/>
      <c r="B151" s="1238">
        <v>2</v>
      </c>
      <c r="D151" s="1694">
        <v>2</v>
      </c>
      <c r="E151" s="1238">
        <v>15</v>
      </c>
      <c r="F151" s="1238" t="s">
        <v>1357</v>
      </c>
      <c r="G151" s="1238" t="s">
        <v>1358</v>
      </c>
      <c r="H151" s="1238" t="s">
        <v>1359</v>
      </c>
      <c r="I151" s="1238" t="s">
        <v>1360</v>
      </c>
      <c r="J151" s="1238" t="s">
        <v>1361</v>
      </c>
      <c r="K151" s="1238" t="s">
        <v>1445</v>
      </c>
      <c r="L151" s="1238" t="s">
        <v>860</v>
      </c>
      <c r="M151" s="1238" t="s">
        <v>860</v>
      </c>
      <c r="N151" s="1238" t="s">
        <v>1361</v>
      </c>
      <c r="O151" s="1238" t="s">
        <v>1445</v>
      </c>
      <c r="P151" s="1238" t="s">
        <v>1362</v>
      </c>
      <c r="Q151" s="1238" t="s">
        <v>1362</v>
      </c>
    </row>
    <row r="152" spans="1:17" ht="15.75" hidden="1">
      <c r="A152" s="1569"/>
      <c r="B152" s="1238">
        <v>3</v>
      </c>
      <c r="D152" s="1694">
        <v>4</v>
      </c>
      <c r="E152" s="1238">
        <v>20</v>
      </c>
      <c r="F152" s="1238" t="s">
        <v>945</v>
      </c>
      <c r="G152" s="1238" t="s">
        <v>946</v>
      </c>
      <c r="H152" s="1238" t="s">
        <v>1363</v>
      </c>
      <c r="I152" s="1238" t="s">
        <v>1364</v>
      </c>
      <c r="J152" s="1238" t="s">
        <v>1365</v>
      </c>
      <c r="K152" s="1238" t="s">
        <v>1365</v>
      </c>
      <c r="L152" s="1238" t="s">
        <v>860</v>
      </c>
      <c r="M152" s="1238" t="s">
        <v>860</v>
      </c>
      <c r="N152" s="1238" t="s">
        <v>1365</v>
      </c>
      <c r="O152" s="1238" t="s">
        <v>1365</v>
      </c>
      <c r="P152" s="1238" t="s">
        <v>1362</v>
      </c>
      <c r="Q152" s="1238" t="s">
        <v>1362</v>
      </c>
    </row>
    <row r="153" spans="1:17" ht="15.75" hidden="1">
      <c r="A153" s="1569"/>
      <c r="B153" s="1238">
        <v>4</v>
      </c>
      <c r="D153" s="1694">
        <v>7</v>
      </c>
      <c r="E153" s="1238">
        <v>25</v>
      </c>
      <c r="F153" s="1238" t="s">
        <v>977</v>
      </c>
      <c r="G153" s="1238" t="s">
        <v>978</v>
      </c>
      <c r="H153" s="1238" t="s">
        <v>988</v>
      </c>
      <c r="I153" s="1238" t="s">
        <v>989</v>
      </c>
      <c r="J153" s="1238" t="s">
        <v>1366</v>
      </c>
      <c r="K153" s="1238" t="s">
        <v>1444</v>
      </c>
      <c r="L153" s="1238" t="s">
        <v>860</v>
      </c>
      <c r="M153" s="1238" t="s">
        <v>860</v>
      </c>
      <c r="N153" s="1238" t="s">
        <v>1366</v>
      </c>
      <c r="O153" s="1238" t="s">
        <v>1444</v>
      </c>
      <c r="P153" s="1238" t="s">
        <v>1362</v>
      </c>
      <c r="Q153" s="1238" t="s">
        <v>1362</v>
      </c>
    </row>
    <row r="154" spans="1:17" ht="15.75" hidden="1">
      <c r="A154" s="1569"/>
      <c r="B154" s="1238">
        <v>5</v>
      </c>
      <c r="D154" s="1694">
        <v>12</v>
      </c>
      <c r="E154" s="1238">
        <v>30</v>
      </c>
      <c r="F154" s="1238" t="s">
        <v>946</v>
      </c>
      <c r="G154" s="1238" t="s">
        <v>1007</v>
      </c>
      <c r="H154" s="1238" t="s">
        <v>1013</v>
      </c>
      <c r="I154" s="1238" t="s">
        <v>1367</v>
      </c>
      <c r="J154" s="1238" t="s">
        <v>1368</v>
      </c>
      <c r="K154" s="1238" t="s">
        <v>1369</v>
      </c>
      <c r="L154" s="1238" t="s">
        <v>860</v>
      </c>
      <c r="M154" s="1238" t="s">
        <v>860</v>
      </c>
      <c r="N154" s="1238" t="s">
        <v>1368</v>
      </c>
      <c r="O154" s="1238" t="s">
        <v>1369</v>
      </c>
      <c r="P154" s="1238" t="s">
        <v>1362</v>
      </c>
      <c r="Q154" s="1238" t="s">
        <v>1362</v>
      </c>
    </row>
    <row r="155" spans="1:17" ht="15.75" hidden="1">
      <c r="A155" s="1569"/>
      <c r="B155" s="1238">
        <v>6</v>
      </c>
      <c r="D155" s="1694">
        <v>17</v>
      </c>
      <c r="E155" s="1238">
        <v>32</v>
      </c>
      <c r="F155" s="1238">
        <v>4</v>
      </c>
      <c r="G155" s="1238">
        <v>8</v>
      </c>
      <c r="H155" s="1238">
        <v>4.2</v>
      </c>
      <c r="I155" s="1238">
        <v>3.3</v>
      </c>
      <c r="J155" s="1238">
        <v>5.33</v>
      </c>
      <c r="K155" s="1238">
        <v>3.331</v>
      </c>
      <c r="L155" s="1238">
        <v>0</v>
      </c>
      <c r="M155" s="1238">
        <v>0</v>
      </c>
      <c r="N155" s="1238">
        <v>5.33</v>
      </c>
      <c r="O155" s="1238">
        <v>3.331</v>
      </c>
      <c r="P155" s="1238">
        <v>0</v>
      </c>
      <c r="Q155" s="1238">
        <v>0</v>
      </c>
    </row>
    <row r="156" spans="1:17" ht="15.75" hidden="1">
      <c r="A156" s="1569"/>
      <c r="B156" s="1238">
        <v>7</v>
      </c>
      <c r="D156" s="1694">
        <v>18</v>
      </c>
      <c r="E156" s="1238">
        <v>35</v>
      </c>
      <c r="F156" s="1238" t="s">
        <v>958</v>
      </c>
      <c r="G156" s="1238" t="s">
        <v>1370</v>
      </c>
      <c r="H156" s="1238" t="s">
        <v>1371</v>
      </c>
      <c r="I156" s="1238" t="s">
        <v>1372</v>
      </c>
      <c r="J156" s="1238" t="s">
        <v>1373</v>
      </c>
      <c r="K156" s="1238" t="s">
        <v>1443</v>
      </c>
      <c r="L156" s="1238" t="s">
        <v>860</v>
      </c>
      <c r="M156" s="1238" t="s">
        <v>860</v>
      </c>
      <c r="N156" s="1238" t="s">
        <v>1373</v>
      </c>
      <c r="O156" s="1238" t="s">
        <v>1443</v>
      </c>
      <c r="P156" s="1238" t="s">
        <v>1362</v>
      </c>
      <c r="Q156" s="1238" t="s">
        <v>1362</v>
      </c>
    </row>
    <row r="157" spans="1:17" ht="15.75" hidden="1">
      <c r="A157" s="1569"/>
      <c r="B157" s="1238">
        <v>8</v>
      </c>
      <c r="D157" s="1694">
        <v>24</v>
      </c>
      <c r="E157" s="1238" t="s">
        <v>1374</v>
      </c>
      <c r="F157" s="1238" t="s">
        <v>1375</v>
      </c>
      <c r="G157" s="1238" t="s">
        <v>1376</v>
      </c>
      <c r="H157" s="1238" t="s">
        <v>1377</v>
      </c>
      <c r="I157" s="1238" t="s">
        <v>1378</v>
      </c>
      <c r="J157" s="1238" t="s">
        <v>1379</v>
      </c>
      <c r="K157" s="1238" t="s">
        <v>1442</v>
      </c>
      <c r="L157" s="1238" t="s">
        <v>860</v>
      </c>
      <c r="M157" s="1238" t="s">
        <v>860</v>
      </c>
      <c r="N157" s="1238" t="s">
        <v>1379</v>
      </c>
      <c r="O157" s="1238" t="s">
        <v>1442</v>
      </c>
      <c r="P157" s="1238" t="s">
        <v>1362</v>
      </c>
      <c r="Q157" s="1238" t="s">
        <v>1362</v>
      </c>
    </row>
    <row r="158" spans="1:17" ht="15.75" hidden="1">
      <c r="A158" s="1569"/>
      <c r="B158" s="1238">
        <v>9</v>
      </c>
      <c r="D158" s="1694">
        <v>26</v>
      </c>
      <c r="E158" s="1238">
        <v>40</v>
      </c>
      <c r="F158" s="1238" t="s">
        <v>1380</v>
      </c>
      <c r="G158" s="1238" t="s">
        <v>1381</v>
      </c>
      <c r="H158" s="1238" t="s">
        <v>1382</v>
      </c>
      <c r="I158" s="1238" t="s">
        <v>1383</v>
      </c>
      <c r="J158" s="1238" t="s">
        <v>1384</v>
      </c>
      <c r="K158" s="1238" t="s">
        <v>1385</v>
      </c>
      <c r="L158" s="1238" t="s">
        <v>860</v>
      </c>
      <c r="M158" s="1238" t="s">
        <v>860</v>
      </c>
      <c r="N158" s="1238" t="s">
        <v>1384</v>
      </c>
      <c r="O158" s="1238" t="s">
        <v>1385</v>
      </c>
      <c r="P158" s="1238" t="s">
        <v>1362</v>
      </c>
      <c r="Q158" s="1238" t="s">
        <v>1362</v>
      </c>
    </row>
    <row r="159" spans="1:17" ht="15.75" hidden="1">
      <c r="A159" s="1569"/>
      <c r="B159" s="1238">
        <v>10</v>
      </c>
      <c r="D159" s="1694">
        <v>32</v>
      </c>
      <c r="E159" s="1238">
        <v>42</v>
      </c>
      <c r="F159" s="1238" t="s">
        <v>1107</v>
      </c>
      <c r="G159" s="1238" t="s">
        <v>1108</v>
      </c>
      <c r="H159" s="1238" t="s">
        <v>1386</v>
      </c>
      <c r="I159" s="1238" t="s">
        <v>1387</v>
      </c>
      <c r="J159" s="1238" t="s">
        <v>1388</v>
      </c>
      <c r="K159" s="1238" t="s">
        <v>1441</v>
      </c>
      <c r="L159" s="1238" t="s">
        <v>860</v>
      </c>
      <c r="M159" s="1238" t="s">
        <v>860</v>
      </c>
      <c r="N159" s="1238" t="s">
        <v>1388</v>
      </c>
      <c r="O159" s="1238" t="s">
        <v>1441</v>
      </c>
      <c r="P159" s="1238" t="s">
        <v>1362</v>
      </c>
      <c r="Q159" s="1238" t="s">
        <v>1362</v>
      </c>
    </row>
    <row r="160" spans="1:17" ht="15.75" hidden="1">
      <c r="A160" s="1569"/>
      <c r="B160" s="1238">
        <v>11</v>
      </c>
      <c r="D160" s="1694">
        <v>37</v>
      </c>
      <c r="E160" s="1238">
        <v>45</v>
      </c>
      <c r="F160" s="1238" t="s">
        <v>1018</v>
      </c>
      <c r="G160" s="1238" t="s">
        <v>1195</v>
      </c>
      <c r="H160" s="1238" t="s">
        <v>1389</v>
      </c>
      <c r="I160" s="1238" t="s">
        <v>1390</v>
      </c>
      <c r="J160" s="1238" t="s">
        <v>1391</v>
      </c>
      <c r="K160" s="1238" t="s">
        <v>1440</v>
      </c>
      <c r="L160" s="1238" t="s">
        <v>860</v>
      </c>
      <c r="M160" s="1238" t="s">
        <v>860</v>
      </c>
      <c r="N160" s="1238" t="s">
        <v>1391</v>
      </c>
      <c r="O160" s="1238" t="s">
        <v>1440</v>
      </c>
      <c r="P160" s="1238" t="s">
        <v>1362</v>
      </c>
      <c r="Q160" s="1238" t="s">
        <v>1362</v>
      </c>
    </row>
    <row r="161" spans="1:17" ht="15.75" hidden="1">
      <c r="A161" s="1569"/>
      <c r="B161" s="1238">
        <v>12</v>
      </c>
      <c r="D161" s="1694">
        <v>44</v>
      </c>
      <c r="E161" s="1238">
        <v>50</v>
      </c>
      <c r="F161" s="1238" t="s">
        <v>1018</v>
      </c>
      <c r="G161" s="1238" t="s">
        <v>1195</v>
      </c>
      <c r="H161" s="1238" t="s">
        <v>1392</v>
      </c>
      <c r="I161" s="1238" t="s">
        <v>1393</v>
      </c>
      <c r="J161" s="1238" t="s">
        <v>1394</v>
      </c>
      <c r="K161" s="1238" t="s">
        <v>1395</v>
      </c>
      <c r="L161" s="1238" t="s">
        <v>860</v>
      </c>
      <c r="M161" s="1238" t="s">
        <v>860</v>
      </c>
      <c r="N161" s="1238" t="s">
        <v>1394</v>
      </c>
      <c r="O161" s="1238" t="s">
        <v>1395</v>
      </c>
      <c r="P161" s="1238" t="s">
        <v>1362</v>
      </c>
      <c r="Q161" s="1238" t="s">
        <v>1362</v>
      </c>
    </row>
    <row r="162" spans="1:17" ht="15.75" hidden="1">
      <c r="A162" s="1569"/>
      <c r="B162" s="1238">
        <v>13</v>
      </c>
      <c r="D162" s="1694">
        <v>51</v>
      </c>
      <c r="E162" s="1238">
        <v>60</v>
      </c>
      <c r="F162" s="1238" t="s">
        <v>1396</v>
      </c>
      <c r="G162" s="1238" t="s">
        <v>1397</v>
      </c>
      <c r="H162" s="1238" t="s">
        <v>1398</v>
      </c>
      <c r="I162" s="1238" t="s">
        <v>1399</v>
      </c>
      <c r="J162" s="1238" t="s">
        <v>1400</v>
      </c>
      <c r="K162" s="1238" t="s">
        <v>1401</v>
      </c>
      <c r="L162" s="1238" t="s">
        <v>860</v>
      </c>
      <c r="M162" s="1238" t="s">
        <v>860</v>
      </c>
      <c r="N162" s="1238" t="s">
        <v>1400</v>
      </c>
      <c r="O162" s="1238" t="s">
        <v>1401</v>
      </c>
      <c r="P162" s="1238" t="s">
        <v>1362</v>
      </c>
      <c r="Q162" s="1238" t="s">
        <v>1362</v>
      </c>
    </row>
    <row r="163" spans="1:17" ht="15.75" hidden="1">
      <c r="A163" s="1569"/>
      <c r="B163" s="1238">
        <v>14</v>
      </c>
      <c r="D163" s="1694">
        <v>57</v>
      </c>
      <c r="E163" s="1238">
        <v>65</v>
      </c>
      <c r="F163" s="1238">
        <v>6</v>
      </c>
      <c r="G163" s="1238">
        <v>12</v>
      </c>
      <c r="H163" s="1238">
        <v>13.54</v>
      </c>
      <c r="I163" s="1238">
        <v>10.63</v>
      </c>
      <c r="J163" s="1238">
        <v>76.91</v>
      </c>
      <c r="K163" s="1238">
        <v>23.664999999999999</v>
      </c>
      <c r="L163" s="1238">
        <v>0</v>
      </c>
      <c r="M163" s="1238">
        <v>0</v>
      </c>
      <c r="N163" s="1238">
        <v>76.91</v>
      </c>
      <c r="O163" s="1238">
        <v>23.664999999999999</v>
      </c>
      <c r="P163" s="1238">
        <v>0</v>
      </c>
      <c r="Q163" s="1238">
        <v>0</v>
      </c>
    </row>
    <row r="164" spans="1:17" ht="15.75" hidden="1">
      <c r="A164" s="1569"/>
      <c r="B164" s="1238">
        <v>15</v>
      </c>
      <c r="D164" s="1694">
        <v>58</v>
      </c>
      <c r="E164" s="1238">
        <v>70</v>
      </c>
      <c r="F164" s="1238" t="s">
        <v>1007</v>
      </c>
      <c r="G164" s="1238" t="s">
        <v>1402</v>
      </c>
      <c r="H164" s="1238" t="s">
        <v>1403</v>
      </c>
      <c r="I164" s="1238" t="s">
        <v>1404</v>
      </c>
      <c r="J164" s="1238" t="s">
        <v>1405</v>
      </c>
      <c r="K164" s="1238" t="s">
        <v>1439</v>
      </c>
      <c r="L164" s="1238" t="s">
        <v>860</v>
      </c>
      <c r="M164" s="1238" t="s">
        <v>860</v>
      </c>
      <c r="N164" s="1238" t="s">
        <v>1405</v>
      </c>
      <c r="O164" s="1238" t="s">
        <v>1439</v>
      </c>
      <c r="P164" s="1238" t="s">
        <v>1362</v>
      </c>
      <c r="Q164" s="1238" t="s">
        <v>1362</v>
      </c>
    </row>
    <row r="165" spans="1:17" ht="15.75" hidden="1">
      <c r="A165" s="1569"/>
      <c r="B165" s="1238">
        <v>16</v>
      </c>
      <c r="D165" s="1694">
        <v>63</v>
      </c>
      <c r="E165" s="1238">
        <v>80</v>
      </c>
      <c r="F165" s="1238" t="s">
        <v>1007</v>
      </c>
      <c r="G165" s="1238" t="s">
        <v>1402</v>
      </c>
      <c r="H165" s="1238" t="s">
        <v>1406</v>
      </c>
      <c r="I165" s="1238" t="s">
        <v>1407</v>
      </c>
      <c r="J165" s="1238" t="s">
        <v>1408</v>
      </c>
      <c r="K165" s="1238" t="s">
        <v>1438</v>
      </c>
      <c r="L165" s="1238" t="s">
        <v>860</v>
      </c>
      <c r="M165" s="1238" t="s">
        <v>860</v>
      </c>
      <c r="N165" s="1238" t="s">
        <v>1408</v>
      </c>
      <c r="O165" s="1238" t="s">
        <v>1438</v>
      </c>
      <c r="P165" s="1238" t="s">
        <v>1362</v>
      </c>
      <c r="Q165" s="1238" t="s">
        <v>1362</v>
      </c>
    </row>
    <row r="166" spans="1:17" ht="15.75" hidden="1">
      <c r="A166" s="1569"/>
      <c r="B166" s="1238">
        <v>17</v>
      </c>
      <c r="D166" s="1694">
        <v>68</v>
      </c>
      <c r="E166" s="1238">
        <v>90</v>
      </c>
      <c r="F166" s="1238" t="s">
        <v>1177</v>
      </c>
      <c r="G166" s="1238" t="s">
        <v>1178</v>
      </c>
      <c r="H166" s="1238" t="s">
        <v>1185</v>
      </c>
      <c r="I166" s="1238" t="s">
        <v>1186</v>
      </c>
      <c r="J166" s="1238" t="s">
        <v>1409</v>
      </c>
      <c r="K166" s="1238" t="s">
        <v>1437</v>
      </c>
      <c r="L166" s="1238" t="s">
        <v>860</v>
      </c>
      <c r="M166" s="1238" t="s">
        <v>860</v>
      </c>
      <c r="N166" s="1238" t="s">
        <v>1409</v>
      </c>
      <c r="O166" s="1238" t="s">
        <v>1437</v>
      </c>
      <c r="P166" s="1238" t="s">
        <v>1362</v>
      </c>
      <c r="Q166" s="1238" t="s">
        <v>1362</v>
      </c>
    </row>
    <row r="167" spans="1:17" ht="15.75" hidden="1">
      <c r="A167" s="1569"/>
      <c r="B167" s="1238">
        <v>18</v>
      </c>
      <c r="D167" s="1694">
        <v>72</v>
      </c>
      <c r="E167" s="1238">
        <v>100</v>
      </c>
      <c r="F167" s="1238" t="s">
        <v>1205</v>
      </c>
      <c r="G167" s="1238" t="s">
        <v>1206</v>
      </c>
      <c r="H167" s="1238" t="s">
        <v>1410</v>
      </c>
      <c r="I167" s="1238" t="s">
        <v>1411</v>
      </c>
      <c r="J167" s="1238" t="s">
        <v>1412</v>
      </c>
      <c r="K167" s="1238" t="s">
        <v>1413</v>
      </c>
      <c r="L167" s="1238" t="s">
        <v>860</v>
      </c>
      <c r="M167" s="1238" t="s">
        <v>860</v>
      </c>
      <c r="N167" s="1238" t="s">
        <v>1412</v>
      </c>
      <c r="O167" s="1238" t="s">
        <v>1413</v>
      </c>
      <c r="P167" s="1238" t="s">
        <v>1362</v>
      </c>
      <c r="Q167" s="1238" t="s">
        <v>1362</v>
      </c>
    </row>
    <row r="168" spans="1:17" ht="15.75" hidden="1">
      <c r="A168" s="1569"/>
      <c r="B168" s="1238">
        <v>19</v>
      </c>
      <c r="D168" s="1694">
        <v>76</v>
      </c>
      <c r="E168" s="1238">
        <v>110</v>
      </c>
      <c r="F168" s="1238" t="s">
        <v>1205</v>
      </c>
      <c r="G168" s="1238" t="s">
        <v>1206</v>
      </c>
      <c r="H168" s="1238" t="s">
        <v>1414</v>
      </c>
      <c r="I168" s="1238" t="s">
        <v>1415</v>
      </c>
      <c r="J168" s="1238" t="s">
        <v>1416</v>
      </c>
      <c r="K168" s="1238" t="s">
        <v>1436</v>
      </c>
      <c r="L168" s="1238" t="s">
        <v>860</v>
      </c>
      <c r="M168" s="1238" t="s">
        <v>860</v>
      </c>
      <c r="N168" s="1238" t="s">
        <v>1416</v>
      </c>
      <c r="O168" s="1238" t="s">
        <v>1436</v>
      </c>
      <c r="P168" s="1238" t="s">
        <v>1362</v>
      </c>
      <c r="Q168" s="1238" t="s">
        <v>1362</v>
      </c>
    </row>
    <row r="169" spans="1:17" ht="15.75" hidden="1">
      <c r="A169" s="1569"/>
      <c r="B169" s="1238">
        <v>20</v>
      </c>
      <c r="D169" s="1694">
        <v>80</v>
      </c>
      <c r="E169" s="1238">
        <v>120</v>
      </c>
      <c r="F169" s="1238" t="s">
        <v>1205</v>
      </c>
      <c r="G169" s="1238" t="s">
        <v>1206</v>
      </c>
      <c r="H169" s="1238" t="s">
        <v>1417</v>
      </c>
      <c r="I169" s="1238" t="s">
        <v>1418</v>
      </c>
      <c r="J169" s="1238" t="s">
        <v>1419</v>
      </c>
      <c r="K169" s="1238" t="s">
        <v>1435</v>
      </c>
      <c r="L169" s="1238" t="s">
        <v>860</v>
      </c>
      <c r="M169" s="1238" t="s">
        <v>860</v>
      </c>
      <c r="N169" s="1238" t="s">
        <v>1419</v>
      </c>
      <c r="O169" s="1238" t="s">
        <v>1435</v>
      </c>
      <c r="P169" s="1238" t="s">
        <v>1362</v>
      </c>
      <c r="Q169" s="1238" t="s">
        <v>1362</v>
      </c>
    </row>
    <row r="170" spans="1:17" ht="15.75" hidden="1">
      <c r="A170" s="1569"/>
      <c r="B170" s="1238">
        <v>21</v>
      </c>
      <c r="D170" s="1694">
        <v>84</v>
      </c>
      <c r="E170" s="1238">
        <v>140</v>
      </c>
      <c r="F170" s="1238" t="s">
        <v>1205</v>
      </c>
      <c r="G170" s="1238" t="s">
        <v>1206</v>
      </c>
      <c r="H170" s="1238" t="s">
        <v>1420</v>
      </c>
      <c r="I170" s="1238" t="s">
        <v>1421</v>
      </c>
      <c r="J170" s="1238" t="s">
        <v>1422</v>
      </c>
      <c r="K170" s="1238" t="s">
        <v>1434</v>
      </c>
      <c r="L170" s="1238" t="s">
        <v>860</v>
      </c>
      <c r="M170" s="1238" t="s">
        <v>860</v>
      </c>
      <c r="N170" s="1238" t="s">
        <v>1422</v>
      </c>
      <c r="O170" s="1238" t="s">
        <v>1434</v>
      </c>
      <c r="P170" s="1238" t="s">
        <v>1362</v>
      </c>
      <c r="Q170" s="1238" t="s">
        <v>1362</v>
      </c>
    </row>
    <row r="171" spans="1:17" ht="15.75" hidden="1">
      <c r="A171" s="1569"/>
      <c r="B171" s="1238">
        <v>22</v>
      </c>
      <c r="D171" s="1694">
        <v>88</v>
      </c>
      <c r="E171" s="1238">
        <v>150</v>
      </c>
      <c r="F171" s="1238" t="s">
        <v>1423</v>
      </c>
      <c r="G171" s="1238" t="s">
        <v>1424</v>
      </c>
      <c r="H171" s="1238" t="s">
        <v>1425</v>
      </c>
      <c r="I171" s="1238" t="s">
        <v>1426</v>
      </c>
      <c r="J171" s="1238" t="s">
        <v>1427</v>
      </c>
      <c r="K171" s="1238" t="s">
        <v>1433</v>
      </c>
      <c r="L171" s="1238" t="s">
        <v>860</v>
      </c>
      <c r="M171" s="1238" t="s">
        <v>860</v>
      </c>
      <c r="N171" s="1238" t="s">
        <v>1427</v>
      </c>
      <c r="O171" s="1238" t="s">
        <v>1433</v>
      </c>
      <c r="P171" s="1238" t="s">
        <v>1362</v>
      </c>
      <c r="Q171" s="1238" t="s">
        <v>1362</v>
      </c>
    </row>
    <row r="172" spans="1:17" ht="15.75" hidden="1">
      <c r="A172" s="1569"/>
      <c r="B172" s="1238">
        <v>23</v>
      </c>
      <c r="D172" s="1694">
        <v>92</v>
      </c>
      <c r="E172" s="1238">
        <v>180</v>
      </c>
      <c r="F172" s="1238" t="s">
        <v>1147</v>
      </c>
      <c r="G172" s="1238" t="s">
        <v>1428</v>
      </c>
      <c r="H172" s="1238" t="s">
        <v>1429</v>
      </c>
      <c r="I172" s="1238" t="s">
        <v>1430</v>
      </c>
      <c r="J172" s="1238" t="s">
        <v>1431</v>
      </c>
      <c r="K172" s="1238" t="s">
        <v>1432</v>
      </c>
      <c r="L172" s="1238" t="s">
        <v>860</v>
      </c>
      <c r="M172" s="1238" t="s">
        <v>860</v>
      </c>
      <c r="N172" s="1238" t="s">
        <v>1431</v>
      </c>
      <c r="O172" s="1238" t="s">
        <v>1432</v>
      </c>
      <c r="P172" s="1238" t="s">
        <v>1362</v>
      </c>
      <c r="Q172" s="1238" t="s">
        <v>1362</v>
      </c>
    </row>
    <row r="173" spans="1:17" ht="13.5" hidden="1" thickBot="1"/>
    <row r="174" spans="1:17" ht="13.5" hidden="1" thickBot="1">
      <c r="A174" s="1695"/>
      <c r="B174" s="1696"/>
      <c r="C174" s="1697"/>
      <c r="D174" s="1696"/>
      <c r="E174" s="1696"/>
      <c r="F174" s="1696"/>
      <c r="G174" s="1696"/>
      <c r="H174" s="1696"/>
      <c r="I174" s="1696" t="s">
        <v>898</v>
      </c>
      <c r="J174" s="1696"/>
      <c r="K174" s="1698"/>
      <c r="L174" s="1696"/>
      <c r="M174" s="1696"/>
      <c r="N174" s="1696"/>
      <c r="O174" s="1696"/>
      <c r="P174" s="1696"/>
      <c r="Q174" s="1699"/>
    </row>
    <row r="175" spans="1:17" ht="16.5" hidden="1" thickBot="1">
      <c r="A175" s="1700">
        <f>ROWS(E106:Q110)</f>
        <v>5</v>
      </c>
      <c r="B175" s="1701" t="s">
        <v>896</v>
      </c>
      <c r="C175" s="1702"/>
      <c r="D175" s="1701"/>
      <c r="E175" s="1701">
        <f ca="1">INDEX(INDIRECT(B175),1,$E$147)</f>
        <v>180</v>
      </c>
      <c r="F175" s="1701" t="str">
        <f ca="1">INDEX(INDIRECT(B175),1,$F$147)&amp;"-"&amp;INDEX(INDIRECT(B175),A175,$F$147)</f>
        <v>8-14</v>
      </c>
      <c r="G175" s="1701" t="str">
        <f ca="1">INDEX(INDIRECT(B175),1,$G$147)&amp;"-"&amp;INDEX(INDIRECT(B175),A175,$G$147)</f>
        <v>16-28</v>
      </c>
      <c r="H175" s="1701" t="str">
        <f ca="1">INDEX(INDIRECT(B175),1,$H$147)&amp;"-"&amp;INDEX(INDIRECT(B175),A175,$H$147)</f>
        <v>53,94-89,59</v>
      </c>
      <c r="I175" s="1701" t="str">
        <f ca="1">INDEX(INDIRECT(B175),1,$I$147)&amp;"-"&amp;INDEX(INDIRECT(B175),A175,$I$147)</f>
        <v>42,34-70,33</v>
      </c>
      <c r="J175" s="1701" t="str">
        <f ca="1">INDEX(INDIRECT(B175),1,$J$147)&amp;"-"&amp;INDEX(INDIRECT(B175),A175,$J$147)</f>
        <v>2634,06-4043,41</v>
      </c>
      <c r="K175" s="1701" t="str">
        <f ca="1">INDEX(INDIRECT(B175),1,$K$147)&amp;"-"&amp;INDEX(INDIRECT(B175),A175,$K$147)</f>
        <v>292,673333333333-449,267777777778</v>
      </c>
      <c r="L175" s="1701" t="str">
        <f ca="1">INDEX(INDIRECT(B175),1,$L$147)&amp;"-"&amp;INDEX(INDIRECT(B175),A175,$L$147)</f>
        <v>-</v>
      </c>
      <c r="M175" s="1701" t="str">
        <f ca="1">INDEX(INDIRECT(B175),1,$M$147)&amp;"-"&amp;INDEX(INDIRECT(B175),A175,$M$147)</f>
        <v>-</v>
      </c>
      <c r="N175" s="1701" t="str">
        <f ca="1">INDEX(INDIRECT(B175),1,$N$147)&amp;"-"&amp;INDEX(INDIRECT(B175),A175,$N$147)</f>
        <v>2634,06-4043,41</v>
      </c>
      <c r="O175" s="1701" t="str">
        <f ca="1">INDEX(INDIRECT(B175),1,$O$147)&amp;"-"&amp;INDEX(INDIRECT(B175),A175,$O$147)</f>
        <v>292,673333333333-449,267777777778</v>
      </c>
      <c r="P175" s="1701" t="str">
        <f ca="1">INDEX(INDIRECT(B175),1,$P$147)&amp;"-"&amp;INDEX(INDIRECT(B175),A175,$P$147)</f>
        <v>0-0</v>
      </c>
      <c r="Q175" s="1703" t="str">
        <f ca="1">INDEX(INDIRECT(B175),1,$Q$147)&amp;"-"&amp;INDEX(INDIRECT(B175),A175,$Q$147)</f>
        <v>0-0</v>
      </c>
    </row>
  </sheetData>
  <pageMargins left="0.75" right="0.75" top="1" bottom="1" header="0.5" footer="0.5"/>
  <pageSetup paperSize="9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Line="0" autoPict="0" macro="[0]!Вначало">
                <anchor moveWithCells="1">
                  <from>
                    <xdr:col>6</xdr:col>
                    <xdr:colOff>85725</xdr:colOff>
                    <xdr:row>0</xdr:row>
                    <xdr:rowOff>47625</xdr:rowOff>
                  </from>
                  <to>
                    <xdr:col>13</xdr:col>
                    <xdr:colOff>371475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Drop Down 2">
              <controlPr defaultSize="0" print="0" autoFill="0" autoLine="0" autoPict="0" macro="[0]!Мак1_для_листа18">
                <anchor moveWithCells="1">
                  <from>
                    <xdr:col>11</xdr:col>
                    <xdr:colOff>57150</xdr:colOff>
                    <xdr:row>1</xdr:row>
                    <xdr:rowOff>47625</xdr:rowOff>
                  </from>
                  <to>
                    <xdr:col>16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6" name="Drop Down 34">
              <controlPr defaultSize="0" print="0" autoLine="0" autoPict="0" macro="[0]!Мак2_для_листа18">
                <anchor moveWithCells="1">
                  <from>
                    <xdr:col>11</xdr:col>
                    <xdr:colOff>76200</xdr:colOff>
                    <xdr:row>2</xdr:row>
                    <xdr:rowOff>123825</xdr:rowOff>
                  </from>
                  <to>
                    <xdr:col>13</xdr:col>
                    <xdr:colOff>104775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7" name="Drop Down 36">
              <controlPr defaultSize="0" print="0" autoLine="0" autoPict="0" macro="[0]!Мак3_для_листа18">
                <anchor moveWithCells="1">
                  <from>
                    <xdr:col>13</xdr:col>
                    <xdr:colOff>209550</xdr:colOff>
                    <xdr:row>2</xdr:row>
                    <xdr:rowOff>123825</xdr:rowOff>
                  </from>
                  <to>
                    <xdr:col>14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24"/>
  <dimension ref="A1:AD362"/>
  <sheetViews>
    <sheetView topLeftCell="C1" workbookViewId="0">
      <pane ySplit="11" topLeftCell="A148" activePane="bottomLeft" state="frozenSplit"/>
      <selection pane="bottomLeft" activeCell="F152" sqref="F152"/>
    </sheetView>
  </sheetViews>
  <sheetFormatPr defaultColWidth="9.140625" defaultRowHeight="12.75"/>
  <cols>
    <col min="1" max="1" width="11" style="1238" customWidth="1"/>
    <col min="2" max="2" width="5.140625" style="1238" customWidth="1"/>
    <col min="3" max="3" width="3.140625" style="1650" customWidth="1"/>
    <col min="4" max="4" width="3.85546875" style="1238" customWidth="1"/>
    <col min="5" max="5" width="8" style="1238" customWidth="1"/>
    <col min="6" max="6" width="7.28515625" style="1239" customWidth="1"/>
    <col min="7" max="7" width="5.7109375" style="1238" customWidth="1"/>
    <col min="8" max="8" width="7.5703125" style="1238" customWidth="1"/>
    <col min="9" max="11" width="7.42578125" style="1238" customWidth="1"/>
    <col min="12" max="12" width="7.42578125" style="1239" customWidth="1"/>
    <col min="13" max="13" width="7.5703125" style="1238" customWidth="1"/>
    <col min="14" max="16" width="7.42578125" style="1238" customWidth="1"/>
    <col min="17" max="17" width="6.7109375" style="1238" customWidth="1"/>
    <col min="18" max="19" width="6.42578125" style="1238" customWidth="1"/>
    <col min="20" max="20" width="6.28515625" style="1238" customWidth="1"/>
    <col min="21" max="21" width="5.42578125" style="1238" customWidth="1"/>
    <col min="22" max="22" width="5.140625" style="1238" customWidth="1"/>
    <col min="23" max="26" width="9.140625" style="1238"/>
    <col min="27" max="29" width="9.140625" style="1238" hidden="1" customWidth="1"/>
    <col min="30" max="16384" width="9.140625" style="1238"/>
  </cols>
  <sheetData>
    <row r="1" spans="2:22" ht="22.5" customHeight="1" thickBot="1"/>
    <row r="2" spans="2:22" ht="14.25" customHeight="1" thickBot="1">
      <c r="G2" s="1713"/>
      <c r="H2" s="1534"/>
      <c r="I2" s="1535"/>
      <c r="J2" s="1536" t="s">
        <v>1924</v>
      </c>
      <c r="K2" s="1535"/>
      <c r="L2" s="1250"/>
      <c r="M2" s="1714"/>
      <c r="N2" s="1538"/>
      <c r="O2" s="1538"/>
      <c r="P2" s="1538"/>
      <c r="Q2" s="1539"/>
      <c r="R2" s="1266"/>
      <c r="S2" s="1266"/>
      <c r="T2" s="1266"/>
      <c r="U2" s="1266"/>
      <c r="V2" s="1266"/>
    </row>
    <row r="3" spans="2:22" ht="13.5" thickBot="1">
      <c r="G3" s="1713"/>
      <c r="H3" s="1540"/>
      <c r="I3" s="1123">
        <v>10</v>
      </c>
      <c r="J3" s="1102">
        <v>6.04</v>
      </c>
      <c r="K3" s="1542">
        <f>I3*J3</f>
        <v>60.4</v>
      </c>
      <c r="L3" s="1543" t="s">
        <v>1483</v>
      </c>
      <c r="M3" s="1544"/>
      <c r="N3" s="1545"/>
      <c r="O3" s="1546"/>
      <c r="P3" s="1546"/>
      <c r="Q3" s="1547"/>
      <c r="R3" s="1266"/>
      <c r="S3" s="1266"/>
      <c r="T3" s="1266"/>
      <c r="U3" s="1266"/>
      <c r="V3" s="1266"/>
    </row>
    <row r="4" spans="2:22" ht="13.5" thickBot="1">
      <c r="G4" s="1713"/>
      <c r="H4" s="1540"/>
      <c r="I4" s="1123">
        <v>208.8</v>
      </c>
      <c r="J4" s="1254">
        <f>J3</f>
        <v>6.04</v>
      </c>
      <c r="K4" s="1548">
        <f>IF(J4=0,0,I4/J4)</f>
        <v>34.569536423841065</v>
      </c>
      <c r="L4" s="1549" t="s">
        <v>1926</v>
      </c>
      <c r="M4" s="1544"/>
      <c r="N4" s="1545"/>
      <c r="O4" s="1546"/>
      <c r="P4" s="1546"/>
      <c r="Q4" s="1547"/>
      <c r="R4" s="1266"/>
      <c r="S4" s="1266"/>
      <c r="T4" s="1266"/>
      <c r="U4" s="1266"/>
      <c r="V4" s="1266"/>
    </row>
    <row r="5" spans="2:22" ht="13.5" thickBot="1">
      <c r="D5" s="1550"/>
      <c r="G5" s="1713"/>
      <c r="H5" s="1253"/>
      <c r="I5" s="1551" t="s">
        <v>1486</v>
      </c>
      <c r="J5" s="1069">
        <v>7.7</v>
      </c>
      <c r="K5" s="1254"/>
      <c r="L5" s="1552" t="s">
        <v>110</v>
      </c>
      <c r="M5" s="1553"/>
      <c r="N5" s="1554"/>
      <c r="O5" s="1546"/>
      <c r="P5" s="1554"/>
      <c r="Q5" s="1555"/>
      <c r="R5" s="1265"/>
      <c r="S5" s="1265"/>
      <c r="T5" s="1265"/>
      <c r="U5" s="1265"/>
      <c r="V5" s="1265"/>
    </row>
    <row r="6" spans="2:22" ht="13.5" thickBot="1">
      <c r="D6" s="1550"/>
      <c r="G6" s="1713"/>
      <c r="H6" s="1557"/>
      <c r="I6" s="1557" t="s">
        <v>1488</v>
      </c>
      <c r="J6" s="1103">
        <v>3.5</v>
      </c>
      <c r="K6" s="1558"/>
      <c r="L6" s="1559" t="str">
        <f>CHOOSE(N270,E11,F11,G11,H11,I11,J11,K11,L11,M11,N11,O11,P11,Q11)</f>
        <v>мм</v>
      </c>
      <c r="M6" s="1560"/>
      <c r="N6" s="1546"/>
      <c r="O6" s="1546"/>
      <c r="P6" s="1554"/>
      <c r="Q6" s="1555"/>
      <c r="R6" s="1265"/>
      <c r="S6" s="1265"/>
      <c r="T6" s="1265"/>
      <c r="U6" s="1265"/>
      <c r="V6" s="1265"/>
    </row>
    <row r="7" spans="2:22" ht="7.5" customHeight="1" thickBot="1">
      <c r="D7" s="1550"/>
      <c r="G7" s="1713"/>
      <c r="H7" s="1270"/>
      <c r="I7" s="1271"/>
      <c r="J7" s="1271"/>
      <c r="K7" s="1271"/>
      <c r="L7" s="1272"/>
      <c r="M7" s="1561"/>
      <c r="N7" s="1562"/>
      <c r="O7" s="1562"/>
      <c r="P7" s="1562"/>
      <c r="Q7" s="1563"/>
      <c r="R7" s="1265"/>
      <c r="S7" s="1265"/>
      <c r="T7" s="1265"/>
      <c r="U7" s="1265"/>
      <c r="V7" s="1265"/>
    </row>
    <row r="8" spans="2:22" ht="13.5" thickBot="1">
      <c r="D8" s="1550"/>
      <c r="H8" s="1239"/>
      <c r="I8" s="1239"/>
      <c r="J8" s="1239"/>
      <c r="K8" s="1564" t="s">
        <v>890</v>
      </c>
      <c r="M8" s="1239"/>
      <c r="O8" s="1239"/>
      <c r="P8" s="1239"/>
      <c r="Q8" s="1239"/>
      <c r="R8" s="1239"/>
      <c r="S8" s="1239"/>
      <c r="T8" s="1239"/>
      <c r="U8" s="1239"/>
      <c r="V8" s="1239"/>
    </row>
    <row r="9" spans="2:22" ht="27" customHeight="1">
      <c r="E9" s="1632"/>
      <c r="F9" s="1566"/>
      <c r="G9" s="1567" t="s">
        <v>829</v>
      </c>
      <c r="H9" s="1471" t="s">
        <v>112</v>
      </c>
      <c r="I9" s="1471" t="s">
        <v>1491</v>
      </c>
      <c r="J9" s="1468" t="s">
        <v>882</v>
      </c>
      <c r="K9" s="1567" t="s">
        <v>114</v>
      </c>
      <c r="L9" s="1567" t="s">
        <v>115</v>
      </c>
      <c r="M9" s="1567" t="s">
        <v>116</v>
      </c>
      <c r="N9" s="1468" t="s">
        <v>117</v>
      </c>
      <c r="O9" s="1567" t="s">
        <v>118</v>
      </c>
      <c r="P9" s="1568" t="s">
        <v>118</v>
      </c>
      <c r="Q9" s="1470" t="s">
        <v>116</v>
      </c>
    </row>
    <row r="10" spans="2:22" s="1569" customFormat="1" ht="18.75">
      <c r="C10" s="1715"/>
      <c r="E10" s="1570" t="s">
        <v>16</v>
      </c>
      <c r="F10" s="1571" t="s">
        <v>121</v>
      </c>
      <c r="G10" s="1572" t="s">
        <v>1532</v>
      </c>
      <c r="H10" s="1573" t="s">
        <v>1531</v>
      </c>
      <c r="I10" s="1573" t="s">
        <v>1530</v>
      </c>
      <c r="J10" s="1573" t="s">
        <v>1940</v>
      </c>
      <c r="K10" s="1571" t="s">
        <v>122</v>
      </c>
      <c r="L10" s="1571" t="s">
        <v>123</v>
      </c>
      <c r="M10" s="1571" t="s">
        <v>124</v>
      </c>
      <c r="N10" s="1573" t="s">
        <v>1943</v>
      </c>
      <c r="O10" s="1571" t="s">
        <v>125</v>
      </c>
      <c r="P10" s="1574" t="s">
        <v>1945</v>
      </c>
      <c r="Q10" s="1575" t="s">
        <v>830</v>
      </c>
    </row>
    <row r="11" spans="2:22" s="1576" customFormat="1" ht="16.5" thickBot="1">
      <c r="B11" s="1569"/>
      <c r="C11" s="1716"/>
      <c r="D11" s="1717" t="s">
        <v>1544</v>
      </c>
      <c r="E11" s="1578" t="s">
        <v>1545</v>
      </c>
      <c r="F11" s="1579" t="s">
        <v>1545</v>
      </c>
      <c r="G11" s="1579" t="s">
        <v>1545</v>
      </c>
      <c r="H11" s="1580" t="s">
        <v>1954</v>
      </c>
      <c r="I11" s="1581" t="s">
        <v>1483</v>
      </c>
      <c r="J11" s="1580" t="s">
        <v>1956</v>
      </c>
      <c r="K11" s="1579" t="s">
        <v>127</v>
      </c>
      <c r="L11" s="1579" t="s">
        <v>1549</v>
      </c>
      <c r="M11" s="1579" t="s">
        <v>127</v>
      </c>
      <c r="N11" s="1580" t="s">
        <v>1956</v>
      </c>
      <c r="O11" s="1579" t="s">
        <v>127</v>
      </c>
      <c r="P11" s="1582" t="s">
        <v>1549</v>
      </c>
      <c r="Q11" s="1583" t="s">
        <v>127</v>
      </c>
    </row>
    <row r="12" spans="2:22">
      <c r="B12" s="1718"/>
      <c r="C12" s="1449"/>
      <c r="D12" s="1717">
        <v>1</v>
      </c>
      <c r="E12" s="1719" t="s">
        <v>1240</v>
      </c>
      <c r="F12" s="1661">
        <v>1</v>
      </c>
      <c r="G12" s="1594">
        <v>2</v>
      </c>
      <c r="H12" s="1662">
        <v>0.443</v>
      </c>
      <c r="I12" s="1663">
        <v>0.34799999999999998</v>
      </c>
      <c r="J12" s="1720">
        <v>6.5000000000000002E-2</v>
      </c>
      <c r="K12" s="1721">
        <v>0.13</v>
      </c>
      <c r="L12" s="1722"/>
      <c r="M12" s="1723"/>
      <c r="N12" s="1720">
        <v>0.126</v>
      </c>
      <c r="O12" s="1721">
        <v>0.16800000000000001</v>
      </c>
      <c r="P12" s="1722"/>
      <c r="Q12" s="1723"/>
    </row>
    <row r="13" spans="2:22">
      <c r="B13" s="1718"/>
      <c r="C13" s="1449"/>
      <c r="D13" s="1717">
        <v>2</v>
      </c>
      <c r="E13" s="1719" t="s">
        <v>1240</v>
      </c>
      <c r="F13" s="1661">
        <v>1.5</v>
      </c>
      <c r="G13" s="1594">
        <v>3</v>
      </c>
      <c r="H13" s="1662">
        <v>0.621</v>
      </c>
      <c r="I13" s="1663">
        <v>0.48799999999999999</v>
      </c>
      <c r="J13" s="1664">
        <v>8.2000000000000003E-2</v>
      </c>
      <c r="K13" s="1673">
        <v>0.16400000000000001</v>
      </c>
      <c r="L13" s="1599"/>
      <c r="M13" s="1600"/>
      <c r="N13" s="1664">
        <v>0.16</v>
      </c>
      <c r="O13" s="1673">
        <v>0.21333333333333335</v>
      </c>
      <c r="P13" s="1599"/>
      <c r="Q13" s="1600"/>
    </row>
    <row r="14" spans="2:22">
      <c r="B14" s="1718"/>
      <c r="C14" s="1449"/>
      <c r="D14" s="1717">
        <v>3</v>
      </c>
      <c r="E14" s="1724" t="s">
        <v>1240</v>
      </c>
      <c r="F14" s="1725">
        <v>2</v>
      </c>
      <c r="G14" s="1726">
        <v>4</v>
      </c>
      <c r="H14" s="1727">
        <v>0.77100000000000002</v>
      </c>
      <c r="I14" s="1728">
        <v>0.60499999999999998</v>
      </c>
      <c r="J14" s="1729">
        <v>8.8999999999999996E-2</v>
      </c>
      <c r="K14" s="1730">
        <v>0.17799999999999999</v>
      </c>
      <c r="L14" s="1441"/>
      <c r="M14" s="1731"/>
      <c r="N14" s="1729">
        <v>0.17899999999999999</v>
      </c>
      <c r="O14" s="1730">
        <v>0.23866666666666667</v>
      </c>
      <c r="P14" s="1441"/>
      <c r="Q14" s="1731"/>
    </row>
    <row r="15" spans="2:22">
      <c r="B15" s="1718"/>
      <c r="C15" s="1449"/>
      <c r="D15" s="1717">
        <v>4</v>
      </c>
      <c r="E15" s="1732" t="s">
        <v>1241</v>
      </c>
      <c r="F15" s="1667">
        <v>1</v>
      </c>
      <c r="G15" s="1602">
        <v>2</v>
      </c>
      <c r="H15" s="1668">
        <v>0.54300000000000004</v>
      </c>
      <c r="I15" s="1669">
        <v>0.42599999999999999</v>
      </c>
      <c r="J15" s="1670">
        <v>8.5999999999999993E-2</v>
      </c>
      <c r="K15" s="1675">
        <v>0.17199999999999999</v>
      </c>
      <c r="L15" s="1413"/>
      <c r="M15" s="1414"/>
      <c r="N15" s="1670">
        <v>0.26100000000000001</v>
      </c>
      <c r="O15" s="1675">
        <v>0.26100000000000001</v>
      </c>
      <c r="P15" s="1413"/>
      <c r="Q15" s="1414"/>
    </row>
    <row r="16" spans="2:22">
      <c r="B16" s="1718"/>
      <c r="C16" s="1449"/>
      <c r="D16" s="1717">
        <v>5</v>
      </c>
      <c r="E16" s="1732" t="s">
        <v>1241</v>
      </c>
      <c r="F16" s="1667">
        <v>1.5</v>
      </c>
      <c r="G16" s="1602">
        <v>3</v>
      </c>
      <c r="H16" s="1668">
        <v>0.77100000000000002</v>
      </c>
      <c r="I16" s="1669">
        <v>0.60499999999999998</v>
      </c>
      <c r="J16" s="1670">
        <v>0.109</v>
      </c>
      <c r="K16" s="1675">
        <v>0.218</v>
      </c>
      <c r="L16" s="1413"/>
      <c r="M16" s="1414"/>
      <c r="N16" s="1670">
        <v>0.34399999999999997</v>
      </c>
      <c r="O16" s="1675">
        <v>0.34399999999999997</v>
      </c>
      <c r="P16" s="1413"/>
      <c r="Q16" s="1414"/>
    </row>
    <row r="17" spans="2:17">
      <c r="B17" s="1718"/>
      <c r="C17" s="1449"/>
      <c r="D17" s="1717">
        <v>6</v>
      </c>
      <c r="E17" s="1733" t="s">
        <v>1241</v>
      </c>
      <c r="F17" s="1734">
        <v>2</v>
      </c>
      <c r="G17" s="1735">
        <v>4</v>
      </c>
      <c r="H17" s="1736">
        <v>0.97099999999999997</v>
      </c>
      <c r="I17" s="1737">
        <v>0.76200000000000001</v>
      </c>
      <c r="J17" s="1738">
        <v>0.122</v>
      </c>
      <c r="K17" s="1739">
        <v>0.24399999999999999</v>
      </c>
      <c r="L17" s="1347"/>
      <c r="M17" s="1348"/>
      <c r="N17" s="1738">
        <v>0.39800000000000002</v>
      </c>
      <c r="O17" s="1739">
        <v>0.39800000000000002</v>
      </c>
      <c r="P17" s="1347"/>
      <c r="Q17" s="1348"/>
    </row>
    <row r="18" spans="2:17">
      <c r="B18" s="1718"/>
      <c r="C18" s="1449"/>
      <c r="D18" s="1717">
        <v>7</v>
      </c>
      <c r="E18" s="1732" t="s">
        <v>1242</v>
      </c>
      <c r="F18" s="1667">
        <v>1</v>
      </c>
      <c r="G18" s="1602">
        <v>2</v>
      </c>
      <c r="H18" s="1668">
        <v>0.64300000000000002</v>
      </c>
      <c r="I18" s="1669">
        <v>0.505</v>
      </c>
      <c r="J18" s="1670">
        <v>0.224</v>
      </c>
      <c r="K18" s="1675">
        <v>0.29866666666666669</v>
      </c>
      <c r="L18" s="1413"/>
      <c r="M18" s="1414"/>
      <c r="N18" s="1670">
        <v>0.35199999999999998</v>
      </c>
      <c r="O18" s="1675">
        <v>0.35199999999999998</v>
      </c>
      <c r="P18" s="1413"/>
      <c r="Q18" s="1414"/>
    </row>
    <row r="19" spans="2:17">
      <c r="B19" s="1718"/>
      <c r="C19" s="1449"/>
      <c r="D19" s="1717">
        <v>8</v>
      </c>
      <c r="E19" s="1732" t="s">
        <v>1242</v>
      </c>
      <c r="F19" s="1667">
        <v>1.5</v>
      </c>
      <c r="G19" s="1602">
        <v>3</v>
      </c>
      <c r="H19" s="1668">
        <v>0.92100000000000004</v>
      </c>
      <c r="I19" s="1669">
        <v>0.72299999999999998</v>
      </c>
      <c r="J19" s="1670">
        <v>0.29699999999999999</v>
      </c>
      <c r="K19" s="1675">
        <v>0.39599999999999996</v>
      </c>
      <c r="L19" s="1413"/>
      <c r="M19" s="1414"/>
      <c r="N19" s="1670">
        <v>0.47199999999999998</v>
      </c>
      <c r="O19" s="1675">
        <v>0.47199999999999998</v>
      </c>
      <c r="P19" s="1413"/>
      <c r="Q19" s="1414"/>
    </row>
    <row r="20" spans="2:17">
      <c r="B20" s="1718"/>
      <c r="C20" s="1449"/>
      <c r="D20" s="1717">
        <v>9</v>
      </c>
      <c r="E20" s="1732" t="s">
        <v>1242</v>
      </c>
      <c r="F20" s="1667">
        <v>2</v>
      </c>
      <c r="G20" s="1602">
        <v>4</v>
      </c>
      <c r="H20" s="1668">
        <v>1.17</v>
      </c>
      <c r="I20" s="1669">
        <v>0.91900000000000004</v>
      </c>
      <c r="J20" s="1670">
        <v>0.35</v>
      </c>
      <c r="K20" s="1675">
        <v>0.46666666666666662</v>
      </c>
      <c r="L20" s="1413"/>
      <c r="M20" s="1414"/>
      <c r="N20" s="1670">
        <v>0.56100000000000005</v>
      </c>
      <c r="O20" s="1675">
        <v>0.56100000000000005</v>
      </c>
      <c r="P20" s="1413"/>
      <c r="Q20" s="1414"/>
    </row>
    <row r="21" spans="2:17">
      <c r="B21" s="1718"/>
      <c r="C21" s="1449"/>
      <c r="D21" s="1717">
        <v>10</v>
      </c>
      <c r="E21" s="1733" t="s">
        <v>1242</v>
      </c>
      <c r="F21" s="1734">
        <v>2.5</v>
      </c>
      <c r="G21" s="1735">
        <v>5</v>
      </c>
      <c r="H21" s="1736">
        <v>1.39</v>
      </c>
      <c r="I21" s="1737">
        <v>1.0900000000000001</v>
      </c>
      <c r="J21" s="1738">
        <v>0.38300000000000001</v>
      </c>
      <c r="K21" s="1739">
        <v>0.51066666666666671</v>
      </c>
      <c r="L21" s="1347"/>
      <c r="M21" s="1348"/>
      <c r="N21" s="1738">
        <v>0.62</v>
      </c>
      <c r="O21" s="1739">
        <v>0.62</v>
      </c>
      <c r="P21" s="1347"/>
      <c r="Q21" s="1348"/>
    </row>
    <row r="22" spans="2:17">
      <c r="B22" s="1718"/>
      <c r="C22" s="1449"/>
      <c r="D22" s="1717">
        <v>11</v>
      </c>
      <c r="E22" s="1719" t="s">
        <v>1243</v>
      </c>
      <c r="F22" s="1661">
        <v>1</v>
      </c>
      <c r="G22" s="1594">
        <v>2</v>
      </c>
      <c r="H22" s="1662">
        <v>0.64300000000000002</v>
      </c>
      <c r="I22" s="1662">
        <v>0.505</v>
      </c>
      <c r="J22" s="1664">
        <v>0.106</v>
      </c>
      <c r="K22" s="1673">
        <v>0.21199999999999999</v>
      </c>
      <c r="L22" s="1599"/>
      <c r="M22" s="1600"/>
      <c r="N22" s="1664">
        <v>0.46500000000000002</v>
      </c>
      <c r="O22" s="1673">
        <v>0.372</v>
      </c>
      <c r="P22" s="1599"/>
      <c r="Q22" s="1600"/>
    </row>
    <row r="23" spans="2:17">
      <c r="B23" s="1718"/>
      <c r="C23" s="1449"/>
      <c r="D23" s="1717">
        <v>12</v>
      </c>
      <c r="E23" s="1719" t="s">
        <v>1243</v>
      </c>
      <c r="F23" s="1661">
        <v>1.5</v>
      </c>
      <c r="G23" s="1594">
        <v>3</v>
      </c>
      <c r="H23" s="1662">
        <v>0.92100000000000004</v>
      </c>
      <c r="I23" s="1662">
        <v>0.72299999999999998</v>
      </c>
      <c r="J23" s="1664">
        <v>0.13700000000000001</v>
      </c>
      <c r="K23" s="1673">
        <v>0.27400000000000002</v>
      </c>
      <c r="L23" s="1599"/>
      <c r="M23" s="1600"/>
      <c r="N23" s="1664">
        <v>0.623</v>
      </c>
      <c r="O23" s="1673">
        <v>0.49840000000000001</v>
      </c>
      <c r="P23" s="1599"/>
      <c r="Q23" s="1600"/>
    </row>
    <row r="24" spans="2:17">
      <c r="B24" s="1718"/>
      <c r="C24" s="1449"/>
      <c r="D24" s="1717">
        <v>13</v>
      </c>
      <c r="E24" s="1719" t="s">
        <v>1243</v>
      </c>
      <c r="F24" s="1661">
        <v>2</v>
      </c>
      <c r="G24" s="1594">
        <v>4</v>
      </c>
      <c r="H24" s="1662">
        <v>1.17</v>
      </c>
      <c r="I24" s="1662">
        <v>0.91900000000000004</v>
      </c>
      <c r="J24" s="1664">
        <v>0.155</v>
      </c>
      <c r="K24" s="1673">
        <v>0.31</v>
      </c>
      <c r="L24" s="1599"/>
      <c r="M24" s="1600"/>
      <c r="N24" s="1664">
        <v>0.73799999999999999</v>
      </c>
      <c r="O24" s="1673">
        <v>0.59040000000000004</v>
      </c>
      <c r="P24" s="1599"/>
      <c r="Q24" s="1600"/>
    </row>
    <row r="25" spans="2:17">
      <c r="B25" s="1718"/>
      <c r="C25" s="1449"/>
      <c r="D25" s="1717">
        <v>14</v>
      </c>
      <c r="E25" s="1724" t="s">
        <v>1243</v>
      </c>
      <c r="F25" s="1725">
        <v>2.5</v>
      </c>
      <c r="G25" s="1726">
        <v>5</v>
      </c>
      <c r="H25" s="1727">
        <v>1.39</v>
      </c>
      <c r="I25" s="1727">
        <v>1.0900000000000001</v>
      </c>
      <c r="J25" s="1729">
        <v>0.16300000000000001</v>
      </c>
      <c r="K25" s="1730">
        <v>0.32600000000000001</v>
      </c>
      <c r="L25" s="1441"/>
      <c r="M25" s="1731"/>
      <c r="N25" s="1729">
        <v>0.81299999999999994</v>
      </c>
      <c r="O25" s="1730">
        <v>0.65039999999999998</v>
      </c>
      <c r="P25" s="1441"/>
      <c r="Q25" s="1731"/>
    </row>
    <row r="26" spans="2:17">
      <c r="B26" s="1718"/>
      <c r="C26" s="1449"/>
      <c r="D26" s="1717">
        <v>15</v>
      </c>
      <c r="E26" s="1719" t="s">
        <v>1300</v>
      </c>
      <c r="F26" s="1661">
        <v>1</v>
      </c>
      <c r="G26" s="1594">
        <v>2</v>
      </c>
      <c r="H26" s="1662">
        <v>0.74299999999999999</v>
      </c>
      <c r="I26" s="1662">
        <v>0.58299999999999996</v>
      </c>
      <c r="J26" s="1664">
        <v>0.27300000000000002</v>
      </c>
      <c r="K26" s="1673">
        <v>0.36400000000000005</v>
      </c>
      <c r="L26" s="1599"/>
      <c r="M26" s="1600"/>
      <c r="N26" s="1664">
        <v>0.60899999999999999</v>
      </c>
      <c r="O26" s="1673">
        <v>0.48719999999999997</v>
      </c>
      <c r="P26" s="1599"/>
      <c r="Q26" s="1600"/>
    </row>
    <row r="27" spans="2:17">
      <c r="B27" s="1718"/>
      <c r="C27" s="1449"/>
      <c r="D27" s="1717">
        <v>16</v>
      </c>
      <c r="E27" s="1719" t="s">
        <v>1300</v>
      </c>
      <c r="F27" s="1661">
        <v>1.5</v>
      </c>
      <c r="G27" s="1594">
        <v>3</v>
      </c>
      <c r="H27" s="1662">
        <v>1.07</v>
      </c>
      <c r="I27" s="1662">
        <v>0.84099999999999997</v>
      </c>
      <c r="J27" s="1664">
        <v>0.36599999999999999</v>
      </c>
      <c r="K27" s="1673">
        <v>0.48799999999999999</v>
      </c>
      <c r="L27" s="1599"/>
      <c r="M27" s="1600"/>
      <c r="N27" s="1664">
        <v>0.83099999999999996</v>
      </c>
      <c r="O27" s="1673">
        <v>0.66479999999999995</v>
      </c>
      <c r="P27" s="1599"/>
      <c r="Q27" s="1600"/>
    </row>
    <row r="28" spans="2:17">
      <c r="B28" s="1718"/>
      <c r="C28" s="1449"/>
      <c r="D28" s="1717">
        <v>17</v>
      </c>
      <c r="E28" s="1719" t="s">
        <v>1300</v>
      </c>
      <c r="F28" s="1661">
        <v>2</v>
      </c>
      <c r="G28" s="1594">
        <v>4</v>
      </c>
      <c r="H28" s="1662">
        <v>1.37</v>
      </c>
      <c r="I28" s="1662">
        <v>1.08</v>
      </c>
      <c r="J28" s="1664">
        <v>0.435</v>
      </c>
      <c r="K28" s="1673">
        <v>0.57999999999999996</v>
      </c>
      <c r="L28" s="1599"/>
      <c r="M28" s="1600"/>
      <c r="N28" s="1664">
        <v>1.0029999999999999</v>
      </c>
      <c r="O28" s="1673">
        <v>0.80239999999999989</v>
      </c>
      <c r="P28" s="1599"/>
      <c r="Q28" s="1600"/>
    </row>
    <row r="29" spans="2:17">
      <c r="B29" s="1718"/>
      <c r="C29" s="1449"/>
      <c r="D29" s="1717">
        <v>18</v>
      </c>
      <c r="E29" s="1724" t="s">
        <v>1300</v>
      </c>
      <c r="F29" s="1725">
        <v>2.5</v>
      </c>
      <c r="G29" s="1726">
        <v>5</v>
      </c>
      <c r="H29" s="1727">
        <v>1.64</v>
      </c>
      <c r="I29" s="1727">
        <v>1.29</v>
      </c>
      <c r="J29" s="1729">
        <v>0.48199999999999998</v>
      </c>
      <c r="K29" s="1730">
        <v>0.64266666666666661</v>
      </c>
      <c r="L29" s="1441"/>
      <c r="M29" s="1731"/>
      <c r="N29" s="1729">
        <v>1.1299999999999999</v>
      </c>
      <c r="O29" s="1730">
        <v>0.90399999999999991</v>
      </c>
      <c r="P29" s="1441"/>
      <c r="Q29" s="1731"/>
    </row>
    <row r="30" spans="2:17">
      <c r="B30" s="1718"/>
      <c r="C30" s="1449" t="s">
        <v>893</v>
      </c>
      <c r="D30" s="1717">
        <v>19</v>
      </c>
      <c r="E30" s="1740" t="s">
        <v>1301</v>
      </c>
      <c r="F30" s="1677">
        <v>1.5</v>
      </c>
      <c r="G30" s="1639">
        <v>3</v>
      </c>
      <c r="H30" s="1741">
        <v>1.46</v>
      </c>
      <c r="I30" s="1742">
        <v>1.1499999999999999</v>
      </c>
      <c r="J30" s="1743">
        <v>1.37</v>
      </c>
      <c r="K30" s="1678">
        <v>1.0960000000000001</v>
      </c>
      <c r="L30" s="1644"/>
      <c r="M30" s="1645"/>
      <c r="N30" s="1743">
        <v>1.64</v>
      </c>
      <c r="O30" s="1678">
        <v>1.1714285714285715</v>
      </c>
      <c r="P30" s="1644"/>
      <c r="Q30" s="1645"/>
    </row>
    <row r="31" spans="2:17">
      <c r="B31" s="1718"/>
      <c r="C31" s="1449" t="s">
        <v>893</v>
      </c>
      <c r="D31" s="1717">
        <v>20</v>
      </c>
      <c r="E31" s="1740" t="s">
        <v>1301</v>
      </c>
      <c r="F31" s="1677">
        <v>2</v>
      </c>
      <c r="G31" s="1639">
        <v>4</v>
      </c>
      <c r="H31" s="1741">
        <v>1.89</v>
      </c>
      <c r="I31" s="1742">
        <v>1.49</v>
      </c>
      <c r="J31" s="1743">
        <v>1.69</v>
      </c>
      <c r="K31" s="1678">
        <v>1.3519999999999999</v>
      </c>
      <c r="L31" s="1644"/>
      <c r="M31" s="1645"/>
      <c r="N31" s="1743">
        <v>2.0299999999999998</v>
      </c>
      <c r="O31" s="1678">
        <v>1.45</v>
      </c>
      <c r="P31" s="1644"/>
      <c r="Q31" s="1645"/>
    </row>
    <row r="32" spans="2:17">
      <c r="B32" s="1718"/>
      <c r="C32" s="1449" t="s">
        <v>893</v>
      </c>
      <c r="D32" s="1717">
        <v>21</v>
      </c>
      <c r="E32" s="1744" t="s">
        <v>1301</v>
      </c>
      <c r="F32" s="1745">
        <v>2.5</v>
      </c>
      <c r="G32" s="1746">
        <v>5</v>
      </c>
      <c r="H32" s="1747">
        <v>2.29</v>
      </c>
      <c r="I32" s="1748">
        <v>1.8</v>
      </c>
      <c r="J32" s="1749">
        <v>1.96</v>
      </c>
      <c r="K32" s="1750">
        <v>1.5680000000000001</v>
      </c>
      <c r="L32" s="1751"/>
      <c r="M32" s="1752"/>
      <c r="N32" s="1749">
        <v>2.35</v>
      </c>
      <c r="O32" s="1750">
        <v>1.6785714285714288</v>
      </c>
      <c r="P32" s="1751"/>
      <c r="Q32" s="1752"/>
    </row>
    <row r="33" spans="2:18">
      <c r="B33" s="1718"/>
      <c r="C33" s="1449"/>
      <c r="D33" s="1717">
        <v>22</v>
      </c>
      <c r="E33" s="1732" t="s">
        <v>1302</v>
      </c>
      <c r="F33" s="1667">
        <v>1</v>
      </c>
      <c r="G33" s="1602">
        <v>2</v>
      </c>
      <c r="H33" s="1603">
        <v>0.74299999999999999</v>
      </c>
      <c r="I33" s="1669">
        <v>0.58299999999999996</v>
      </c>
      <c r="J33" s="1753">
        <v>0.126</v>
      </c>
      <c r="K33" s="1675">
        <v>0.252</v>
      </c>
      <c r="L33" s="1413"/>
      <c r="M33" s="1414"/>
      <c r="N33" s="1753">
        <v>0.749</v>
      </c>
      <c r="O33" s="1675">
        <v>0.49933333333333335</v>
      </c>
      <c r="P33" s="1413"/>
      <c r="Q33" s="1414"/>
    </row>
    <row r="34" spans="2:18">
      <c r="B34" s="1718"/>
      <c r="C34" s="1449"/>
      <c r="D34" s="1717">
        <v>23</v>
      </c>
      <c r="E34" s="1732" t="s">
        <v>1302</v>
      </c>
      <c r="F34" s="1667">
        <v>1.5</v>
      </c>
      <c r="G34" s="1602">
        <v>3</v>
      </c>
      <c r="H34" s="1603">
        <v>1.07</v>
      </c>
      <c r="I34" s="1669">
        <v>0.84099999999999997</v>
      </c>
      <c r="J34" s="1753">
        <v>0.16400000000000001</v>
      </c>
      <c r="K34" s="1675">
        <v>0.32800000000000001</v>
      </c>
      <c r="L34" s="1413"/>
      <c r="M34" s="1414"/>
      <c r="N34" s="1753">
        <v>1.02</v>
      </c>
      <c r="O34" s="1675">
        <v>0.68</v>
      </c>
      <c r="P34" s="1413"/>
      <c r="Q34" s="1414"/>
    </row>
    <row r="35" spans="2:18">
      <c r="B35" s="1718"/>
      <c r="C35" s="1449"/>
      <c r="D35" s="1717">
        <v>24</v>
      </c>
      <c r="E35" s="1732" t="s">
        <v>1302</v>
      </c>
      <c r="F35" s="1667">
        <v>2</v>
      </c>
      <c r="G35" s="1602">
        <v>4</v>
      </c>
      <c r="H35" s="1603">
        <v>1.37</v>
      </c>
      <c r="I35" s="1669">
        <v>1.08</v>
      </c>
      <c r="J35" s="1753">
        <v>0.188</v>
      </c>
      <c r="K35" s="1675">
        <v>0.376</v>
      </c>
      <c r="L35" s="1413"/>
      <c r="M35" s="1414"/>
      <c r="N35" s="1753">
        <v>1.22</v>
      </c>
      <c r="O35" s="1675">
        <v>0.81333333333333335</v>
      </c>
      <c r="P35" s="1413"/>
      <c r="Q35" s="1414"/>
    </row>
    <row r="36" spans="2:18">
      <c r="B36" s="1718"/>
      <c r="C36" s="1449"/>
      <c r="D36" s="1717">
        <v>25</v>
      </c>
      <c r="E36" s="1732" t="s">
        <v>1302</v>
      </c>
      <c r="F36" s="1667">
        <v>2.5</v>
      </c>
      <c r="G36" s="1602">
        <v>5</v>
      </c>
      <c r="H36" s="1603">
        <v>1.64</v>
      </c>
      <c r="I36" s="1669">
        <v>1.29</v>
      </c>
      <c r="J36" s="1753">
        <v>0.19900000000000001</v>
      </c>
      <c r="K36" s="1675">
        <v>0.39800000000000002</v>
      </c>
      <c r="L36" s="1413"/>
      <c r="M36" s="1414"/>
      <c r="N36" s="1753">
        <v>1.37</v>
      </c>
      <c r="O36" s="1675">
        <v>0.91333333333333344</v>
      </c>
      <c r="P36" s="1413"/>
      <c r="Q36" s="1414"/>
    </row>
    <row r="37" spans="2:18">
      <c r="B37" s="1718"/>
      <c r="C37" s="1449"/>
      <c r="D37" s="1717">
        <v>26</v>
      </c>
      <c r="E37" s="1733" t="s">
        <v>1302</v>
      </c>
      <c r="F37" s="1734">
        <v>3</v>
      </c>
      <c r="G37" s="1735">
        <v>6</v>
      </c>
      <c r="H37" s="1754">
        <v>1.88</v>
      </c>
      <c r="I37" s="1737">
        <v>1.48</v>
      </c>
      <c r="J37" s="1755">
        <v>0.20100000000000001</v>
      </c>
      <c r="K37" s="1739">
        <v>0.40200000000000002</v>
      </c>
      <c r="L37" s="1347"/>
      <c r="M37" s="1348"/>
      <c r="N37" s="1755">
        <v>1.46</v>
      </c>
      <c r="O37" s="1739">
        <v>0.97333333333333327</v>
      </c>
      <c r="P37" s="1347"/>
      <c r="Q37" s="1348"/>
    </row>
    <row r="38" spans="2:18">
      <c r="B38" s="1718"/>
      <c r="C38" s="1449"/>
      <c r="D38" s="1717">
        <v>27</v>
      </c>
      <c r="E38" s="1732" t="s">
        <v>1303</v>
      </c>
      <c r="F38" s="1667">
        <v>1</v>
      </c>
      <c r="G38" s="1602">
        <v>2</v>
      </c>
      <c r="H38" s="1603">
        <v>0.84299999999999997</v>
      </c>
      <c r="I38" s="1669">
        <v>0.66100000000000003</v>
      </c>
      <c r="J38" s="1753">
        <v>0.32200000000000001</v>
      </c>
      <c r="K38" s="1675">
        <v>0.42933333333333334</v>
      </c>
      <c r="L38" s="1413"/>
      <c r="M38" s="1414"/>
      <c r="N38" s="1753">
        <v>0.95899999999999996</v>
      </c>
      <c r="O38" s="1675">
        <v>0.63933333333333331</v>
      </c>
      <c r="P38" s="1413"/>
      <c r="Q38" s="1414"/>
    </row>
    <row r="39" spans="2:18">
      <c r="B39" s="1718"/>
      <c r="C39" s="1449"/>
      <c r="D39" s="1717">
        <v>28</v>
      </c>
      <c r="E39" s="1732" t="s">
        <v>1303</v>
      </c>
      <c r="F39" s="1667">
        <v>1.5</v>
      </c>
      <c r="G39" s="1602">
        <v>3</v>
      </c>
      <c r="H39" s="1603">
        <v>1.22</v>
      </c>
      <c r="I39" s="1669">
        <v>0.95899999999999996</v>
      </c>
      <c r="J39" s="1753">
        <v>0.435</v>
      </c>
      <c r="K39" s="1675">
        <v>0.57999999999999996</v>
      </c>
      <c r="L39" s="1413"/>
      <c r="M39" s="1414"/>
      <c r="N39" s="1753">
        <v>1.32</v>
      </c>
      <c r="O39" s="1675">
        <v>0.88</v>
      </c>
      <c r="P39" s="1413"/>
      <c r="Q39" s="1414"/>
    </row>
    <row r="40" spans="2:18">
      <c r="B40" s="1718"/>
      <c r="C40" s="1449"/>
      <c r="D40" s="1717">
        <v>29</v>
      </c>
      <c r="E40" s="1732" t="s">
        <v>1303</v>
      </c>
      <c r="F40" s="1667">
        <v>2</v>
      </c>
      <c r="G40" s="1602">
        <v>4</v>
      </c>
      <c r="H40" s="1603">
        <v>1.57</v>
      </c>
      <c r="I40" s="1669">
        <v>1.23</v>
      </c>
      <c r="J40" s="1753">
        <v>0.52</v>
      </c>
      <c r="K40" s="1675">
        <v>0.69333333333333336</v>
      </c>
      <c r="L40" s="1413"/>
      <c r="M40" s="1414"/>
      <c r="N40" s="1753">
        <v>1.62</v>
      </c>
      <c r="O40" s="1675">
        <v>1.08</v>
      </c>
      <c r="P40" s="1413"/>
      <c r="Q40" s="1414"/>
    </row>
    <row r="41" spans="2:18">
      <c r="B41" s="1718"/>
      <c r="C41" s="1449"/>
      <c r="D41" s="1717">
        <v>30</v>
      </c>
      <c r="E41" s="1732" t="s">
        <v>1303</v>
      </c>
      <c r="F41" s="1667">
        <v>2.5</v>
      </c>
      <c r="G41" s="1602">
        <v>5</v>
      </c>
      <c r="H41" s="1603">
        <v>1.89</v>
      </c>
      <c r="I41" s="1669">
        <v>1.48</v>
      </c>
      <c r="J41" s="1753">
        <v>0.57999999999999996</v>
      </c>
      <c r="K41" s="1675">
        <v>0.77333333333333332</v>
      </c>
      <c r="L41" s="1413"/>
      <c r="M41" s="1414"/>
      <c r="N41" s="1753">
        <v>1.85</v>
      </c>
      <c r="O41" s="1675">
        <v>1.2333333333333334</v>
      </c>
      <c r="P41" s="1413"/>
      <c r="Q41" s="1414"/>
    </row>
    <row r="42" spans="2:18">
      <c r="B42" s="1718"/>
      <c r="C42" s="1449"/>
      <c r="D42" s="1717">
        <v>31</v>
      </c>
      <c r="E42" s="1733" t="s">
        <v>1303</v>
      </c>
      <c r="F42" s="1734">
        <v>3</v>
      </c>
      <c r="G42" s="1735">
        <v>6</v>
      </c>
      <c r="H42" s="1754">
        <v>2.1800000000000002</v>
      </c>
      <c r="I42" s="1737">
        <v>1.71</v>
      </c>
      <c r="J42" s="1755">
        <v>0.61899999999999999</v>
      </c>
      <c r="K42" s="1739">
        <v>0.82533333333333336</v>
      </c>
      <c r="L42" s="1347"/>
      <c r="M42" s="1348"/>
      <c r="N42" s="1755">
        <v>2.0099999999999998</v>
      </c>
      <c r="O42" s="1739">
        <v>1.34</v>
      </c>
      <c r="P42" s="1347"/>
      <c r="Q42" s="1348"/>
      <c r="R42" s="1242"/>
    </row>
    <row r="43" spans="2:18">
      <c r="B43" s="1718"/>
      <c r="C43" s="1449"/>
      <c r="D43" s="1717">
        <v>32</v>
      </c>
      <c r="E43" s="1732" t="s">
        <v>1304</v>
      </c>
      <c r="F43" s="1667">
        <v>1</v>
      </c>
      <c r="G43" s="1602">
        <v>2</v>
      </c>
      <c r="H43" s="1603">
        <v>0.94299999999999995</v>
      </c>
      <c r="I43" s="1669">
        <v>0.74</v>
      </c>
      <c r="J43" s="1753">
        <v>0.623</v>
      </c>
      <c r="K43" s="1675">
        <v>0.623</v>
      </c>
      <c r="L43" s="1413"/>
      <c r="M43" s="1414"/>
      <c r="N43" s="1753">
        <v>1.17</v>
      </c>
      <c r="O43" s="1675">
        <v>0.78</v>
      </c>
      <c r="P43" s="1413"/>
      <c r="Q43" s="1414"/>
    </row>
    <row r="44" spans="2:18">
      <c r="B44" s="1718"/>
      <c r="C44" s="1449"/>
      <c r="D44" s="1717">
        <v>33</v>
      </c>
      <c r="E44" s="1732" t="s">
        <v>1304</v>
      </c>
      <c r="F44" s="1667">
        <v>1.5</v>
      </c>
      <c r="G44" s="1602">
        <v>3</v>
      </c>
      <c r="H44" s="1603">
        <v>1.37</v>
      </c>
      <c r="I44" s="1669">
        <v>1.08</v>
      </c>
      <c r="J44" s="1753">
        <v>0.85799999999999998</v>
      </c>
      <c r="K44" s="1675">
        <v>0.85799999999999998</v>
      </c>
      <c r="L44" s="1413"/>
      <c r="M44" s="1414"/>
      <c r="N44" s="1753">
        <v>1.63</v>
      </c>
      <c r="O44" s="1675">
        <v>1.0866666666666667</v>
      </c>
      <c r="P44" s="1413"/>
      <c r="Q44" s="1414"/>
    </row>
    <row r="45" spans="2:18">
      <c r="B45" s="1718"/>
      <c r="C45" s="1449"/>
      <c r="D45" s="1717">
        <v>34</v>
      </c>
      <c r="E45" s="1732" t="s">
        <v>1304</v>
      </c>
      <c r="F45" s="1667">
        <v>2</v>
      </c>
      <c r="G45" s="1602">
        <v>4</v>
      </c>
      <c r="H45" s="1603">
        <v>1.77</v>
      </c>
      <c r="I45" s="1669">
        <v>1.39</v>
      </c>
      <c r="J45" s="1753">
        <v>1.05</v>
      </c>
      <c r="K45" s="1675">
        <v>1.05</v>
      </c>
      <c r="L45" s="1413"/>
      <c r="M45" s="1414"/>
      <c r="N45" s="1753">
        <v>2.0099999999999998</v>
      </c>
      <c r="O45" s="1675">
        <v>1.34</v>
      </c>
      <c r="P45" s="1413"/>
      <c r="Q45" s="1414"/>
    </row>
    <row r="46" spans="2:18">
      <c r="B46" s="1718"/>
      <c r="C46" s="1449"/>
      <c r="D46" s="1717">
        <v>35</v>
      </c>
      <c r="E46" s="1732" t="s">
        <v>1304</v>
      </c>
      <c r="F46" s="1667">
        <v>2.5</v>
      </c>
      <c r="G46" s="1602">
        <v>5</v>
      </c>
      <c r="H46" s="1603">
        <v>2.14</v>
      </c>
      <c r="I46" s="1669">
        <v>1.68</v>
      </c>
      <c r="J46" s="1753">
        <v>1.2</v>
      </c>
      <c r="K46" s="1675">
        <v>1.2</v>
      </c>
      <c r="L46" s="1413"/>
      <c r="M46" s="1414"/>
      <c r="N46" s="1753">
        <v>2.3199999999999998</v>
      </c>
      <c r="O46" s="1675">
        <v>1.5466666666666666</v>
      </c>
      <c r="P46" s="1413"/>
      <c r="Q46" s="1414"/>
    </row>
    <row r="47" spans="2:18">
      <c r="B47" s="1718"/>
      <c r="C47" s="1449"/>
      <c r="D47" s="1717">
        <v>36</v>
      </c>
      <c r="E47" s="1733" t="s">
        <v>1304</v>
      </c>
      <c r="F47" s="1734">
        <v>3</v>
      </c>
      <c r="G47" s="1735">
        <v>6</v>
      </c>
      <c r="H47" s="1754">
        <v>2.48</v>
      </c>
      <c r="I47" s="1737">
        <v>1.95</v>
      </c>
      <c r="J47" s="1755">
        <v>1.31</v>
      </c>
      <c r="K47" s="1739">
        <v>1.31</v>
      </c>
      <c r="L47" s="1347"/>
      <c r="M47" s="1348"/>
      <c r="N47" s="1755">
        <v>2.56</v>
      </c>
      <c r="O47" s="1739">
        <v>1.7066666666666668</v>
      </c>
      <c r="P47" s="1347"/>
      <c r="Q47" s="1348"/>
    </row>
    <row r="48" spans="2:18">
      <c r="B48" s="1718"/>
      <c r="C48" s="1449"/>
      <c r="D48" s="1717">
        <v>37</v>
      </c>
      <c r="E48" s="1719" t="s">
        <v>1305</v>
      </c>
      <c r="F48" s="1661">
        <v>1.5</v>
      </c>
      <c r="G48" s="1594">
        <v>3</v>
      </c>
      <c r="H48" s="1595">
        <v>1.37</v>
      </c>
      <c r="I48" s="1596">
        <v>1.08</v>
      </c>
      <c r="J48" s="1756">
        <v>0.503</v>
      </c>
      <c r="K48" s="1673">
        <v>0.67066666666666663</v>
      </c>
      <c r="L48" s="1599"/>
      <c r="M48" s="1600"/>
      <c r="N48" s="1597">
        <v>1.97</v>
      </c>
      <c r="O48" s="1674">
        <v>1.1257142857142857</v>
      </c>
      <c r="P48" s="1599"/>
      <c r="Q48" s="1600"/>
    </row>
    <row r="49" spans="2:17">
      <c r="B49" s="1718"/>
      <c r="C49" s="1449"/>
      <c r="D49" s="1717">
        <v>38</v>
      </c>
      <c r="E49" s="1719" t="s">
        <v>1305</v>
      </c>
      <c r="F49" s="1661">
        <v>2</v>
      </c>
      <c r="G49" s="1594">
        <v>4</v>
      </c>
      <c r="H49" s="1595">
        <v>1.77</v>
      </c>
      <c r="I49" s="1596">
        <v>1.39</v>
      </c>
      <c r="J49" s="1756">
        <v>0.60499999999999998</v>
      </c>
      <c r="K49" s="1673">
        <v>0.80666666666666664</v>
      </c>
      <c r="L49" s="1599"/>
      <c r="M49" s="1600"/>
      <c r="N49" s="1597">
        <v>2.4300000000000002</v>
      </c>
      <c r="O49" s="1674">
        <v>1.3885714285714286</v>
      </c>
      <c r="P49" s="1599"/>
      <c r="Q49" s="1600"/>
    </row>
    <row r="50" spans="2:17">
      <c r="B50" s="1718"/>
      <c r="C50" s="1449"/>
      <c r="D50" s="1717">
        <v>39</v>
      </c>
      <c r="E50" s="1719" t="s">
        <v>1305</v>
      </c>
      <c r="F50" s="1661">
        <v>2.5</v>
      </c>
      <c r="G50" s="1594">
        <v>5</v>
      </c>
      <c r="H50" s="1595">
        <v>2.14</v>
      </c>
      <c r="I50" s="1596">
        <v>1.68</v>
      </c>
      <c r="J50" s="1756">
        <v>0.68</v>
      </c>
      <c r="K50" s="1673">
        <v>0.90666666666666673</v>
      </c>
      <c r="L50" s="1599"/>
      <c r="M50" s="1600"/>
      <c r="N50" s="1597">
        <v>2.8</v>
      </c>
      <c r="O50" s="1674">
        <v>1.6</v>
      </c>
      <c r="P50" s="1599"/>
      <c r="Q50" s="1600"/>
    </row>
    <row r="51" spans="2:17">
      <c r="B51" s="1718"/>
      <c r="C51" s="1449"/>
      <c r="D51" s="1717">
        <v>40</v>
      </c>
      <c r="E51" s="1719" t="s">
        <v>1305</v>
      </c>
      <c r="F51" s="1661">
        <v>3</v>
      </c>
      <c r="G51" s="1594">
        <v>6</v>
      </c>
      <c r="H51" s="1595">
        <v>2.48</v>
      </c>
      <c r="I51" s="1596">
        <v>1.95</v>
      </c>
      <c r="J51" s="1756">
        <v>0.73</v>
      </c>
      <c r="K51" s="1673">
        <v>0.97333333333333327</v>
      </c>
      <c r="L51" s="1599"/>
      <c r="M51" s="1600"/>
      <c r="N51" s="1597">
        <v>3.09</v>
      </c>
      <c r="O51" s="1674">
        <v>1.7657142857142856</v>
      </c>
      <c r="P51" s="1599"/>
      <c r="Q51" s="1600"/>
    </row>
    <row r="52" spans="2:17">
      <c r="B52" s="1718"/>
      <c r="C52" s="1449"/>
      <c r="D52" s="1717">
        <v>41</v>
      </c>
      <c r="E52" s="1724" t="s">
        <v>1305</v>
      </c>
      <c r="F52" s="1725">
        <v>3.5</v>
      </c>
      <c r="G52" s="1726">
        <v>7</v>
      </c>
      <c r="H52" s="1757">
        <v>2.8</v>
      </c>
      <c r="I52" s="1758">
        <v>2.2000000000000002</v>
      </c>
      <c r="J52" s="1759">
        <v>0.75700000000000001</v>
      </c>
      <c r="K52" s="1730">
        <v>1.0093333333333334</v>
      </c>
      <c r="L52" s="1441"/>
      <c r="M52" s="1731"/>
      <c r="N52" s="1760">
        <v>3.3</v>
      </c>
      <c r="O52" s="1761">
        <v>1.8857142857142857</v>
      </c>
      <c r="P52" s="1441"/>
      <c r="Q52" s="1731"/>
    </row>
    <row r="53" spans="2:17">
      <c r="B53" s="1718"/>
      <c r="C53" s="1449"/>
      <c r="D53" s="1717">
        <v>42</v>
      </c>
      <c r="E53" s="1719" t="s">
        <v>1306</v>
      </c>
      <c r="F53" s="1661">
        <v>1.5</v>
      </c>
      <c r="G53" s="1594">
        <v>3</v>
      </c>
      <c r="H53" s="1595">
        <v>1.52</v>
      </c>
      <c r="I53" s="1596">
        <v>1.19</v>
      </c>
      <c r="J53" s="1756">
        <v>0.98699999999999999</v>
      </c>
      <c r="K53" s="1673">
        <v>0.98699999999999999</v>
      </c>
      <c r="L53" s="1599"/>
      <c r="M53" s="1600"/>
      <c r="N53" s="1597">
        <v>2.39</v>
      </c>
      <c r="O53" s="1674">
        <v>1.3657142857142859</v>
      </c>
      <c r="P53" s="1599"/>
      <c r="Q53" s="1600"/>
    </row>
    <row r="54" spans="2:17">
      <c r="B54" s="1718"/>
      <c r="C54" s="1449"/>
      <c r="D54" s="1717">
        <v>43</v>
      </c>
      <c r="E54" s="1719" t="s">
        <v>1306</v>
      </c>
      <c r="F54" s="1661">
        <v>2</v>
      </c>
      <c r="G54" s="1594">
        <v>4</v>
      </c>
      <c r="H54" s="1595">
        <v>1.97</v>
      </c>
      <c r="I54" s="1596">
        <v>1.55</v>
      </c>
      <c r="J54" s="1756">
        <v>1.21</v>
      </c>
      <c r="K54" s="1673">
        <v>1.21</v>
      </c>
      <c r="L54" s="1599"/>
      <c r="M54" s="1600"/>
      <c r="N54" s="1597">
        <v>2.97</v>
      </c>
      <c r="O54" s="1674">
        <v>1.6971428571428573</v>
      </c>
      <c r="P54" s="1599"/>
      <c r="Q54" s="1600"/>
    </row>
    <row r="55" spans="2:17">
      <c r="B55" s="1718"/>
      <c r="C55" s="1449"/>
      <c r="D55" s="1717">
        <v>44</v>
      </c>
      <c r="E55" s="1719" t="s">
        <v>1306</v>
      </c>
      <c r="F55" s="1661">
        <v>2.5</v>
      </c>
      <c r="G55" s="1594">
        <v>5</v>
      </c>
      <c r="H55" s="1595">
        <v>2.39</v>
      </c>
      <c r="I55" s="1596">
        <v>1.88</v>
      </c>
      <c r="J55" s="1756">
        <v>1.39</v>
      </c>
      <c r="K55" s="1673">
        <v>1.39</v>
      </c>
      <c r="L55" s="1599"/>
      <c r="M55" s="1600"/>
      <c r="N55" s="1597">
        <v>3.46</v>
      </c>
      <c r="O55" s="1674">
        <v>1.9771428571428571</v>
      </c>
      <c r="P55" s="1599"/>
      <c r="Q55" s="1600"/>
    </row>
    <row r="56" spans="2:17">
      <c r="B56" s="1718"/>
      <c r="C56" s="1449"/>
      <c r="D56" s="1717">
        <v>45</v>
      </c>
      <c r="E56" s="1719" t="s">
        <v>1306</v>
      </c>
      <c r="F56" s="1661">
        <v>3</v>
      </c>
      <c r="G56" s="1594">
        <v>6</v>
      </c>
      <c r="H56" s="1595">
        <v>2.78</v>
      </c>
      <c r="I56" s="1596">
        <v>2.19</v>
      </c>
      <c r="J56" s="1756">
        <v>1.53</v>
      </c>
      <c r="K56" s="1673">
        <v>1.53</v>
      </c>
      <c r="L56" s="1599"/>
      <c r="M56" s="1600"/>
      <c r="N56" s="1597">
        <v>3.86</v>
      </c>
      <c r="O56" s="1674">
        <v>2.2057142857142855</v>
      </c>
      <c r="P56" s="1599"/>
      <c r="Q56" s="1600"/>
    </row>
    <row r="57" spans="2:17">
      <c r="B57" s="1718"/>
      <c r="C57" s="1449"/>
      <c r="D57" s="1717">
        <v>46</v>
      </c>
      <c r="E57" s="1724" t="s">
        <v>1306</v>
      </c>
      <c r="F57" s="1725">
        <v>3.5</v>
      </c>
      <c r="G57" s="1726">
        <v>7</v>
      </c>
      <c r="H57" s="1757">
        <v>3.15</v>
      </c>
      <c r="I57" s="1758">
        <v>2.4700000000000002</v>
      </c>
      <c r="J57" s="1759">
        <v>1.63</v>
      </c>
      <c r="K57" s="1730">
        <v>1.63</v>
      </c>
      <c r="L57" s="1441"/>
      <c r="M57" s="1731"/>
      <c r="N57" s="1760">
        <v>4.17</v>
      </c>
      <c r="O57" s="1761">
        <v>2.382857142857143</v>
      </c>
      <c r="P57" s="1441"/>
      <c r="Q57" s="1731"/>
    </row>
    <row r="58" spans="2:17">
      <c r="B58" s="1718"/>
      <c r="C58" s="1449"/>
      <c r="D58" s="1717">
        <v>47</v>
      </c>
      <c r="E58" s="1719" t="s">
        <v>1307</v>
      </c>
      <c r="F58" s="1661">
        <v>1.5</v>
      </c>
      <c r="G58" s="1594">
        <v>3</v>
      </c>
      <c r="H58" s="1595">
        <v>1.67</v>
      </c>
      <c r="I58" s="1596">
        <v>1.31</v>
      </c>
      <c r="J58" s="1756">
        <v>1.66</v>
      </c>
      <c r="K58" s="1673">
        <v>1.3279999999999998</v>
      </c>
      <c r="L58" s="1599"/>
      <c r="M58" s="1600"/>
      <c r="N58" s="1597">
        <v>2.81</v>
      </c>
      <c r="O58" s="1674">
        <v>1.6057142857142856</v>
      </c>
      <c r="P58" s="1599"/>
      <c r="Q58" s="1600"/>
    </row>
    <row r="59" spans="2:17">
      <c r="B59" s="1718"/>
      <c r="C59" s="1449"/>
      <c r="D59" s="1717">
        <v>48</v>
      </c>
      <c r="E59" s="1719" t="s">
        <v>1307</v>
      </c>
      <c r="F59" s="1661">
        <v>2</v>
      </c>
      <c r="G59" s="1594">
        <v>4</v>
      </c>
      <c r="H59" s="1595">
        <v>2.17</v>
      </c>
      <c r="I59" s="1596">
        <v>1.7</v>
      </c>
      <c r="J59" s="1756">
        <v>2.06</v>
      </c>
      <c r="K59" s="1673">
        <v>1.6480000000000001</v>
      </c>
      <c r="L59" s="1599"/>
      <c r="M59" s="1600"/>
      <c r="N59" s="1597">
        <v>3.52</v>
      </c>
      <c r="O59" s="1674">
        <v>2.0114285714285716</v>
      </c>
      <c r="P59" s="1599"/>
      <c r="Q59" s="1600"/>
    </row>
    <row r="60" spans="2:17">
      <c r="B60" s="1718"/>
      <c r="C60" s="1449"/>
      <c r="D60" s="1717">
        <v>49</v>
      </c>
      <c r="E60" s="1719" t="s">
        <v>1307</v>
      </c>
      <c r="F60" s="1661">
        <v>2.5</v>
      </c>
      <c r="G60" s="1594">
        <v>5</v>
      </c>
      <c r="H60" s="1595">
        <v>2.64</v>
      </c>
      <c r="I60" s="1596">
        <v>2.0699999999999998</v>
      </c>
      <c r="J60" s="1756">
        <v>2.4</v>
      </c>
      <c r="K60" s="1673">
        <v>1.92</v>
      </c>
      <c r="L60" s="1599"/>
      <c r="M60" s="1600"/>
      <c r="N60" s="1597">
        <v>4.12</v>
      </c>
      <c r="O60" s="1674">
        <v>2.3542857142857145</v>
      </c>
      <c r="P60" s="1599"/>
      <c r="Q60" s="1600"/>
    </row>
    <row r="61" spans="2:17">
      <c r="B61" s="1718"/>
      <c r="C61" s="1449"/>
      <c r="D61" s="1717">
        <v>50</v>
      </c>
      <c r="E61" s="1719" t="s">
        <v>1307</v>
      </c>
      <c r="F61" s="1661">
        <v>3</v>
      </c>
      <c r="G61" s="1594">
        <v>6</v>
      </c>
      <c r="H61" s="1595">
        <v>3.08</v>
      </c>
      <c r="I61" s="1596">
        <v>2.42</v>
      </c>
      <c r="J61" s="1756">
        <v>2.68</v>
      </c>
      <c r="K61" s="1673">
        <v>2.1440000000000001</v>
      </c>
      <c r="L61" s="1599"/>
      <c r="M61" s="1600"/>
      <c r="N61" s="1597">
        <v>4.63</v>
      </c>
      <c r="O61" s="1674">
        <v>2.6457142857142855</v>
      </c>
      <c r="P61" s="1599"/>
      <c r="Q61" s="1600"/>
    </row>
    <row r="62" spans="2:17">
      <c r="B62" s="1718"/>
      <c r="C62" s="1449"/>
      <c r="D62" s="1717">
        <v>51</v>
      </c>
      <c r="E62" s="1724" t="s">
        <v>1307</v>
      </c>
      <c r="F62" s="1725">
        <v>3.5</v>
      </c>
      <c r="G62" s="1726">
        <v>7</v>
      </c>
      <c r="H62" s="1757">
        <v>3.5</v>
      </c>
      <c r="I62" s="1758">
        <v>2.75</v>
      </c>
      <c r="J62" s="1759">
        <v>2.9</v>
      </c>
      <c r="K62" s="1730">
        <v>2.3199999999999998</v>
      </c>
      <c r="L62" s="1441"/>
      <c r="M62" s="1731"/>
      <c r="N62" s="1760">
        <v>5.04</v>
      </c>
      <c r="O62" s="1761">
        <v>2.88</v>
      </c>
      <c r="P62" s="1441"/>
      <c r="Q62" s="1731"/>
    </row>
    <row r="63" spans="2:17">
      <c r="B63" s="1718"/>
      <c r="C63" s="1449"/>
      <c r="D63" s="1717">
        <v>52</v>
      </c>
      <c r="E63" s="1732" t="s">
        <v>1308</v>
      </c>
      <c r="F63" s="1667">
        <v>2</v>
      </c>
      <c r="G63" s="1602">
        <v>4</v>
      </c>
      <c r="H63" s="1603">
        <v>1.97</v>
      </c>
      <c r="I63" s="1604">
        <v>1.55</v>
      </c>
      <c r="J63" s="1412">
        <v>0.69</v>
      </c>
      <c r="K63" s="1675">
        <v>0.92</v>
      </c>
      <c r="L63" s="1413"/>
      <c r="M63" s="1414"/>
      <c r="N63" s="1412">
        <v>3.46</v>
      </c>
      <c r="O63" s="1676">
        <v>1.73</v>
      </c>
      <c r="P63" s="1413"/>
      <c r="Q63" s="1414"/>
    </row>
    <row r="64" spans="2:17">
      <c r="B64" s="1718"/>
      <c r="C64" s="1449"/>
      <c r="D64" s="1717">
        <v>53</v>
      </c>
      <c r="E64" s="1732" t="s">
        <v>1308</v>
      </c>
      <c r="F64" s="1667">
        <v>2.5</v>
      </c>
      <c r="G64" s="1602">
        <v>5</v>
      </c>
      <c r="H64" s="1603">
        <v>2.39</v>
      </c>
      <c r="I64" s="1604">
        <v>1.88</v>
      </c>
      <c r="J64" s="1412">
        <v>0.77800000000000002</v>
      </c>
      <c r="K64" s="1675">
        <v>1.0373333333333334</v>
      </c>
      <c r="L64" s="1413"/>
      <c r="M64" s="1414"/>
      <c r="N64" s="1412">
        <v>4.0199999999999996</v>
      </c>
      <c r="O64" s="1676">
        <v>2.0099999999999998</v>
      </c>
      <c r="P64" s="1413"/>
      <c r="Q64" s="1414"/>
    </row>
    <row r="65" spans="2:17">
      <c r="B65" s="1718"/>
      <c r="C65" s="1449"/>
      <c r="D65" s="1717">
        <v>54</v>
      </c>
      <c r="E65" s="1732" t="s">
        <v>1308</v>
      </c>
      <c r="F65" s="1667">
        <v>3</v>
      </c>
      <c r="G65" s="1602">
        <v>6</v>
      </c>
      <c r="H65" s="1603">
        <v>2.78</v>
      </c>
      <c r="I65" s="1604">
        <v>2.19</v>
      </c>
      <c r="J65" s="1412">
        <v>0.84</v>
      </c>
      <c r="K65" s="1675">
        <v>1.1200000000000001</v>
      </c>
      <c r="L65" s="1413"/>
      <c r="M65" s="1414"/>
      <c r="N65" s="1412">
        <v>4.47</v>
      </c>
      <c r="O65" s="1676">
        <v>2.2349999999999999</v>
      </c>
      <c r="P65" s="1413"/>
      <c r="Q65" s="1414"/>
    </row>
    <row r="66" spans="2:17">
      <c r="B66" s="1718"/>
      <c r="C66" s="1449"/>
      <c r="D66" s="1717">
        <v>55</v>
      </c>
      <c r="E66" s="1732" t="s">
        <v>1308</v>
      </c>
      <c r="F66" s="1667">
        <v>3.5</v>
      </c>
      <c r="G66" s="1602">
        <v>7</v>
      </c>
      <c r="H66" s="1603">
        <v>3.15</v>
      </c>
      <c r="I66" s="1604">
        <v>2.4700000000000002</v>
      </c>
      <c r="J66" s="1412">
        <v>0.876</v>
      </c>
      <c r="K66" s="1675">
        <v>1.1679999999999999</v>
      </c>
      <c r="L66" s="1413"/>
      <c r="M66" s="1414"/>
      <c r="N66" s="1412">
        <v>4.82</v>
      </c>
      <c r="O66" s="1676">
        <v>2.41</v>
      </c>
      <c r="P66" s="1413"/>
      <c r="Q66" s="1414"/>
    </row>
    <row r="67" spans="2:17">
      <c r="B67" s="1718"/>
      <c r="C67" s="1449"/>
      <c r="D67" s="1717">
        <v>56</v>
      </c>
      <c r="E67" s="1733" t="s">
        <v>1308</v>
      </c>
      <c r="F67" s="1734">
        <v>4</v>
      </c>
      <c r="G67" s="1735">
        <v>8</v>
      </c>
      <c r="H67" s="1754">
        <v>3.48</v>
      </c>
      <c r="I67" s="1762">
        <v>2.73</v>
      </c>
      <c r="J67" s="1346">
        <v>0.89200000000000002</v>
      </c>
      <c r="K67" s="1739">
        <v>1.1893333333333334</v>
      </c>
      <c r="L67" s="1347"/>
      <c r="M67" s="1348"/>
      <c r="N67" s="1346">
        <v>5.07</v>
      </c>
      <c r="O67" s="1763">
        <v>2.5350000000000001</v>
      </c>
      <c r="P67" s="1347"/>
      <c r="Q67" s="1348"/>
    </row>
    <row r="68" spans="2:17">
      <c r="B68" s="1718"/>
      <c r="C68" s="1449"/>
      <c r="D68" s="1717">
        <v>57</v>
      </c>
      <c r="E68" s="1732" t="s">
        <v>1309</v>
      </c>
      <c r="F68" s="1667">
        <v>2</v>
      </c>
      <c r="G68" s="1602">
        <v>4</v>
      </c>
      <c r="H68" s="1603">
        <v>2.17</v>
      </c>
      <c r="I68" s="1604">
        <v>1.7</v>
      </c>
      <c r="J68" s="1412">
        <v>1.37</v>
      </c>
      <c r="K68" s="1675">
        <v>1.37</v>
      </c>
      <c r="L68" s="1413"/>
      <c r="M68" s="1414"/>
      <c r="N68" s="1412">
        <v>4.18</v>
      </c>
      <c r="O68" s="1676">
        <v>2.09</v>
      </c>
      <c r="P68" s="1413"/>
      <c r="Q68" s="1414"/>
    </row>
    <row r="69" spans="2:17">
      <c r="B69" s="1718"/>
      <c r="C69" s="1449"/>
      <c r="D69" s="1717">
        <v>58</v>
      </c>
      <c r="E69" s="1732" t="s">
        <v>1309</v>
      </c>
      <c r="F69" s="1667">
        <v>2.5</v>
      </c>
      <c r="G69" s="1602">
        <v>5</v>
      </c>
      <c r="H69" s="1603">
        <v>2.64</v>
      </c>
      <c r="I69" s="1604">
        <v>2.0699999999999998</v>
      </c>
      <c r="J69" s="1412">
        <v>1.58</v>
      </c>
      <c r="K69" s="1675">
        <v>1.58</v>
      </c>
      <c r="L69" s="1413"/>
      <c r="M69" s="1414"/>
      <c r="N69" s="1412">
        <v>4.9000000000000004</v>
      </c>
      <c r="O69" s="1676">
        <v>2.4500000000000002</v>
      </c>
      <c r="P69" s="1413"/>
      <c r="Q69" s="1414"/>
    </row>
    <row r="70" spans="2:17">
      <c r="B70" s="1718"/>
      <c r="C70" s="1449"/>
      <c r="D70" s="1717">
        <v>59</v>
      </c>
      <c r="E70" s="1732" t="s">
        <v>1309</v>
      </c>
      <c r="F70" s="1667">
        <v>3</v>
      </c>
      <c r="G70" s="1602">
        <v>6</v>
      </c>
      <c r="H70" s="1603">
        <v>3.08</v>
      </c>
      <c r="I70" s="1604">
        <v>2.42</v>
      </c>
      <c r="J70" s="1412">
        <v>1.75</v>
      </c>
      <c r="K70" s="1675">
        <v>1.75</v>
      </c>
      <c r="L70" s="1413"/>
      <c r="M70" s="1414"/>
      <c r="N70" s="1412">
        <v>5.5</v>
      </c>
      <c r="O70" s="1676">
        <v>2.75</v>
      </c>
      <c r="P70" s="1413"/>
      <c r="Q70" s="1414"/>
    </row>
    <row r="71" spans="2:17">
      <c r="B71" s="1718"/>
      <c r="C71" s="1449"/>
      <c r="D71" s="1717">
        <v>60</v>
      </c>
      <c r="E71" s="1732" t="s">
        <v>1309</v>
      </c>
      <c r="F71" s="1667">
        <v>3.5</v>
      </c>
      <c r="G71" s="1602">
        <v>7</v>
      </c>
      <c r="H71" s="1603">
        <v>3.5</v>
      </c>
      <c r="I71" s="1604">
        <v>2.75</v>
      </c>
      <c r="J71" s="1412">
        <v>1.87</v>
      </c>
      <c r="K71" s="1675">
        <v>1.87</v>
      </c>
      <c r="L71" s="1413"/>
      <c r="M71" s="1414"/>
      <c r="N71" s="1412">
        <v>5.99</v>
      </c>
      <c r="O71" s="1676">
        <v>2.9950000000000001</v>
      </c>
      <c r="P71" s="1413"/>
      <c r="Q71" s="1414"/>
    </row>
    <row r="72" spans="2:17">
      <c r="B72" s="1718"/>
      <c r="C72" s="1449"/>
      <c r="D72" s="1717">
        <v>61</v>
      </c>
      <c r="E72" s="1733" t="s">
        <v>1309</v>
      </c>
      <c r="F72" s="1734">
        <v>4</v>
      </c>
      <c r="G72" s="1735">
        <v>8</v>
      </c>
      <c r="H72" s="1754">
        <v>3.88</v>
      </c>
      <c r="I72" s="1762">
        <v>3.05</v>
      </c>
      <c r="J72" s="1346">
        <v>1.96</v>
      </c>
      <c r="K72" s="1739">
        <v>1.96</v>
      </c>
      <c r="L72" s="1347"/>
      <c r="M72" s="1348"/>
      <c r="N72" s="1346">
        <v>6.37</v>
      </c>
      <c r="O72" s="1763">
        <v>3.1850000000000001</v>
      </c>
      <c r="P72" s="1347"/>
      <c r="Q72" s="1348"/>
    </row>
    <row r="73" spans="2:17">
      <c r="B73" s="1718"/>
      <c r="C73" s="1449" t="s">
        <v>893</v>
      </c>
      <c r="D73" s="1717">
        <v>62</v>
      </c>
      <c r="E73" s="1744" t="s">
        <v>1310</v>
      </c>
      <c r="F73" s="1745">
        <v>1.5</v>
      </c>
      <c r="G73" s="1746">
        <v>3</v>
      </c>
      <c r="H73" s="1764">
        <v>1.82</v>
      </c>
      <c r="I73" s="1765">
        <v>1.43</v>
      </c>
      <c r="J73" s="1766">
        <v>1.87</v>
      </c>
      <c r="K73" s="1750">
        <v>1.496</v>
      </c>
      <c r="L73" s="1751"/>
      <c r="M73" s="1752"/>
      <c r="N73" s="1766">
        <v>3.9</v>
      </c>
      <c r="O73" s="1767">
        <v>1.95</v>
      </c>
      <c r="P73" s="1751"/>
      <c r="Q73" s="1752"/>
    </row>
    <row r="74" spans="2:17">
      <c r="B74" s="1718"/>
      <c r="C74" s="1449"/>
      <c r="D74" s="1717">
        <v>63</v>
      </c>
      <c r="E74" s="1732" t="s">
        <v>1310</v>
      </c>
      <c r="F74" s="1667">
        <v>2</v>
      </c>
      <c r="G74" s="1602">
        <v>4</v>
      </c>
      <c r="H74" s="1603">
        <v>2.37</v>
      </c>
      <c r="I74" s="1604">
        <v>1.86</v>
      </c>
      <c r="J74" s="1412">
        <v>2.33</v>
      </c>
      <c r="K74" s="1675">
        <v>1.8640000000000001</v>
      </c>
      <c r="L74" s="1413"/>
      <c r="M74" s="1414"/>
      <c r="N74" s="1412">
        <v>4.9000000000000004</v>
      </c>
      <c r="O74" s="1676">
        <v>2.4500000000000002</v>
      </c>
      <c r="P74" s="1413"/>
      <c r="Q74" s="1414"/>
    </row>
    <row r="75" spans="2:17">
      <c r="B75" s="1718"/>
      <c r="C75" s="1449"/>
      <c r="D75" s="1717">
        <v>64</v>
      </c>
      <c r="E75" s="1732" t="s">
        <v>1310</v>
      </c>
      <c r="F75" s="1667">
        <v>2.5</v>
      </c>
      <c r="G75" s="1602">
        <v>5</v>
      </c>
      <c r="H75" s="1603">
        <v>2.89</v>
      </c>
      <c r="I75" s="1604">
        <v>2.27</v>
      </c>
      <c r="J75" s="1412">
        <v>2.72</v>
      </c>
      <c r="K75" s="1675">
        <v>2.1760000000000002</v>
      </c>
      <c r="L75" s="1413"/>
      <c r="M75" s="1414"/>
      <c r="N75" s="1412">
        <v>5.78</v>
      </c>
      <c r="O75" s="1676">
        <v>2.89</v>
      </c>
      <c r="P75" s="1413"/>
      <c r="Q75" s="1414"/>
    </row>
    <row r="76" spans="2:17">
      <c r="B76" s="1718"/>
      <c r="C76" s="1449"/>
      <c r="D76" s="1717">
        <v>65</v>
      </c>
      <c r="E76" s="1732" t="s">
        <v>1310</v>
      </c>
      <c r="F76" s="1667">
        <v>3</v>
      </c>
      <c r="G76" s="1602">
        <v>6</v>
      </c>
      <c r="H76" s="1603">
        <v>3.38</v>
      </c>
      <c r="I76" s="1604">
        <v>2.66</v>
      </c>
      <c r="J76" s="1412">
        <v>3.04</v>
      </c>
      <c r="K76" s="1675">
        <v>2.4319999999999999</v>
      </c>
      <c r="L76" s="1413"/>
      <c r="M76" s="1414"/>
      <c r="N76" s="1412">
        <v>6.53</v>
      </c>
      <c r="O76" s="1676">
        <v>3.2650000000000001</v>
      </c>
      <c r="P76" s="1413"/>
      <c r="Q76" s="1414"/>
    </row>
    <row r="77" spans="2:17">
      <c r="B77" s="1718"/>
      <c r="C77" s="1449"/>
      <c r="D77" s="1717">
        <v>66</v>
      </c>
      <c r="E77" s="1732" t="s">
        <v>1310</v>
      </c>
      <c r="F77" s="1667">
        <v>3.5</v>
      </c>
      <c r="G77" s="1602">
        <v>7</v>
      </c>
      <c r="H77" s="1603">
        <v>3.85</v>
      </c>
      <c r="I77" s="1604">
        <v>3.02</v>
      </c>
      <c r="J77" s="1412">
        <v>3.3</v>
      </c>
      <c r="K77" s="1675">
        <v>2.64</v>
      </c>
      <c r="L77" s="1413"/>
      <c r="M77" s="1414"/>
      <c r="N77" s="1412">
        <v>7.15</v>
      </c>
      <c r="O77" s="1676">
        <v>3.5750000000000002</v>
      </c>
      <c r="P77" s="1413"/>
      <c r="Q77" s="1414"/>
    </row>
    <row r="78" spans="2:17">
      <c r="B78" s="1718"/>
      <c r="C78" s="1449"/>
      <c r="D78" s="1717">
        <v>67</v>
      </c>
      <c r="E78" s="1733" t="s">
        <v>1310</v>
      </c>
      <c r="F78" s="1734">
        <v>4</v>
      </c>
      <c r="G78" s="1735">
        <v>8</v>
      </c>
      <c r="H78" s="1754">
        <v>4.28</v>
      </c>
      <c r="I78" s="1762">
        <v>3.36</v>
      </c>
      <c r="J78" s="1346">
        <v>3.51</v>
      </c>
      <c r="K78" s="1739">
        <v>2.8079999999999998</v>
      </c>
      <c r="L78" s="1347"/>
      <c r="M78" s="1348"/>
      <c r="N78" s="1346">
        <v>7.67</v>
      </c>
      <c r="O78" s="1763">
        <v>3.835</v>
      </c>
      <c r="P78" s="1347"/>
      <c r="Q78" s="1348"/>
    </row>
    <row r="79" spans="2:17">
      <c r="B79" s="1718"/>
      <c r="C79" s="1449" t="s">
        <v>893</v>
      </c>
      <c r="D79" s="1717">
        <v>68</v>
      </c>
      <c r="E79" s="1740" t="s">
        <v>1311</v>
      </c>
      <c r="F79" s="1677">
        <v>1.5</v>
      </c>
      <c r="G79" s="1639">
        <v>3</v>
      </c>
      <c r="H79" s="1640">
        <v>1.91</v>
      </c>
      <c r="I79" s="1641">
        <v>1.5</v>
      </c>
      <c r="J79" s="1642">
        <v>2.4300000000000002</v>
      </c>
      <c r="K79" s="1678">
        <v>1.735714285714286</v>
      </c>
      <c r="L79" s="1644"/>
      <c r="M79" s="1645"/>
      <c r="N79" s="1642">
        <v>4.2300000000000004</v>
      </c>
      <c r="O79" s="1679">
        <v>2.1150000000000002</v>
      </c>
      <c r="P79" s="1644"/>
      <c r="Q79" s="1645"/>
    </row>
    <row r="80" spans="2:17">
      <c r="B80" s="1718"/>
      <c r="C80" s="1449" t="s">
        <v>893</v>
      </c>
      <c r="D80" s="1717">
        <v>69</v>
      </c>
      <c r="E80" s="1740" t="s">
        <v>1311</v>
      </c>
      <c r="F80" s="1677">
        <v>2</v>
      </c>
      <c r="G80" s="1639">
        <v>4</v>
      </c>
      <c r="H80" s="1640">
        <v>2.4900000000000002</v>
      </c>
      <c r="I80" s="1641">
        <v>1.95</v>
      </c>
      <c r="J80" s="1642">
        <v>3.04</v>
      </c>
      <c r="K80" s="1678">
        <v>2.1714285714285717</v>
      </c>
      <c r="L80" s="1644"/>
      <c r="M80" s="1645"/>
      <c r="N80" s="1642">
        <v>5.34</v>
      </c>
      <c r="O80" s="1679">
        <v>2.67</v>
      </c>
      <c r="P80" s="1644"/>
      <c r="Q80" s="1645"/>
    </row>
    <row r="81" spans="2:17">
      <c r="B81" s="1718"/>
      <c r="C81" s="1449" t="s">
        <v>893</v>
      </c>
      <c r="D81" s="1717">
        <v>70</v>
      </c>
      <c r="E81" s="1744" t="s">
        <v>1311</v>
      </c>
      <c r="F81" s="1745">
        <v>2.5</v>
      </c>
      <c r="G81" s="1746">
        <v>5</v>
      </c>
      <c r="H81" s="1764">
        <v>3.04</v>
      </c>
      <c r="I81" s="1765">
        <v>2.39</v>
      </c>
      <c r="J81" s="1766">
        <v>3.57</v>
      </c>
      <c r="K81" s="1750">
        <v>2.5499999999999998</v>
      </c>
      <c r="L81" s="1751"/>
      <c r="M81" s="1752"/>
      <c r="N81" s="1766">
        <v>6.31</v>
      </c>
      <c r="O81" s="1767">
        <v>3.1549999999999998</v>
      </c>
      <c r="P81" s="1751"/>
      <c r="Q81" s="1752"/>
    </row>
    <row r="82" spans="2:17" ht="15.75">
      <c r="B82" s="1718"/>
      <c r="C82" s="1652"/>
      <c r="D82" s="1717">
        <v>71</v>
      </c>
      <c r="E82" s="1732" t="s">
        <v>1312</v>
      </c>
      <c r="F82" s="1667">
        <v>2</v>
      </c>
      <c r="G82" s="1602">
        <v>4</v>
      </c>
      <c r="H82" s="1603">
        <v>2.57</v>
      </c>
      <c r="I82" s="1604">
        <v>2.02</v>
      </c>
      <c r="J82" s="1412">
        <v>3.58</v>
      </c>
      <c r="K82" s="1675">
        <v>2.3866666666666667</v>
      </c>
      <c r="L82" s="1413"/>
      <c r="M82" s="1414"/>
      <c r="N82" s="1412">
        <v>5.63</v>
      </c>
      <c r="O82" s="1675">
        <v>2.8149999999999999</v>
      </c>
      <c r="P82" s="1413"/>
      <c r="Q82" s="1414"/>
    </row>
    <row r="83" spans="2:17" ht="15.75">
      <c r="B83" s="1718"/>
      <c r="C83" s="1652"/>
      <c r="D83" s="1717">
        <v>72</v>
      </c>
      <c r="E83" s="1732" t="s">
        <v>1312</v>
      </c>
      <c r="F83" s="1667">
        <v>2.5</v>
      </c>
      <c r="G83" s="1602">
        <v>5</v>
      </c>
      <c r="H83" s="1603">
        <v>3.14</v>
      </c>
      <c r="I83" s="1604">
        <v>2.4700000000000002</v>
      </c>
      <c r="J83" s="1412">
        <v>4.22</v>
      </c>
      <c r="K83" s="1675">
        <v>2.813333333333333</v>
      </c>
      <c r="L83" s="1413"/>
      <c r="M83" s="1414"/>
      <c r="N83" s="1412">
        <v>6.66</v>
      </c>
      <c r="O83" s="1675">
        <v>3.33</v>
      </c>
      <c r="P83" s="1413"/>
      <c r="Q83" s="1414"/>
    </row>
    <row r="84" spans="2:17" ht="15.75">
      <c r="B84" s="1718"/>
      <c r="C84" s="1652"/>
      <c r="D84" s="1717">
        <v>73</v>
      </c>
      <c r="E84" s="1732" t="s">
        <v>1312</v>
      </c>
      <c r="F84" s="1667">
        <v>3</v>
      </c>
      <c r="G84" s="1602">
        <v>6</v>
      </c>
      <c r="H84" s="1603">
        <v>3.68</v>
      </c>
      <c r="I84" s="1604">
        <v>2.89</v>
      </c>
      <c r="J84" s="1412">
        <v>4.76</v>
      </c>
      <c r="K84" s="1675">
        <v>3.1733333333333333</v>
      </c>
      <c r="L84" s="1413"/>
      <c r="M84" s="1414"/>
      <c r="N84" s="1412">
        <v>7.56</v>
      </c>
      <c r="O84" s="1675">
        <v>3.78</v>
      </c>
      <c r="P84" s="1413"/>
      <c r="Q84" s="1414"/>
    </row>
    <row r="85" spans="2:17" ht="15.75">
      <c r="B85" s="1718"/>
      <c r="C85" s="1652"/>
      <c r="D85" s="1717">
        <v>74</v>
      </c>
      <c r="E85" s="1732" t="s">
        <v>1312</v>
      </c>
      <c r="F85" s="1667">
        <v>3.5</v>
      </c>
      <c r="G85" s="1602">
        <v>7</v>
      </c>
      <c r="H85" s="1603">
        <v>4.2</v>
      </c>
      <c r="I85" s="1604">
        <v>3.3</v>
      </c>
      <c r="J85" s="1412">
        <v>5.22</v>
      </c>
      <c r="K85" s="1675">
        <v>3.48</v>
      </c>
      <c r="L85" s="1413"/>
      <c r="M85" s="1414"/>
      <c r="N85" s="1412">
        <v>8.32</v>
      </c>
      <c r="O85" s="1675">
        <v>4.16</v>
      </c>
      <c r="P85" s="1413"/>
      <c r="Q85" s="1414"/>
    </row>
    <row r="86" spans="2:17" ht="15.75">
      <c r="B86" s="1718"/>
      <c r="C86" s="1652"/>
      <c r="D86" s="1717">
        <v>75</v>
      </c>
      <c r="E86" s="1733" t="s">
        <v>1312</v>
      </c>
      <c r="F86" s="1734">
        <v>4</v>
      </c>
      <c r="G86" s="1735">
        <v>8</v>
      </c>
      <c r="H86" s="1754">
        <v>4.68</v>
      </c>
      <c r="I86" s="1762">
        <v>3.68</v>
      </c>
      <c r="J86" s="1346">
        <v>5.59</v>
      </c>
      <c r="K86" s="1739">
        <v>3.7266666666666666</v>
      </c>
      <c r="L86" s="1347"/>
      <c r="M86" s="1348"/>
      <c r="N86" s="1346">
        <v>8.9700000000000006</v>
      </c>
      <c r="O86" s="1739">
        <v>4.4850000000000003</v>
      </c>
      <c r="P86" s="1347"/>
      <c r="Q86" s="1348"/>
    </row>
    <row r="87" spans="2:17">
      <c r="B87" s="1718"/>
      <c r="C87" s="1768" t="s">
        <v>894</v>
      </c>
      <c r="D87" s="1717">
        <v>76</v>
      </c>
      <c r="E87" s="1719" t="s">
        <v>1313</v>
      </c>
      <c r="F87" s="1661">
        <v>2</v>
      </c>
      <c r="G87" s="1594">
        <v>4</v>
      </c>
      <c r="H87" s="1595">
        <v>2.25</v>
      </c>
      <c r="I87" s="1596">
        <v>1.77</v>
      </c>
      <c r="J87" s="1597">
        <v>1.44</v>
      </c>
      <c r="K87" s="1673">
        <v>1.44</v>
      </c>
      <c r="L87" s="1599"/>
      <c r="M87" s="1600"/>
      <c r="N87" s="1597">
        <v>4.74</v>
      </c>
      <c r="O87" s="1674">
        <v>2.2571428571428571</v>
      </c>
      <c r="P87" s="1599"/>
      <c r="Q87" s="1600"/>
    </row>
    <row r="88" spans="2:17">
      <c r="B88" s="1718"/>
      <c r="C88" s="1768" t="s">
        <v>894</v>
      </c>
      <c r="D88" s="1717">
        <v>77</v>
      </c>
      <c r="E88" s="1719" t="s">
        <v>1313</v>
      </c>
      <c r="F88" s="1661">
        <v>2.5</v>
      </c>
      <c r="G88" s="1594">
        <v>5</v>
      </c>
      <c r="H88" s="1595">
        <v>2.74</v>
      </c>
      <c r="I88" s="1596">
        <v>2.15</v>
      </c>
      <c r="J88" s="1597">
        <v>1.66</v>
      </c>
      <c r="K88" s="1673">
        <v>1.66</v>
      </c>
      <c r="L88" s="1599"/>
      <c r="M88" s="1600"/>
      <c r="N88" s="1597">
        <v>5.56</v>
      </c>
      <c r="O88" s="1674">
        <v>2.6476190476190475</v>
      </c>
      <c r="P88" s="1599"/>
      <c r="Q88" s="1600"/>
    </row>
    <row r="89" spans="2:17">
      <c r="B89" s="1718"/>
      <c r="C89" s="1768" t="s">
        <v>894</v>
      </c>
      <c r="D89" s="1717">
        <v>78</v>
      </c>
      <c r="E89" s="1719" t="s">
        <v>1313</v>
      </c>
      <c r="F89" s="1661">
        <v>3</v>
      </c>
      <c r="G89" s="1594">
        <v>6</v>
      </c>
      <c r="H89" s="1595">
        <v>3.2</v>
      </c>
      <c r="I89" s="1596">
        <v>2.52</v>
      </c>
      <c r="J89" s="1597">
        <v>1.84</v>
      </c>
      <c r="K89" s="1673">
        <v>1.84</v>
      </c>
      <c r="L89" s="1599"/>
      <c r="M89" s="1600"/>
      <c r="N89" s="1597">
        <v>6.26</v>
      </c>
      <c r="O89" s="1674">
        <v>2.9809523809523806</v>
      </c>
      <c r="P89" s="1599"/>
      <c r="Q89" s="1600"/>
    </row>
    <row r="90" spans="2:17">
      <c r="B90" s="1718"/>
      <c r="C90" s="1768" t="s">
        <v>894</v>
      </c>
      <c r="D90" s="1717">
        <v>79</v>
      </c>
      <c r="E90" s="1719" t="s">
        <v>1313</v>
      </c>
      <c r="F90" s="1661">
        <v>3.5</v>
      </c>
      <c r="G90" s="1594">
        <v>7</v>
      </c>
      <c r="H90" s="1595">
        <v>3.64</v>
      </c>
      <c r="I90" s="1596">
        <v>2.86</v>
      </c>
      <c r="J90" s="1597">
        <v>1.97</v>
      </c>
      <c r="K90" s="1673">
        <v>1.97</v>
      </c>
      <c r="L90" s="1599"/>
      <c r="M90" s="1600"/>
      <c r="N90" s="1597">
        <v>6.83</v>
      </c>
      <c r="O90" s="1674">
        <v>3.2523809523809524</v>
      </c>
      <c r="P90" s="1599"/>
      <c r="Q90" s="1600"/>
    </row>
    <row r="91" spans="2:17">
      <c r="B91" s="1718"/>
      <c r="C91" s="1768" t="s">
        <v>894</v>
      </c>
      <c r="D91" s="1717">
        <v>80</v>
      </c>
      <c r="E91" s="1724" t="s">
        <v>1313</v>
      </c>
      <c r="F91" s="1725">
        <v>4</v>
      </c>
      <c r="G91" s="1726">
        <v>8</v>
      </c>
      <c r="H91" s="1757">
        <v>4.04</v>
      </c>
      <c r="I91" s="1758">
        <v>3.17</v>
      </c>
      <c r="J91" s="1760">
        <v>2.06</v>
      </c>
      <c r="K91" s="1730">
        <v>2.06</v>
      </c>
      <c r="L91" s="1441"/>
      <c r="M91" s="1731"/>
      <c r="N91" s="1760">
        <v>7.29</v>
      </c>
      <c r="O91" s="1761">
        <v>3.4714285714285711</v>
      </c>
      <c r="P91" s="1441"/>
      <c r="Q91" s="1731"/>
    </row>
    <row r="92" spans="2:17">
      <c r="B92" s="1718"/>
      <c r="C92" s="1768" t="s">
        <v>894</v>
      </c>
      <c r="D92" s="1717">
        <v>81</v>
      </c>
      <c r="E92" s="1719" t="s">
        <v>1314</v>
      </c>
      <c r="F92" s="1661">
        <v>2</v>
      </c>
      <c r="G92" s="1594">
        <v>4</v>
      </c>
      <c r="H92" s="1595">
        <v>2.65</v>
      </c>
      <c r="I92" s="1596">
        <v>2.08</v>
      </c>
      <c r="J92" s="1597">
        <v>3.74</v>
      </c>
      <c r="K92" s="1673">
        <v>2.4933333333333336</v>
      </c>
      <c r="L92" s="1599"/>
      <c r="M92" s="1600"/>
      <c r="N92" s="1597">
        <v>6.34</v>
      </c>
      <c r="O92" s="1674">
        <v>3.019047619047619</v>
      </c>
      <c r="P92" s="1599"/>
      <c r="Q92" s="1600"/>
    </row>
    <row r="93" spans="2:17">
      <c r="B93" s="1718"/>
      <c r="C93" s="1768" t="s">
        <v>894</v>
      </c>
      <c r="D93" s="1717">
        <v>82</v>
      </c>
      <c r="E93" s="1719" t="s">
        <v>1314</v>
      </c>
      <c r="F93" s="1661">
        <v>2.5</v>
      </c>
      <c r="G93" s="1594">
        <v>5</v>
      </c>
      <c r="H93" s="1595">
        <v>3.24</v>
      </c>
      <c r="I93" s="1596">
        <v>2.54</v>
      </c>
      <c r="J93" s="1597">
        <v>4.41</v>
      </c>
      <c r="K93" s="1673">
        <v>2.94</v>
      </c>
      <c r="L93" s="1599"/>
      <c r="M93" s="1600"/>
      <c r="N93" s="1597">
        <v>7.52</v>
      </c>
      <c r="O93" s="1674">
        <v>3.5809523809523807</v>
      </c>
      <c r="P93" s="1599"/>
      <c r="Q93" s="1600"/>
    </row>
    <row r="94" spans="2:17">
      <c r="B94" s="1718"/>
      <c r="C94" s="1768" t="s">
        <v>894</v>
      </c>
      <c r="D94" s="1717">
        <v>83</v>
      </c>
      <c r="E94" s="1719" t="s">
        <v>1314</v>
      </c>
      <c r="F94" s="1661">
        <v>3</v>
      </c>
      <c r="G94" s="1594">
        <v>6</v>
      </c>
      <c r="H94" s="1595">
        <v>3.8</v>
      </c>
      <c r="I94" s="1596">
        <v>2.99</v>
      </c>
      <c r="J94" s="1597">
        <v>4.9800000000000004</v>
      </c>
      <c r="K94" s="1673">
        <v>3.32</v>
      </c>
      <c r="L94" s="1599"/>
      <c r="M94" s="1600"/>
      <c r="N94" s="1597">
        <v>8.5500000000000007</v>
      </c>
      <c r="O94" s="1674">
        <v>4.0714285714285712</v>
      </c>
      <c r="P94" s="1599"/>
      <c r="Q94" s="1600"/>
    </row>
    <row r="95" spans="2:17">
      <c r="B95" s="1718"/>
      <c r="C95" s="1768" t="s">
        <v>894</v>
      </c>
      <c r="D95" s="1717">
        <v>84</v>
      </c>
      <c r="E95" s="1719" t="s">
        <v>1314</v>
      </c>
      <c r="F95" s="1661">
        <v>3.5</v>
      </c>
      <c r="G95" s="1594">
        <v>7</v>
      </c>
      <c r="H95" s="1595">
        <v>4.34</v>
      </c>
      <c r="I95" s="1596">
        <v>3.41</v>
      </c>
      <c r="J95" s="1597">
        <v>5.46</v>
      </c>
      <c r="K95" s="1673">
        <v>3.64</v>
      </c>
      <c r="L95" s="1599"/>
      <c r="M95" s="1600"/>
      <c r="N95" s="1597">
        <v>9.43</v>
      </c>
      <c r="O95" s="1674">
        <v>4.4904761904761905</v>
      </c>
      <c r="P95" s="1599"/>
      <c r="Q95" s="1600"/>
    </row>
    <row r="96" spans="2:17">
      <c r="B96" s="1718"/>
      <c r="C96" s="1768" t="s">
        <v>894</v>
      </c>
      <c r="D96" s="1717">
        <v>85</v>
      </c>
      <c r="E96" s="1724" t="s">
        <v>1314</v>
      </c>
      <c r="F96" s="1725">
        <v>4</v>
      </c>
      <c r="G96" s="1726">
        <v>8</v>
      </c>
      <c r="H96" s="1757">
        <v>4.84</v>
      </c>
      <c r="I96" s="1758">
        <v>3.8</v>
      </c>
      <c r="J96" s="1760">
        <v>5.87</v>
      </c>
      <c r="K96" s="1730">
        <v>3.9133333333333336</v>
      </c>
      <c r="L96" s="1441"/>
      <c r="M96" s="1731"/>
      <c r="N96" s="1760">
        <v>10.19</v>
      </c>
      <c r="O96" s="1761">
        <v>4.852380952380952</v>
      </c>
      <c r="P96" s="1441"/>
      <c r="Q96" s="1731"/>
    </row>
    <row r="97" spans="2:30" ht="15.75">
      <c r="B97" s="1718"/>
      <c r="C97" s="1652"/>
      <c r="D97" s="1717">
        <v>86</v>
      </c>
      <c r="E97" s="1732" t="s">
        <v>1315</v>
      </c>
      <c r="F97" s="1667">
        <v>2</v>
      </c>
      <c r="G97" s="1602">
        <v>4</v>
      </c>
      <c r="H97" s="1603">
        <v>2.37</v>
      </c>
      <c r="I97" s="1604">
        <v>1.86</v>
      </c>
      <c r="J97" s="1412">
        <v>1.54</v>
      </c>
      <c r="K97" s="1675">
        <v>1.54</v>
      </c>
      <c r="L97" s="1413"/>
      <c r="M97" s="1414"/>
      <c r="N97" s="1412">
        <v>5.66</v>
      </c>
      <c r="O97" s="1676">
        <v>2.5155555555555558</v>
      </c>
      <c r="P97" s="1413"/>
      <c r="Q97" s="1414"/>
    </row>
    <row r="98" spans="2:30" ht="15.75">
      <c r="B98" s="1718"/>
      <c r="C98" s="1652"/>
      <c r="D98" s="1717">
        <v>87</v>
      </c>
      <c r="E98" s="1732" t="s">
        <v>1315</v>
      </c>
      <c r="F98" s="1667">
        <v>2.5</v>
      </c>
      <c r="G98" s="1602">
        <v>5</v>
      </c>
      <c r="H98" s="1603">
        <v>2.89</v>
      </c>
      <c r="I98" s="1604">
        <v>2.27</v>
      </c>
      <c r="J98" s="1412">
        <v>1.78</v>
      </c>
      <c r="K98" s="1675">
        <v>1.78</v>
      </c>
      <c r="L98" s="1413"/>
      <c r="M98" s="1414"/>
      <c r="N98" s="1412">
        <v>6.67</v>
      </c>
      <c r="O98" s="1676">
        <v>2.9644444444444442</v>
      </c>
      <c r="P98" s="1413"/>
      <c r="Q98" s="1414"/>
    </row>
    <row r="99" spans="2:30" ht="16.5" thickBot="1">
      <c r="B99" s="1718"/>
      <c r="C99" s="1652"/>
      <c r="D99" s="1717">
        <v>88</v>
      </c>
      <c r="E99" s="1732" t="s">
        <v>1315</v>
      </c>
      <c r="F99" s="1667">
        <v>3</v>
      </c>
      <c r="G99" s="1602">
        <v>6</v>
      </c>
      <c r="H99" s="1603">
        <v>3.38</v>
      </c>
      <c r="I99" s="1604">
        <v>2.66</v>
      </c>
      <c r="J99" s="1412">
        <v>1.97</v>
      </c>
      <c r="K99" s="1675">
        <v>1.97</v>
      </c>
      <c r="L99" s="1413"/>
      <c r="M99" s="1414"/>
      <c r="N99" s="1412">
        <v>7.52</v>
      </c>
      <c r="O99" s="1676">
        <v>3.342222222222222</v>
      </c>
      <c r="P99" s="1413"/>
      <c r="Q99" s="1414"/>
      <c r="Z99" s="1038"/>
      <c r="AA99" s="1038"/>
      <c r="AB99" s="1038"/>
      <c r="AC99" s="1038"/>
      <c r="AD99" s="1038"/>
    </row>
    <row r="100" spans="2:30" ht="15.75">
      <c r="B100" s="1718"/>
      <c r="C100" s="1652"/>
      <c r="D100" s="1717">
        <v>89</v>
      </c>
      <c r="E100" s="1732" t="s">
        <v>1315</v>
      </c>
      <c r="F100" s="1667">
        <v>3.5</v>
      </c>
      <c r="G100" s="1602">
        <v>7</v>
      </c>
      <c r="H100" s="1603">
        <v>3.85</v>
      </c>
      <c r="I100" s="1604">
        <v>3.02</v>
      </c>
      <c r="J100" s="1412">
        <v>2.11</v>
      </c>
      <c r="K100" s="1675">
        <v>2.11</v>
      </c>
      <c r="L100" s="1413"/>
      <c r="M100" s="1414"/>
      <c r="N100" s="1412">
        <v>8.24</v>
      </c>
      <c r="O100" s="1676">
        <v>3.6622222222222223</v>
      </c>
      <c r="P100" s="1413"/>
      <c r="Q100" s="1414"/>
      <c r="Z100" s="1038"/>
      <c r="AA100" s="1711">
        <v>15</v>
      </c>
      <c r="AB100" s="1648">
        <v>3</v>
      </c>
      <c r="AC100" s="1648">
        <v>1</v>
      </c>
      <c r="AD100" s="1038"/>
    </row>
    <row r="101" spans="2:30" ht="15.75">
      <c r="B101" s="1718"/>
      <c r="C101" s="1652"/>
      <c r="D101" s="1717">
        <v>90</v>
      </c>
      <c r="E101" s="1733" t="s">
        <v>1315</v>
      </c>
      <c r="F101" s="1734">
        <v>4</v>
      </c>
      <c r="G101" s="1735">
        <v>8</v>
      </c>
      <c r="H101" s="1754">
        <v>4.28</v>
      </c>
      <c r="I101" s="1762">
        <v>3.36</v>
      </c>
      <c r="J101" s="1346">
        <v>2.1800000000000002</v>
      </c>
      <c r="K101" s="1739">
        <v>2.1800000000000002</v>
      </c>
      <c r="L101" s="1347"/>
      <c r="M101" s="1348"/>
      <c r="N101" s="1346">
        <v>8.82</v>
      </c>
      <c r="O101" s="1763">
        <v>3.92</v>
      </c>
      <c r="P101" s="1347"/>
      <c r="Q101" s="1348"/>
      <c r="Z101" s="1038"/>
      <c r="AA101" s="1707">
        <v>15</v>
      </c>
      <c r="AB101" s="1648">
        <v>3.5</v>
      </c>
      <c r="AC101" s="1648">
        <v>1.5</v>
      </c>
    </row>
    <row r="102" spans="2:30" ht="15.75">
      <c r="B102" s="1718"/>
      <c r="C102" s="1652"/>
      <c r="D102" s="1717">
        <v>91</v>
      </c>
      <c r="E102" s="1732" t="s">
        <v>1316</v>
      </c>
      <c r="F102" s="1667">
        <v>2</v>
      </c>
      <c r="G102" s="1602">
        <v>4</v>
      </c>
      <c r="H102" s="1603">
        <v>2.77</v>
      </c>
      <c r="I102" s="1604">
        <v>2.17</v>
      </c>
      <c r="J102" s="1412">
        <v>3.97</v>
      </c>
      <c r="K102" s="1675">
        <v>3.1760000000000002</v>
      </c>
      <c r="L102" s="1413"/>
      <c r="M102" s="1414"/>
      <c r="N102" s="1412">
        <v>7.51</v>
      </c>
      <c r="O102" s="1676">
        <v>3.3377777777777777</v>
      </c>
      <c r="P102" s="1413"/>
      <c r="Q102" s="1414"/>
      <c r="Z102" s="1038"/>
      <c r="AA102" s="1708">
        <v>15</v>
      </c>
      <c r="AB102" s="1648">
        <v>4</v>
      </c>
      <c r="AC102" s="1709">
        <v>2</v>
      </c>
    </row>
    <row r="103" spans="2:30" ht="15.75">
      <c r="B103" s="1718"/>
      <c r="C103" s="1652"/>
      <c r="D103" s="1717">
        <v>92</v>
      </c>
      <c r="E103" s="1732" t="s">
        <v>1316</v>
      </c>
      <c r="F103" s="1667">
        <v>2.5</v>
      </c>
      <c r="G103" s="1602">
        <v>5</v>
      </c>
      <c r="H103" s="1603">
        <v>3.39</v>
      </c>
      <c r="I103" s="1604">
        <v>2.66</v>
      </c>
      <c r="J103" s="1412">
        <v>4.6900000000000004</v>
      </c>
      <c r="K103" s="1675">
        <v>3.7520000000000002</v>
      </c>
      <c r="L103" s="1413"/>
      <c r="M103" s="1414"/>
      <c r="N103" s="1412">
        <v>8.93</v>
      </c>
      <c r="O103" s="1676">
        <v>3.9688888888888889</v>
      </c>
      <c r="P103" s="1413"/>
      <c r="Q103" s="1414"/>
      <c r="Z103" s="1038"/>
      <c r="AA103" s="1710"/>
      <c r="AB103" s="1648">
        <v>5</v>
      </c>
      <c r="AC103" s="1038"/>
      <c r="AD103" s="1038"/>
    </row>
    <row r="104" spans="2:30" ht="15.75">
      <c r="B104" s="1718"/>
      <c r="C104" s="1652"/>
      <c r="D104" s="1717">
        <v>93</v>
      </c>
      <c r="E104" s="1732" t="s">
        <v>1316</v>
      </c>
      <c r="F104" s="1667">
        <v>3</v>
      </c>
      <c r="G104" s="1602">
        <v>6</v>
      </c>
      <c r="H104" s="1603">
        <v>3.98</v>
      </c>
      <c r="I104" s="1604">
        <v>3.13</v>
      </c>
      <c r="J104" s="1412">
        <v>5.31</v>
      </c>
      <c r="K104" s="1675">
        <v>4.2479999999999993</v>
      </c>
      <c r="L104" s="1413"/>
      <c r="M104" s="1414"/>
      <c r="N104" s="1412">
        <v>10.17</v>
      </c>
      <c r="O104" s="1676">
        <v>4.5199999999999996</v>
      </c>
      <c r="P104" s="1413"/>
      <c r="Q104" s="1414"/>
      <c r="Z104" s="1038"/>
      <c r="AA104" s="1038"/>
      <c r="AB104" s="1709">
        <v>6</v>
      </c>
      <c r="AC104" s="1038"/>
      <c r="AD104" s="1038"/>
    </row>
    <row r="105" spans="2:30" ht="15.75">
      <c r="B105" s="1718"/>
      <c r="C105" s="1652"/>
      <c r="D105" s="1717">
        <v>94</v>
      </c>
      <c r="E105" s="1732" t="s">
        <v>1316</v>
      </c>
      <c r="F105" s="1667">
        <v>3.5</v>
      </c>
      <c r="G105" s="1602">
        <v>7</v>
      </c>
      <c r="H105" s="1603">
        <v>4.55</v>
      </c>
      <c r="I105" s="1604">
        <v>3.57</v>
      </c>
      <c r="J105" s="1412">
        <v>5.83</v>
      </c>
      <c r="K105" s="1675">
        <v>4.6639999999999997</v>
      </c>
      <c r="L105" s="1413"/>
      <c r="M105" s="1414"/>
      <c r="N105" s="1412">
        <v>11.26</v>
      </c>
      <c r="O105" s="1676">
        <v>5.0044444444444443</v>
      </c>
      <c r="P105" s="1413"/>
      <c r="Q105" s="1414"/>
      <c r="Z105" s="1038"/>
      <c r="AA105" s="1038"/>
      <c r="AB105" s="1979">
        <v>7</v>
      </c>
      <c r="AC105" s="1038"/>
      <c r="AD105" s="1038"/>
    </row>
    <row r="106" spans="2:30" ht="15.75">
      <c r="B106" s="1718"/>
      <c r="C106" s="1652"/>
      <c r="D106" s="1717">
        <v>95</v>
      </c>
      <c r="E106" s="1733" t="s">
        <v>1316</v>
      </c>
      <c r="F106" s="1734">
        <v>4</v>
      </c>
      <c r="G106" s="1735">
        <v>8</v>
      </c>
      <c r="H106" s="1754">
        <v>5.08</v>
      </c>
      <c r="I106" s="1762">
        <v>3.99</v>
      </c>
      <c r="J106" s="1346">
        <v>6.63</v>
      </c>
      <c r="K106" s="1739">
        <v>5.3040000000000003</v>
      </c>
      <c r="L106" s="1347"/>
      <c r="M106" s="1348"/>
      <c r="N106" s="1346">
        <v>12.19</v>
      </c>
      <c r="O106" s="1763">
        <v>5.4177777777777774</v>
      </c>
      <c r="P106" s="1347"/>
      <c r="Q106" s="1348"/>
      <c r="AA106" s="1038"/>
      <c r="AB106" s="1038"/>
      <c r="AC106" s="1038"/>
    </row>
    <row r="107" spans="2:30" ht="15.75">
      <c r="B107" s="1718"/>
      <c r="C107" s="1652"/>
      <c r="D107" s="1717">
        <v>96</v>
      </c>
      <c r="E107" s="1719" t="s">
        <v>1317</v>
      </c>
      <c r="F107" s="1661">
        <v>2</v>
      </c>
      <c r="G107" s="1769">
        <v>4</v>
      </c>
      <c r="H107" s="1770">
        <v>2.77</v>
      </c>
      <c r="I107" s="1596">
        <v>2.17</v>
      </c>
      <c r="J107" s="1597">
        <v>2.86</v>
      </c>
      <c r="K107" s="1673">
        <v>2.2879999999999998</v>
      </c>
      <c r="L107" s="1599"/>
      <c r="M107" s="1600"/>
      <c r="N107" s="1597">
        <v>8.59</v>
      </c>
      <c r="O107" s="1674">
        <v>3.4359999999999999</v>
      </c>
      <c r="P107" s="1599"/>
      <c r="Q107" s="1600"/>
      <c r="Z107" s="1038"/>
      <c r="AA107" s="1038"/>
      <c r="AB107" s="1038"/>
      <c r="AC107" s="1038"/>
    </row>
    <row r="108" spans="2:30" ht="15.75">
      <c r="B108" s="1718"/>
      <c r="C108" s="1652"/>
      <c r="D108" s="1717">
        <v>97</v>
      </c>
      <c r="E108" s="1719" t="s">
        <v>1317</v>
      </c>
      <c r="F108" s="1661">
        <v>2.5</v>
      </c>
      <c r="G108" s="1769">
        <v>5</v>
      </c>
      <c r="H108" s="1771">
        <v>3.39</v>
      </c>
      <c r="I108" s="1596">
        <v>2.66</v>
      </c>
      <c r="J108" s="1597">
        <v>3.35</v>
      </c>
      <c r="K108" s="1673">
        <v>2.68</v>
      </c>
      <c r="L108" s="1599"/>
      <c r="M108" s="1600"/>
      <c r="N108" s="1597">
        <v>10.210000000000001</v>
      </c>
      <c r="O108" s="1674">
        <v>4.0840000000000005</v>
      </c>
      <c r="P108" s="1599"/>
      <c r="Q108" s="1600"/>
      <c r="Z108" s="1038"/>
      <c r="AA108" s="1038"/>
      <c r="AB108" s="1038"/>
      <c r="AC108" s="1038"/>
    </row>
    <row r="109" spans="2:30" ht="15.75">
      <c r="B109" s="1718"/>
      <c r="C109" s="1652"/>
      <c r="D109" s="1717">
        <v>98</v>
      </c>
      <c r="E109" s="1719" t="s">
        <v>1317</v>
      </c>
      <c r="F109" s="1661">
        <v>3</v>
      </c>
      <c r="G109" s="1769">
        <v>6</v>
      </c>
      <c r="H109" s="1771">
        <v>3.98</v>
      </c>
      <c r="I109" s="1596">
        <v>3.13</v>
      </c>
      <c r="J109" s="1597">
        <v>3.77</v>
      </c>
      <c r="K109" s="1673">
        <v>3.016</v>
      </c>
      <c r="L109" s="1599"/>
      <c r="M109" s="1600"/>
      <c r="N109" s="1597">
        <v>11.63</v>
      </c>
      <c r="O109" s="1674">
        <v>4.6520000000000001</v>
      </c>
      <c r="P109" s="1599"/>
      <c r="Q109" s="1600"/>
    </row>
    <row r="110" spans="2:30" ht="15.75">
      <c r="B110" s="1718"/>
      <c r="C110" s="1652"/>
      <c r="D110" s="1717">
        <v>99</v>
      </c>
      <c r="E110" s="1719" t="s">
        <v>1317</v>
      </c>
      <c r="F110" s="1661">
        <v>3.5</v>
      </c>
      <c r="G110" s="1769">
        <v>7</v>
      </c>
      <c r="H110" s="1771">
        <v>4.55</v>
      </c>
      <c r="I110" s="1596">
        <v>3.57</v>
      </c>
      <c r="J110" s="1597">
        <v>4.12</v>
      </c>
      <c r="K110" s="1673">
        <v>3.2960000000000003</v>
      </c>
      <c r="L110" s="1599"/>
      <c r="M110" s="1600"/>
      <c r="N110" s="1597">
        <v>12.87</v>
      </c>
      <c r="O110" s="1674">
        <v>5.1479999999999997</v>
      </c>
      <c r="P110" s="1599"/>
      <c r="Q110" s="1600"/>
    </row>
    <row r="111" spans="2:30" ht="15.75">
      <c r="B111" s="1718"/>
      <c r="C111" s="1652"/>
      <c r="D111" s="1717">
        <v>100</v>
      </c>
      <c r="E111" s="1724" t="s">
        <v>1317</v>
      </c>
      <c r="F111" s="1725">
        <v>4</v>
      </c>
      <c r="G111" s="1772">
        <v>8</v>
      </c>
      <c r="H111" s="1773">
        <v>5.08</v>
      </c>
      <c r="I111" s="1758">
        <v>3.99</v>
      </c>
      <c r="J111" s="1760">
        <v>4.4000000000000004</v>
      </c>
      <c r="K111" s="1730">
        <v>3.52</v>
      </c>
      <c r="L111" s="1441"/>
      <c r="M111" s="1731"/>
      <c r="N111" s="1760">
        <v>13.93</v>
      </c>
      <c r="O111" s="1761">
        <v>5.5720000000000001</v>
      </c>
      <c r="P111" s="1441"/>
      <c r="Q111" s="1731"/>
    </row>
    <row r="112" spans="2:30" ht="15.75">
      <c r="B112" s="1718"/>
      <c r="C112" s="1652"/>
      <c r="D112" s="1717">
        <v>101</v>
      </c>
      <c r="E112" s="1719" t="s">
        <v>1318</v>
      </c>
      <c r="F112" s="1661">
        <v>2</v>
      </c>
      <c r="G112" s="1594">
        <v>4</v>
      </c>
      <c r="H112" s="1595">
        <v>2.97</v>
      </c>
      <c r="I112" s="1596">
        <v>2.3199999999999998</v>
      </c>
      <c r="J112" s="1597">
        <v>4.3600000000000003</v>
      </c>
      <c r="K112" s="1673">
        <v>2.9066666666666667</v>
      </c>
      <c r="L112" s="1599"/>
      <c r="M112" s="1600"/>
      <c r="N112" s="1597">
        <v>9.74</v>
      </c>
      <c r="O112" s="1674">
        <v>3.8959999999999999</v>
      </c>
      <c r="P112" s="1599"/>
      <c r="Q112" s="1600"/>
    </row>
    <row r="113" spans="2:17" ht="15.75">
      <c r="B113" s="1718"/>
      <c r="C113" s="1652"/>
      <c r="D113" s="1717">
        <v>102</v>
      </c>
      <c r="E113" s="1719" t="s">
        <v>1318</v>
      </c>
      <c r="F113" s="1661">
        <v>2.5</v>
      </c>
      <c r="G113" s="1594">
        <v>5</v>
      </c>
      <c r="H113" s="1595">
        <v>3.64</v>
      </c>
      <c r="I113" s="1596">
        <v>2.86</v>
      </c>
      <c r="J113" s="1597">
        <v>5.16</v>
      </c>
      <c r="K113" s="1673">
        <v>3.44</v>
      </c>
      <c r="L113" s="1599"/>
      <c r="M113" s="1600"/>
      <c r="N113" s="1597">
        <v>11.62</v>
      </c>
      <c r="O113" s="1674">
        <v>4.6479999999999997</v>
      </c>
      <c r="P113" s="1599"/>
      <c r="Q113" s="1600"/>
    </row>
    <row r="114" spans="2:17" ht="15.75">
      <c r="B114" s="1718"/>
      <c r="C114" s="1652"/>
      <c r="D114" s="1717">
        <v>103</v>
      </c>
      <c r="E114" s="1719" t="s">
        <v>1318</v>
      </c>
      <c r="F114" s="1661">
        <v>3</v>
      </c>
      <c r="G114" s="1594">
        <v>6</v>
      </c>
      <c r="H114" s="1595">
        <v>4.28</v>
      </c>
      <c r="I114" s="1596">
        <v>3.36</v>
      </c>
      <c r="J114" s="1597">
        <v>5.86</v>
      </c>
      <c r="K114" s="1673">
        <v>3.9066666666666667</v>
      </c>
      <c r="L114" s="1599"/>
      <c r="M114" s="1600"/>
      <c r="N114" s="1597">
        <v>13.29</v>
      </c>
      <c r="O114" s="1674">
        <v>5.3159999999999998</v>
      </c>
      <c r="P114" s="1599"/>
      <c r="Q114" s="1600"/>
    </row>
    <row r="115" spans="2:17" ht="15.75">
      <c r="B115" s="1718"/>
      <c r="C115" s="1652"/>
      <c r="D115" s="1717">
        <v>104</v>
      </c>
      <c r="E115" s="1719" t="s">
        <v>1318</v>
      </c>
      <c r="F115" s="1661">
        <v>3.5</v>
      </c>
      <c r="G115" s="1594">
        <v>7</v>
      </c>
      <c r="H115" s="1595">
        <v>4.9000000000000004</v>
      </c>
      <c r="I115" s="1596">
        <v>3.85</v>
      </c>
      <c r="J115" s="1597">
        <v>6.45</v>
      </c>
      <c r="K115" s="1673">
        <v>4.3</v>
      </c>
      <c r="L115" s="1599"/>
      <c r="M115" s="1600"/>
      <c r="N115" s="1597">
        <v>14.77</v>
      </c>
      <c r="O115" s="1674">
        <v>5.9079999999999995</v>
      </c>
      <c r="P115" s="1599"/>
      <c r="Q115" s="1600"/>
    </row>
    <row r="116" spans="2:17" ht="15.75">
      <c r="B116" s="1718"/>
      <c r="C116" s="1652"/>
      <c r="D116" s="1717">
        <v>105</v>
      </c>
      <c r="E116" s="1724" t="s">
        <v>1318</v>
      </c>
      <c r="F116" s="1725">
        <v>4</v>
      </c>
      <c r="G116" s="1726">
        <v>8</v>
      </c>
      <c r="H116" s="1757">
        <v>5.48</v>
      </c>
      <c r="I116" s="1758">
        <v>4.3</v>
      </c>
      <c r="J116" s="1760">
        <v>6.96</v>
      </c>
      <c r="K116" s="1730">
        <v>4.6399999999999997</v>
      </c>
      <c r="L116" s="1441"/>
      <c r="M116" s="1731"/>
      <c r="N116" s="1760">
        <v>16.05</v>
      </c>
      <c r="O116" s="1761">
        <v>6.42</v>
      </c>
      <c r="P116" s="1441"/>
      <c r="Q116" s="1731"/>
    </row>
    <row r="117" spans="2:17" ht="15.75">
      <c r="B117" s="1718"/>
      <c r="C117" s="1652"/>
      <c r="D117" s="1717">
        <v>106</v>
      </c>
      <c r="E117" s="1719" t="s">
        <v>1319</v>
      </c>
      <c r="F117" s="1661">
        <v>2</v>
      </c>
      <c r="G117" s="1594">
        <v>4</v>
      </c>
      <c r="H117" s="1595">
        <v>3.17</v>
      </c>
      <c r="I117" s="1596">
        <v>2.4900000000000002</v>
      </c>
      <c r="J117" s="1597">
        <v>6.24</v>
      </c>
      <c r="K117" s="1673">
        <v>3.5657142857142858</v>
      </c>
      <c r="L117" s="1599"/>
      <c r="M117" s="1600"/>
      <c r="N117" s="1597">
        <v>10.9</v>
      </c>
      <c r="O117" s="1674">
        <v>4.3600000000000003</v>
      </c>
      <c r="P117" s="1599"/>
      <c r="Q117" s="1600"/>
    </row>
    <row r="118" spans="2:17" ht="15.75">
      <c r="B118" s="1718"/>
      <c r="C118" s="1652"/>
      <c r="D118" s="1717">
        <v>107</v>
      </c>
      <c r="E118" s="1719" t="s">
        <v>1319</v>
      </c>
      <c r="F118" s="1661">
        <v>2.5</v>
      </c>
      <c r="G118" s="1594">
        <v>5</v>
      </c>
      <c r="H118" s="1595">
        <v>3.89</v>
      </c>
      <c r="I118" s="1596">
        <v>3.09</v>
      </c>
      <c r="J118" s="1597">
        <v>7.43</v>
      </c>
      <c r="K118" s="1673">
        <v>4.2457142857142856</v>
      </c>
      <c r="L118" s="1599"/>
      <c r="M118" s="1600"/>
      <c r="N118" s="1597">
        <v>13.03</v>
      </c>
      <c r="O118" s="1674">
        <v>5.2119999999999997</v>
      </c>
      <c r="P118" s="1599"/>
      <c r="Q118" s="1600"/>
    </row>
    <row r="119" spans="2:17" ht="15.75">
      <c r="B119" s="1718"/>
      <c r="C119" s="1652"/>
      <c r="D119" s="1717">
        <v>108</v>
      </c>
      <c r="E119" s="1719" t="s">
        <v>1319</v>
      </c>
      <c r="F119" s="1661">
        <v>3</v>
      </c>
      <c r="G119" s="1594">
        <v>6</v>
      </c>
      <c r="H119" s="1595">
        <v>4.58</v>
      </c>
      <c r="I119" s="1596">
        <v>3.6</v>
      </c>
      <c r="J119" s="1597">
        <v>8.4700000000000006</v>
      </c>
      <c r="K119" s="1673">
        <v>4.84</v>
      </c>
      <c r="L119" s="1599"/>
      <c r="M119" s="1600"/>
      <c r="N119" s="1597">
        <v>14.95</v>
      </c>
      <c r="O119" s="1674">
        <v>5.98</v>
      </c>
      <c r="P119" s="1599"/>
      <c r="Q119" s="1600"/>
    </row>
    <row r="120" spans="2:17" ht="15.75">
      <c r="B120" s="1718"/>
      <c r="C120" s="1652"/>
      <c r="D120" s="1717">
        <v>109</v>
      </c>
      <c r="E120" s="1719" t="s">
        <v>1319</v>
      </c>
      <c r="F120" s="1661">
        <v>3.5</v>
      </c>
      <c r="G120" s="1594">
        <v>7</v>
      </c>
      <c r="H120" s="1595">
        <v>5.25</v>
      </c>
      <c r="I120" s="1596">
        <v>4.12</v>
      </c>
      <c r="J120" s="1597">
        <v>9.4</v>
      </c>
      <c r="K120" s="1673">
        <v>5.3714285714285719</v>
      </c>
      <c r="L120" s="1599"/>
      <c r="M120" s="1600"/>
      <c r="N120" s="1597">
        <v>16.66</v>
      </c>
      <c r="O120" s="1674">
        <v>6.6639999999999997</v>
      </c>
      <c r="P120" s="1599"/>
      <c r="Q120" s="1600"/>
    </row>
    <row r="121" spans="2:17" ht="15.75">
      <c r="B121" s="1718"/>
      <c r="C121" s="1652"/>
      <c r="D121" s="1717">
        <v>110</v>
      </c>
      <c r="E121" s="1724" t="s">
        <v>1319</v>
      </c>
      <c r="F121" s="1725">
        <v>4</v>
      </c>
      <c r="G121" s="1726">
        <v>8</v>
      </c>
      <c r="H121" s="1757">
        <v>5.88</v>
      </c>
      <c r="I121" s="1758">
        <v>4.62</v>
      </c>
      <c r="J121" s="1760">
        <v>10.199999999999999</v>
      </c>
      <c r="K121" s="1730">
        <v>5.8285714285714283</v>
      </c>
      <c r="L121" s="1441"/>
      <c r="M121" s="1731"/>
      <c r="N121" s="1760">
        <v>18.170000000000002</v>
      </c>
      <c r="O121" s="1761">
        <v>7.2680000000000007</v>
      </c>
      <c r="P121" s="1441"/>
      <c r="Q121" s="1731"/>
    </row>
    <row r="122" spans="2:17" ht="15.75">
      <c r="B122" s="1718"/>
      <c r="C122" s="1652"/>
      <c r="D122" s="1717">
        <v>111</v>
      </c>
      <c r="E122" s="1719" t="s">
        <v>1320</v>
      </c>
      <c r="F122" s="1661">
        <v>2</v>
      </c>
      <c r="G122" s="1594">
        <v>4</v>
      </c>
      <c r="H122" s="1595">
        <v>3.37</v>
      </c>
      <c r="I122" s="1596">
        <v>2.65</v>
      </c>
      <c r="J122" s="1597">
        <v>8.52</v>
      </c>
      <c r="K122" s="1673">
        <v>4.26</v>
      </c>
      <c r="L122" s="1599"/>
      <c r="M122" s="1600"/>
      <c r="N122" s="1597">
        <v>12.05</v>
      </c>
      <c r="O122" s="1674">
        <v>4.82</v>
      </c>
      <c r="P122" s="1599"/>
      <c r="Q122" s="1600"/>
    </row>
    <row r="123" spans="2:17" ht="15.75">
      <c r="B123" s="1718"/>
      <c r="C123" s="1652"/>
      <c r="D123" s="1717">
        <v>112</v>
      </c>
      <c r="E123" s="1719" t="s">
        <v>1320</v>
      </c>
      <c r="F123" s="1661">
        <v>2.5</v>
      </c>
      <c r="G123" s="1594">
        <v>5</v>
      </c>
      <c r="H123" s="1595">
        <v>4.1399999999999997</v>
      </c>
      <c r="I123" s="1596">
        <v>3.25</v>
      </c>
      <c r="J123" s="1597">
        <v>10.18</v>
      </c>
      <c r="K123" s="1673">
        <v>5.09</v>
      </c>
      <c r="L123" s="1599"/>
      <c r="M123" s="1600"/>
      <c r="N123" s="1597">
        <v>14.44</v>
      </c>
      <c r="O123" s="1674">
        <v>5.7759999999999998</v>
      </c>
      <c r="P123" s="1599"/>
      <c r="Q123" s="1600"/>
    </row>
    <row r="124" spans="2:17" ht="15.75">
      <c r="B124" s="1718"/>
      <c r="C124" s="1652"/>
      <c r="D124" s="1717">
        <v>113</v>
      </c>
      <c r="E124" s="1719" t="s">
        <v>1320</v>
      </c>
      <c r="F124" s="1661">
        <v>3</v>
      </c>
      <c r="G124" s="1594">
        <v>6</v>
      </c>
      <c r="H124" s="1595">
        <v>4.88</v>
      </c>
      <c r="I124" s="1596">
        <v>3.83</v>
      </c>
      <c r="J124" s="1597">
        <v>11.67</v>
      </c>
      <c r="K124" s="1673">
        <v>5.835</v>
      </c>
      <c r="L124" s="1599"/>
      <c r="M124" s="1600"/>
      <c r="N124" s="1597">
        <v>16.61</v>
      </c>
      <c r="O124" s="1674">
        <v>6.6440000000000001</v>
      </c>
      <c r="P124" s="1599"/>
      <c r="Q124" s="1600"/>
    </row>
    <row r="125" spans="2:17" ht="15.75">
      <c r="B125" s="1718"/>
      <c r="C125" s="1652"/>
      <c r="D125" s="1717">
        <v>114</v>
      </c>
      <c r="E125" s="1719" t="s">
        <v>1320</v>
      </c>
      <c r="F125" s="1661">
        <v>3.5</v>
      </c>
      <c r="G125" s="1594">
        <v>7</v>
      </c>
      <c r="H125" s="1595">
        <v>5.6</v>
      </c>
      <c r="I125" s="1596">
        <v>4.3899999999999997</v>
      </c>
      <c r="J125" s="1597">
        <v>13</v>
      </c>
      <c r="K125" s="1673">
        <v>6.5</v>
      </c>
      <c r="L125" s="1599"/>
      <c r="M125" s="1600"/>
      <c r="N125" s="1597">
        <v>18.559999999999999</v>
      </c>
      <c r="O125" s="1674">
        <v>7.4239999999999995</v>
      </c>
      <c r="P125" s="1599"/>
      <c r="Q125" s="1600"/>
    </row>
    <row r="126" spans="2:17" ht="15.75">
      <c r="B126" s="1718"/>
      <c r="C126" s="1652"/>
      <c r="D126" s="1717">
        <v>115</v>
      </c>
      <c r="E126" s="1724" t="s">
        <v>1320</v>
      </c>
      <c r="F126" s="1725">
        <v>4</v>
      </c>
      <c r="G126" s="1726">
        <v>8</v>
      </c>
      <c r="H126" s="1757">
        <v>6.28</v>
      </c>
      <c r="I126" s="1758">
        <v>4.93</v>
      </c>
      <c r="J126" s="1760">
        <v>14.18</v>
      </c>
      <c r="K126" s="1730">
        <v>7.09</v>
      </c>
      <c r="L126" s="1441"/>
      <c r="M126" s="1731"/>
      <c r="N126" s="1760">
        <v>20.29</v>
      </c>
      <c r="O126" s="1761">
        <v>8.1159999999999997</v>
      </c>
      <c r="P126" s="1441"/>
      <c r="Q126" s="1731"/>
    </row>
    <row r="127" spans="2:17" ht="15.75">
      <c r="B127" s="1718"/>
      <c r="C127" s="1652"/>
      <c r="D127" s="1717">
        <v>116</v>
      </c>
      <c r="E127" s="1732" t="s">
        <v>1321</v>
      </c>
      <c r="F127" s="1667">
        <v>2.5</v>
      </c>
      <c r="G127" s="1602">
        <v>5</v>
      </c>
      <c r="H127" s="1603">
        <v>3.89</v>
      </c>
      <c r="I127" s="1604">
        <v>3.05</v>
      </c>
      <c r="J127" s="1412">
        <v>3.99</v>
      </c>
      <c r="K127" s="1675">
        <v>3.1920000000000002</v>
      </c>
      <c r="L127" s="1413"/>
      <c r="M127" s="1414"/>
      <c r="N127" s="1412">
        <v>16.34</v>
      </c>
      <c r="O127" s="1676">
        <v>5.4466666666666663</v>
      </c>
      <c r="P127" s="1413"/>
      <c r="Q127" s="1414"/>
    </row>
    <row r="128" spans="2:17" ht="15.75">
      <c r="B128" s="1718"/>
      <c r="C128" s="1652"/>
      <c r="D128" s="1717">
        <v>117</v>
      </c>
      <c r="E128" s="1732" t="s">
        <v>1321</v>
      </c>
      <c r="F128" s="1667">
        <v>3</v>
      </c>
      <c r="G128" s="1602">
        <v>6</v>
      </c>
      <c r="H128" s="1603">
        <v>4.58</v>
      </c>
      <c r="I128" s="1604">
        <v>3.6</v>
      </c>
      <c r="J128" s="1412">
        <v>4.5</v>
      </c>
      <c r="K128" s="1675">
        <v>3.6</v>
      </c>
      <c r="L128" s="1413"/>
      <c r="M128" s="1414"/>
      <c r="N128" s="1412">
        <v>18.73</v>
      </c>
      <c r="O128" s="1676">
        <v>6.2433333333333332</v>
      </c>
      <c r="P128" s="1413"/>
      <c r="Q128" s="1414"/>
    </row>
    <row r="129" spans="2:17" ht="15.75">
      <c r="B129" s="1718"/>
      <c r="C129" s="1652"/>
      <c r="D129" s="1717">
        <v>118</v>
      </c>
      <c r="E129" s="1732" t="s">
        <v>1321</v>
      </c>
      <c r="F129" s="1667">
        <v>3.5</v>
      </c>
      <c r="G129" s="1602">
        <v>7</v>
      </c>
      <c r="H129" s="1603">
        <v>5.25</v>
      </c>
      <c r="I129" s="1604">
        <v>4.12</v>
      </c>
      <c r="J129" s="1412">
        <v>4.93</v>
      </c>
      <c r="K129" s="1675">
        <v>3.944</v>
      </c>
      <c r="L129" s="1413"/>
      <c r="M129" s="1414"/>
      <c r="N129" s="1412">
        <v>20.86</v>
      </c>
      <c r="O129" s="1676">
        <v>6.9533333333333331</v>
      </c>
      <c r="P129" s="1413"/>
      <c r="Q129" s="1414"/>
    </row>
    <row r="130" spans="2:17" ht="15.75">
      <c r="B130" s="1718"/>
      <c r="C130" s="1652"/>
      <c r="D130" s="1717">
        <v>119</v>
      </c>
      <c r="E130" s="1732" t="s">
        <v>1321</v>
      </c>
      <c r="F130" s="1667">
        <v>4</v>
      </c>
      <c r="G130" s="1602">
        <v>8</v>
      </c>
      <c r="H130" s="1603">
        <v>5.88</v>
      </c>
      <c r="I130" s="1604">
        <v>4.62</v>
      </c>
      <c r="J130" s="1412">
        <v>5.29</v>
      </c>
      <c r="K130" s="1675">
        <v>4.2320000000000002</v>
      </c>
      <c r="L130" s="1413"/>
      <c r="M130" s="1414"/>
      <c r="N130" s="1412">
        <v>22.74</v>
      </c>
      <c r="O130" s="1676">
        <v>7.58</v>
      </c>
      <c r="P130" s="1413"/>
      <c r="Q130" s="1414"/>
    </row>
    <row r="131" spans="2:17" ht="15.75">
      <c r="B131" s="1718"/>
      <c r="C131" s="1652"/>
      <c r="D131" s="1717">
        <v>120</v>
      </c>
      <c r="E131" s="1733" t="s">
        <v>1321</v>
      </c>
      <c r="F131" s="1734">
        <v>5</v>
      </c>
      <c r="G131" s="1735">
        <v>10</v>
      </c>
      <c r="H131" s="1754">
        <v>7.07</v>
      </c>
      <c r="I131" s="1762">
        <v>5.55</v>
      </c>
      <c r="J131" s="1346">
        <v>5.8</v>
      </c>
      <c r="K131" s="1739">
        <v>4.6399999999999997</v>
      </c>
      <c r="L131" s="1347"/>
      <c r="M131" s="1348"/>
      <c r="N131" s="1346">
        <v>25.75</v>
      </c>
      <c r="O131" s="1763">
        <v>8.5833333333333339</v>
      </c>
      <c r="P131" s="1347"/>
      <c r="Q131" s="1348"/>
    </row>
    <row r="132" spans="2:17" ht="15.75">
      <c r="B132" s="1718"/>
      <c r="C132" s="1652"/>
      <c r="D132" s="1717">
        <v>121</v>
      </c>
      <c r="E132" s="1732" t="s">
        <v>1322</v>
      </c>
      <c r="F132" s="1667">
        <v>2.5</v>
      </c>
      <c r="G132" s="1602">
        <v>5</v>
      </c>
      <c r="H132" s="1603">
        <v>4.1399999999999997</v>
      </c>
      <c r="I132" s="1604">
        <v>3.25</v>
      </c>
      <c r="J132" s="1412">
        <v>6.11</v>
      </c>
      <c r="K132" s="1675">
        <v>4.0733333333333333</v>
      </c>
      <c r="L132" s="1413"/>
      <c r="M132" s="1414"/>
      <c r="N132" s="1412">
        <v>18.41</v>
      </c>
      <c r="O132" s="1676">
        <v>6.1366666666666667</v>
      </c>
      <c r="P132" s="1413"/>
      <c r="Q132" s="1414"/>
    </row>
    <row r="133" spans="2:17" ht="15.75">
      <c r="B133" s="1718"/>
      <c r="C133" s="1652"/>
      <c r="D133" s="1717">
        <v>122</v>
      </c>
      <c r="E133" s="1732" t="s">
        <v>1322</v>
      </c>
      <c r="F133" s="1667">
        <v>3</v>
      </c>
      <c r="G133" s="1602">
        <v>6</v>
      </c>
      <c r="H133" s="1603">
        <v>4.88</v>
      </c>
      <c r="I133" s="1604">
        <v>3.83</v>
      </c>
      <c r="J133" s="1412">
        <v>6.96</v>
      </c>
      <c r="K133" s="1675">
        <v>4.6399999999999997</v>
      </c>
      <c r="L133" s="1413"/>
      <c r="M133" s="1414"/>
      <c r="N133" s="1412">
        <v>21.17</v>
      </c>
      <c r="O133" s="1676">
        <v>7.0566666666666675</v>
      </c>
      <c r="P133" s="1413"/>
      <c r="Q133" s="1414"/>
    </row>
    <row r="134" spans="2:17" ht="15.75">
      <c r="B134" s="1718"/>
      <c r="C134" s="1652"/>
      <c r="D134" s="1717">
        <v>123</v>
      </c>
      <c r="E134" s="1732" t="s">
        <v>1322</v>
      </c>
      <c r="F134" s="1667">
        <v>3.5</v>
      </c>
      <c r="G134" s="1602">
        <v>7</v>
      </c>
      <c r="H134" s="1603">
        <v>5.6</v>
      </c>
      <c r="I134" s="1604">
        <v>4.3899999999999997</v>
      </c>
      <c r="J134" s="1412">
        <v>7.69</v>
      </c>
      <c r="K134" s="1675">
        <v>5.1266666666666669</v>
      </c>
      <c r="L134" s="1413"/>
      <c r="M134" s="1414"/>
      <c r="N134" s="1412">
        <v>23.66</v>
      </c>
      <c r="O134" s="1676">
        <v>7.8866666666666667</v>
      </c>
      <c r="P134" s="1413"/>
      <c r="Q134" s="1414"/>
    </row>
    <row r="135" spans="2:17" ht="15.75">
      <c r="B135" s="1718"/>
      <c r="C135" s="1652"/>
      <c r="D135" s="1717">
        <v>124</v>
      </c>
      <c r="E135" s="1732" t="s">
        <v>1322</v>
      </c>
      <c r="F135" s="1667">
        <v>4</v>
      </c>
      <c r="G135" s="1602">
        <v>8</v>
      </c>
      <c r="H135" s="1603">
        <v>6.28</v>
      </c>
      <c r="I135" s="1604">
        <v>4.93</v>
      </c>
      <c r="J135" s="1412">
        <v>8.32</v>
      </c>
      <c r="K135" s="1675">
        <v>5.5466666666666669</v>
      </c>
      <c r="L135" s="1413"/>
      <c r="M135" s="1414"/>
      <c r="N135" s="1412">
        <v>25.88</v>
      </c>
      <c r="O135" s="1676">
        <v>8.6266666666666669</v>
      </c>
      <c r="P135" s="1413"/>
      <c r="Q135" s="1414"/>
    </row>
    <row r="136" spans="2:17" ht="15.75">
      <c r="B136" s="1718"/>
      <c r="C136" s="1652"/>
      <c r="D136" s="1717">
        <v>125</v>
      </c>
      <c r="E136" s="1733" t="s">
        <v>1322</v>
      </c>
      <c r="F136" s="1734">
        <v>5</v>
      </c>
      <c r="G136" s="1735">
        <v>10</v>
      </c>
      <c r="H136" s="1754">
        <v>7.57</v>
      </c>
      <c r="I136" s="1762">
        <v>5.94</v>
      </c>
      <c r="J136" s="1346">
        <v>9.3000000000000007</v>
      </c>
      <c r="K136" s="1739">
        <v>6.2</v>
      </c>
      <c r="L136" s="1347"/>
      <c r="M136" s="1348"/>
      <c r="N136" s="1346">
        <v>29.54</v>
      </c>
      <c r="O136" s="1763">
        <v>9.8466666666666658</v>
      </c>
      <c r="P136" s="1347"/>
      <c r="Q136" s="1348"/>
    </row>
    <row r="137" spans="2:17" ht="15.75">
      <c r="B137" s="1718"/>
      <c r="C137" s="1652"/>
      <c r="D137" s="1717">
        <v>126</v>
      </c>
      <c r="E137" s="1732" t="s">
        <v>1323</v>
      </c>
      <c r="F137" s="1667">
        <v>3</v>
      </c>
      <c r="G137" s="1602">
        <v>6</v>
      </c>
      <c r="H137" s="1603">
        <v>5.48</v>
      </c>
      <c r="I137" s="1604">
        <v>4.3</v>
      </c>
      <c r="J137" s="1412">
        <v>13.73</v>
      </c>
      <c r="K137" s="1675">
        <v>6.8650000000000002</v>
      </c>
      <c r="L137" s="1413"/>
      <c r="M137" s="1414"/>
      <c r="N137" s="1412">
        <v>26.05</v>
      </c>
      <c r="O137" s="1676">
        <v>8.6833333333333336</v>
      </c>
      <c r="P137" s="1413"/>
      <c r="Q137" s="1414"/>
    </row>
    <row r="138" spans="2:17" ht="15.75">
      <c r="B138" s="1718"/>
      <c r="C138" s="1652"/>
      <c r="D138" s="1717">
        <v>127</v>
      </c>
      <c r="E138" s="1732" t="s">
        <v>1323</v>
      </c>
      <c r="F138" s="1667">
        <v>3.5</v>
      </c>
      <c r="G138" s="1602">
        <v>7</v>
      </c>
      <c r="H138" s="1603">
        <v>6.3</v>
      </c>
      <c r="I138" s="1604">
        <v>4.9400000000000004</v>
      </c>
      <c r="J138" s="1412">
        <v>15.34</v>
      </c>
      <c r="K138" s="1675">
        <v>7.67</v>
      </c>
      <c r="L138" s="1413"/>
      <c r="M138" s="1414"/>
      <c r="N138" s="1412">
        <v>29.25</v>
      </c>
      <c r="O138" s="1676">
        <v>9.75</v>
      </c>
      <c r="P138" s="1413"/>
      <c r="Q138" s="1414"/>
    </row>
    <row r="139" spans="2:17" ht="15.75">
      <c r="B139" s="1718"/>
      <c r="C139" s="1652"/>
      <c r="D139" s="1717">
        <v>128</v>
      </c>
      <c r="E139" s="1732" t="s">
        <v>1323</v>
      </c>
      <c r="F139" s="1667">
        <v>4</v>
      </c>
      <c r="G139" s="1602">
        <v>8</v>
      </c>
      <c r="H139" s="1603">
        <v>7.08</v>
      </c>
      <c r="I139" s="1604">
        <v>5.56</v>
      </c>
      <c r="J139" s="1412">
        <v>16.78</v>
      </c>
      <c r="K139" s="1675">
        <v>8.39</v>
      </c>
      <c r="L139" s="1413"/>
      <c r="M139" s="1414"/>
      <c r="N139" s="1412">
        <v>32.159999999999997</v>
      </c>
      <c r="O139" s="1676">
        <v>10.72</v>
      </c>
      <c r="P139" s="1413"/>
      <c r="Q139" s="1414"/>
    </row>
    <row r="140" spans="2:17" ht="15.75">
      <c r="B140" s="1718"/>
      <c r="C140" s="1652"/>
      <c r="D140" s="1717">
        <v>129</v>
      </c>
      <c r="E140" s="1733" t="s">
        <v>1323</v>
      </c>
      <c r="F140" s="1734">
        <v>5</v>
      </c>
      <c r="G140" s="1735">
        <v>10</v>
      </c>
      <c r="H140" s="1754">
        <v>8.57</v>
      </c>
      <c r="I140" s="1762">
        <v>6.73</v>
      </c>
      <c r="J140" s="1346">
        <v>12.17</v>
      </c>
      <c r="K140" s="1739">
        <v>6.085</v>
      </c>
      <c r="L140" s="1347"/>
      <c r="M140" s="1348"/>
      <c r="N140" s="1346">
        <v>37.119999999999997</v>
      </c>
      <c r="O140" s="1763">
        <v>12.373333333333333</v>
      </c>
      <c r="P140" s="1347"/>
      <c r="Q140" s="1348"/>
    </row>
    <row r="141" spans="2:17" ht="15.75">
      <c r="B141" s="1718"/>
      <c r="C141" s="1652"/>
      <c r="D141" s="1717">
        <v>130</v>
      </c>
      <c r="E141" s="1719" t="s">
        <v>1324</v>
      </c>
      <c r="F141" s="1661">
        <v>3</v>
      </c>
      <c r="G141" s="1594">
        <v>6</v>
      </c>
      <c r="H141" s="1595">
        <v>5.48</v>
      </c>
      <c r="I141" s="1596">
        <v>4.3</v>
      </c>
      <c r="J141" s="1597">
        <v>8.0500000000000007</v>
      </c>
      <c r="K141" s="1673">
        <v>5.3666666666666671</v>
      </c>
      <c r="L141" s="1599"/>
      <c r="M141" s="1600"/>
      <c r="N141" s="1597">
        <v>31.49</v>
      </c>
      <c r="O141" s="1674">
        <v>8.9971428571428564</v>
      </c>
      <c r="P141" s="1599"/>
      <c r="Q141" s="1600"/>
    </row>
    <row r="142" spans="2:17" ht="15.75">
      <c r="B142" s="1718"/>
      <c r="C142" s="1652"/>
      <c r="D142" s="1717">
        <v>131</v>
      </c>
      <c r="E142" s="1719" t="s">
        <v>1324</v>
      </c>
      <c r="F142" s="1661">
        <v>3.5</v>
      </c>
      <c r="G142" s="1594">
        <v>7</v>
      </c>
      <c r="H142" s="1595">
        <v>6.3</v>
      </c>
      <c r="I142" s="1596">
        <v>4.9400000000000004</v>
      </c>
      <c r="J142" s="1597">
        <v>8.92</v>
      </c>
      <c r="K142" s="1673">
        <v>5.9466666666666663</v>
      </c>
      <c r="L142" s="1599"/>
      <c r="M142" s="1600"/>
      <c r="N142" s="1597">
        <v>35.35</v>
      </c>
      <c r="O142" s="1674">
        <v>10.1</v>
      </c>
      <c r="P142" s="1599"/>
      <c r="Q142" s="1600"/>
    </row>
    <row r="143" spans="2:17" ht="15.75">
      <c r="B143" s="1718"/>
      <c r="C143" s="1652"/>
      <c r="D143" s="1717">
        <v>132</v>
      </c>
      <c r="E143" s="1719" t="s">
        <v>1324</v>
      </c>
      <c r="F143" s="1661">
        <v>4</v>
      </c>
      <c r="G143" s="1594">
        <v>8</v>
      </c>
      <c r="H143" s="1595">
        <v>7.08</v>
      </c>
      <c r="I143" s="1596">
        <v>5.56</v>
      </c>
      <c r="J143" s="1597">
        <v>9.68</v>
      </c>
      <c r="K143" s="1673">
        <v>6.4533333333333331</v>
      </c>
      <c r="L143" s="1599"/>
      <c r="M143" s="1600"/>
      <c r="N143" s="1597">
        <v>38.840000000000003</v>
      </c>
      <c r="O143" s="1674">
        <v>11.097142857142858</v>
      </c>
      <c r="P143" s="1599"/>
      <c r="Q143" s="1600"/>
    </row>
    <row r="144" spans="2:17" ht="15.75">
      <c r="B144" s="1718"/>
      <c r="C144" s="1652"/>
      <c r="D144" s="1717">
        <v>133</v>
      </c>
      <c r="E144" s="1719" t="s">
        <v>1324</v>
      </c>
      <c r="F144" s="1661">
        <v>5</v>
      </c>
      <c r="G144" s="1594">
        <v>10</v>
      </c>
      <c r="H144" s="1595">
        <v>8.57</v>
      </c>
      <c r="I144" s="1596">
        <v>6.73</v>
      </c>
      <c r="J144" s="1597">
        <v>10.87</v>
      </c>
      <c r="K144" s="1673">
        <v>7.2466666666666661</v>
      </c>
      <c r="L144" s="1599"/>
      <c r="M144" s="1600"/>
      <c r="N144" s="1597">
        <v>44.78</v>
      </c>
      <c r="O144" s="1674">
        <v>12.794285714285715</v>
      </c>
      <c r="P144" s="1599"/>
      <c r="Q144" s="1600"/>
    </row>
    <row r="145" spans="2:17" ht="15.75">
      <c r="B145" s="1718"/>
      <c r="C145" s="1652"/>
      <c r="D145" s="1717">
        <v>134</v>
      </c>
      <c r="E145" s="1724" t="s">
        <v>1324</v>
      </c>
      <c r="F145" s="1725">
        <v>6</v>
      </c>
      <c r="G145" s="1726">
        <v>12</v>
      </c>
      <c r="H145" s="1757">
        <v>9.94</v>
      </c>
      <c r="I145" s="1758">
        <v>7.8</v>
      </c>
      <c r="J145" s="1760">
        <v>11.67</v>
      </c>
      <c r="K145" s="1730">
        <v>7.78</v>
      </c>
      <c r="L145" s="1441"/>
      <c r="M145" s="1731"/>
      <c r="N145" s="1760">
        <v>49.39</v>
      </c>
      <c r="O145" s="1761">
        <v>14.111428571428572</v>
      </c>
      <c r="P145" s="1441"/>
      <c r="Q145" s="1731"/>
    </row>
    <row r="146" spans="2:17" ht="15.75">
      <c r="B146" s="1718"/>
      <c r="C146" s="1652"/>
      <c r="D146" s="1717">
        <v>135</v>
      </c>
      <c r="E146" s="1719" t="s">
        <v>1325</v>
      </c>
      <c r="F146" s="1661">
        <v>3</v>
      </c>
      <c r="G146" s="1594">
        <v>6</v>
      </c>
      <c r="H146" s="1595">
        <v>6.08</v>
      </c>
      <c r="I146" s="1596">
        <v>4.78</v>
      </c>
      <c r="J146" s="1597">
        <v>15.79</v>
      </c>
      <c r="K146" s="1673">
        <v>7.8949999999999996</v>
      </c>
      <c r="L146" s="1599"/>
      <c r="M146" s="1600"/>
      <c r="N146" s="1597">
        <v>38.229999999999997</v>
      </c>
      <c r="O146" s="1674">
        <v>10.922857142857142</v>
      </c>
      <c r="P146" s="1599"/>
      <c r="Q146" s="1600"/>
    </row>
    <row r="147" spans="2:17" ht="15.75">
      <c r="B147" s="1718"/>
      <c r="C147" s="1652"/>
      <c r="D147" s="1717">
        <v>136</v>
      </c>
      <c r="E147" s="1719" t="s">
        <v>1325</v>
      </c>
      <c r="F147" s="1661">
        <v>3.5</v>
      </c>
      <c r="G147" s="1594">
        <v>7</v>
      </c>
      <c r="H147" s="1595">
        <v>7</v>
      </c>
      <c r="I147" s="1596">
        <v>5.49</v>
      </c>
      <c r="J147" s="1597">
        <v>17.68</v>
      </c>
      <c r="K147" s="1673">
        <v>8.84</v>
      </c>
      <c r="L147" s="1599"/>
      <c r="M147" s="1600"/>
      <c r="N147" s="1597">
        <v>43.1</v>
      </c>
      <c r="O147" s="1674">
        <v>12.314285714285715</v>
      </c>
      <c r="P147" s="1599"/>
      <c r="Q147" s="1600"/>
    </row>
    <row r="148" spans="2:17" ht="15.75">
      <c r="B148" s="1718"/>
      <c r="C148" s="1652"/>
      <c r="D148" s="1717">
        <v>137</v>
      </c>
      <c r="E148" s="1719" t="s">
        <v>1325</v>
      </c>
      <c r="F148" s="1661">
        <v>4</v>
      </c>
      <c r="G148" s="1594">
        <v>8</v>
      </c>
      <c r="H148" s="1595">
        <v>7.88</v>
      </c>
      <c r="I148" s="1596">
        <v>6.19</v>
      </c>
      <c r="J148" s="1597">
        <v>19.38</v>
      </c>
      <c r="K148" s="1673">
        <v>9.69</v>
      </c>
      <c r="L148" s="1599"/>
      <c r="M148" s="1600"/>
      <c r="N148" s="1597">
        <v>47.56</v>
      </c>
      <c r="O148" s="1674">
        <v>13.588571428571429</v>
      </c>
      <c r="P148" s="1599"/>
      <c r="Q148" s="1600"/>
    </row>
    <row r="149" spans="2:17" ht="15.75">
      <c r="B149" s="1718"/>
      <c r="C149" s="1652"/>
      <c r="D149" s="1717">
        <v>138</v>
      </c>
      <c r="E149" s="1719" t="s">
        <v>1325</v>
      </c>
      <c r="F149" s="1661">
        <v>5</v>
      </c>
      <c r="G149" s="1594">
        <v>10</v>
      </c>
      <c r="H149" s="1595">
        <v>9.57</v>
      </c>
      <c r="I149" s="1596">
        <v>7.51</v>
      </c>
      <c r="J149" s="1597">
        <v>22.25</v>
      </c>
      <c r="K149" s="1673">
        <v>11.125</v>
      </c>
      <c r="L149" s="1599"/>
      <c r="M149" s="1600"/>
      <c r="N149" s="1597">
        <v>55.36</v>
      </c>
      <c r="O149" s="1674">
        <v>15.817142857142857</v>
      </c>
      <c r="P149" s="1599"/>
      <c r="Q149" s="1600"/>
    </row>
    <row r="150" spans="2:17" ht="15.75">
      <c r="B150" s="1718"/>
      <c r="C150" s="1652"/>
      <c r="D150" s="1717">
        <v>139</v>
      </c>
      <c r="E150" s="1724" t="s">
        <v>1325</v>
      </c>
      <c r="F150" s="1725">
        <v>6</v>
      </c>
      <c r="G150" s="1726">
        <v>12</v>
      </c>
      <c r="H150" s="1757">
        <v>11.14</v>
      </c>
      <c r="I150" s="1758">
        <v>8.75</v>
      </c>
      <c r="J150" s="1760">
        <v>24.47</v>
      </c>
      <c r="K150" s="1730">
        <v>12.234999999999999</v>
      </c>
      <c r="L150" s="1441"/>
      <c r="M150" s="1731"/>
      <c r="N150" s="1760">
        <v>61.71</v>
      </c>
      <c r="O150" s="1761">
        <v>17.631428571428572</v>
      </c>
      <c r="P150" s="1441"/>
      <c r="Q150" s="1731"/>
    </row>
    <row r="151" spans="2:17" ht="15.75">
      <c r="B151" s="1718"/>
      <c r="C151" s="1652"/>
      <c r="D151" s="1717">
        <v>140</v>
      </c>
      <c r="E151" s="1719" t="s">
        <v>1326</v>
      </c>
      <c r="F151" s="1661">
        <v>3</v>
      </c>
      <c r="G151" s="1594">
        <v>6</v>
      </c>
      <c r="H151" s="1595">
        <v>6.68</v>
      </c>
      <c r="I151" s="1596">
        <v>5.25</v>
      </c>
      <c r="J151" s="1597">
        <v>26.56</v>
      </c>
      <c r="K151" s="1673">
        <v>10.623999999999999</v>
      </c>
      <c r="L151" s="1599"/>
      <c r="M151" s="1600"/>
      <c r="N151" s="1597">
        <v>44.97</v>
      </c>
      <c r="O151" s="1674">
        <v>12.848571428571429</v>
      </c>
      <c r="P151" s="1599"/>
      <c r="Q151" s="1600"/>
    </row>
    <row r="152" spans="2:17" ht="15.75">
      <c r="B152" s="1718"/>
      <c r="C152" s="1652"/>
      <c r="D152" s="1717">
        <v>141</v>
      </c>
      <c r="E152" s="1719" t="s">
        <v>1326</v>
      </c>
      <c r="F152" s="1661">
        <v>3.5</v>
      </c>
      <c r="G152" s="1594">
        <v>7</v>
      </c>
      <c r="H152" s="1595">
        <v>7.7</v>
      </c>
      <c r="I152" s="1596">
        <v>6.04</v>
      </c>
      <c r="J152" s="1597">
        <v>29.93</v>
      </c>
      <c r="K152" s="1673">
        <v>11.972</v>
      </c>
      <c r="L152" s="1599"/>
      <c r="M152" s="1600"/>
      <c r="N152" s="1597">
        <v>50.84</v>
      </c>
      <c r="O152" s="1674">
        <v>14.525714285714287</v>
      </c>
      <c r="P152" s="1599"/>
      <c r="Q152" s="1600"/>
    </row>
    <row r="153" spans="2:17" ht="15.75">
      <c r="B153" s="1718"/>
      <c r="C153" s="1652"/>
      <c r="D153" s="1717">
        <v>142</v>
      </c>
      <c r="E153" s="1719" t="s">
        <v>1326</v>
      </c>
      <c r="F153" s="1661">
        <v>4</v>
      </c>
      <c r="G153" s="1594">
        <v>8</v>
      </c>
      <c r="H153" s="1595">
        <v>8.68</v>
      </c>
      <c r="I153" s="1596">
        <v>6.82</v>
      </c>
      <c r="J153" s="1597">
        <v>33.020000000000003</v>
      </c>
      <c r="K153" s="1673">
        <v>13.208000000000002</v>
      </c>
      <c r="L153" s="1599"/>
      <c r="M153" s="1600"/>
      <c r="N153" s="1597">
        <v>56.29</v>
      </c>
      <c r="O153" s="1674">
        <v>16.082857142857144</v>
      </c>
      <c r="P153" s="1599"/>
      <c r="Q153" s="1600"/>
    </row>
    <row r="154" spans="2:17" ht="15.75">
      <c r="B154" s="1718"/>
      <c r="C154" s="1652"/>
      <c r="D154" s="1717">
        <v>143</v>
      </c>
      <c r="E154" s="1719" t="s">
        <v>1326</v>
      </c>
      <c r="F154" s="1661">
        <v>5</v>
      </c>
      <c r="G154" s="1594">
        <v>10</v>
      </c>
      <c r="H154" s="1595">
        <v>10.57</v>
      </c>
      <c r="I154" s="1596">
        <v>8.3000000000000007</v>
      </c>
      <c r="J154" s="1597">
        <v>38.42</v>
      </c>
      <c r="K154" s="1673">
        <v>15.368</v>
      </c>
      <c r="L154" s="1599"/>
      <c r="M154" s="1600"/>
      <c r="N154" s="1597">
        <v>65.94</v>
      </c>
      <c r="O154" s="1674">
        <v>18.84</v>
      </c>
      <c r="P154" s="1599"/>
      <c r="Q154" s="1600"/>
    </row>
    <row r="155" spans="2:17" ht="15.75">
      <c r="B155" s="1718"/>
      <c r="C155" s="1652"/>
      <c r="D155" s="1717">
        <v>144</v>
      </c>
      <c r="E155" s="1724" t="s">
        <v>1326</v>
      </c>
      <c r="F155" s="1725">
        <v>6</v>
      </c>
      <c r="G155" s="1726">
        <v>12</v>
      </c>
      <c r="H155" s="1757">
        <v>12.34</v>
      </c>
      <c r="I155" s="1758">
        <v>9.69</v>
      </c>
      <c r="J155" s="1760">
        <v>42.83</v>
      </c>
      <c r="K155" s="1730">
        <v>17.131999999999998</v>
      </c>
      <c r="L155" s="1441"/>
      <c r="M155" s="1731"/>
      <c r="N155" s="1760">
        <v>74.03</v>
      </c>
      <c r="O155" s="1761">
        <v>21.151428571428571</v>
      </c>
      <c r="P155" s="1441"/>
      <c r="Q155" s="1731"/>
    </row>
    <row r="156" spans="2:17">
      <c r="B156" s="1718"/>
      <c r="C156" s="1449" t="s">
        <v>893</v>
      </c>
      <c r="D156" s="1717">
        <v>145</v>
      </c>
      <c r="E156" s="1774" t="s">
        <v>1326</v>
      </c>
      <c r="F156" s="1775">
        <v>7</v>
      </c>
      <c r="G156" s="1776">
        <v>14</v>
      </c>
      <c r="H156" s="1777">
        <v>14</v>
      </c>
      <c r="I156" s="1778">
        <v>10.99</v>
      </c>
      <c r="J156" s="1779">
        <v>46.33</v>
      </c>
      <c r="K156" s="1780">
        <v>18.532</v>
      </c>
      <c r="L156" s="1781"/>
      <c r="M156" s="1782"/>
      <c r="N156" s="1779">
        <v>80.650000000000006</v>
      </c>
      <c r="O156" s="1783">
        <v>23.042857142857144</v>
      </c>
      <c r="P156" s="1781"/>
      <c r="Q156" s="1782"/>
    </row>
    <row r="157" spans="2:17" ht="15.75">
      <c r="B157" s="1718"/>
      <c r="C157" s="1652"/>
      <c r="D157" s="1717">
        <v>146</v>
      </c>
      <c r="E157" s="1732" t="s">
        <v>1327</v>
      </c>
      <c r="F157" s="1667">
        <v>3</v>
      </c>
      <c r="G157" s="1602">
        <v>6</v>
      </c>
      <c r="H157" s="1603">
        <v>6.68</v>
      </c>
      <c r="I157" s="1604">
        <v>5.25</v>
      </c>
      <c r="J157" s="1412">
        <v>17.84</v>
      </c>
      <c r="K157" s="1675">
        <v>8.92</v>
      </c>
      <c r="L157" s="1413"/>
      <c r="M157" s="1414"/>
      <c r="N157" s="1412">
        <v>53.46</v>
      </c>
      <c r="O157" s="1676">
        <v>13.365</v>
      </c>
      <c r="P157" s="1413"/>
      <c r="Q157" s="1414"/>
    </row>
    <row r="158" spans="2:17" ht="15.75">
      <c r="B158" s="1718"/>
      <c r="C158" s="1652"/>
      <c r="D158" s="1717">
        <v>147</v>
      </c>
      <c r="E158" s="1732" t="s">
        <v>1327</v>
      </c>
      <c r="F158" s="1667">
        <v>3.5</v>
      </c>
      <c r="G158" s="1602">
        <v>7</v>
      </c>
      <c r="H158" s="1603">
        <v>7.7</v>
      </c>
      <c r="I158" s="1604">
        <v>6.04</v>
      </c>
      <c r="J158" s="1412">
        <v>20.02</v>
      </c>
      <c r="K158" s="1675">
        <v>10.01</v>
      </c>
      <c r="L158" s="1413"/>
      <c r="M158" s="1414"/>
      <c r="N158" s="1412">
        <v>60.44</v>
      </c>
      <c r="O158" s="1676">
        <v>15.11</v>
      </c>
      <c r="P158" s="1413"/>
      <c r="Q158" s="1414"/>
    </row>
    <row r="159" spans="2:17" ht="15.75">
      <c r="B159" s="1718"/>
      <c r="C159" s="1652"/>
      <c r="D159" s="1717">
        <v>148</v>
      </c>
      <c r="E159" s="1732" t="s">
        <v>1327</v>
      </c>
      <c r="F159" s="1667">
        <v>4</v>
      </c>
      <c r="G159" s="1602">
        <v>8</v>
      </c>
      <c r="H159" s="1603">
        <v>8.68</v>
      </c>
      <c r="I159" s="1604">
        <v>6.82</v>
      </c>
      <c r="J159" s="1412">
        <v>21.98</v>
      </c>
      <c r="K159" s="1675">
        <v>10.99</v>
      </c>
      <c r="L159" s="1413"/>
      <c r="M159" s="1414"/>
      <c r="N159" s="1412">
        <v>66.91</v>
      </c>
      <c r="O159" s="1676">
        <v>16.727499999999999</v>
      </c>
      <c r="P159" s="1413"/>
      <c r="Q159" s="1414"/>
    </row>
    <row r="160" spans="2:17" ht="15.75">
      <c r="B160" s="1718"/>
      <c r="C160" s="1652"/>
      <c r="D160" s="1717">
        <v>149</v>
      </c>
      <c r="E160" s="1732" t="s">
        <v>1327</v>
      </c>
      <c r="F160" s="1667">
        <v>5</v>
      </c>
      <c r="G160" s="1602">
        <v>10</v>
      </c>
      <c r="H160" s="1603">
        <v>10.57</v>
      </c>
      <c r="I160" s="1604">
        <v>8.3000000000000007</v>
      </c>
      <c r="J160" s="1412">
        <v>25.34</v>
      </c>
      <c r="K160" s="1675">
        <v>12.67</v>
      </c>
      <c r="L160" s="1413"/>
      <c r="M160" s="1414"/>
      <c r="N160" s="1412">
        <v>78.38</v>
      </c>
      <c r="O160" s="1676">
        <v>19.594999999999999</v>
      </c>
      <c r="P160" s="1413"/>
      <c r="Q160" s="1414"/>
    </row>
    <row r="161" spans="2:17" ht="15.75">
      <c r="B161" s="1718"/>
      <c r="C161" s="1652"/>
      <c r="D161" s="1717">
        <v>150</v>
      </c>
      <c r="E161" s="1732" t="s">
        <v>1327</v>
      </c>
      <c r="F161" s="1667">
        <v>6</v>
      </c>
      <c r="G161" s="1602">
        <v>12</v>
      </c>
      <c r="H161" s="1603">
        <v>12.34</v>
      </c>
      <c r="I161" s="1604">
        <v>9.69</v>
      </c>
      <c r="J161" s="1412">
        <v>27.97</v>
      </c>
      <c r="K161" s="1675">
        <v>13.984999999999999</v>
      </c>
      <c r="L161" s="1413"/>
      <c r="M161" s="1414"/>
      <c r="N161" s="1412">
        <v>87.97</v>
      </c>
      <c r="O161" s="1676">
        <v>21.9925</v>
      </c>
      <c r="P161" s="1413"/>
      <c r="Q161" s="1414"/>
    </row>
    <row r="162" spans="2:17" ht="15.75">
      <c r="B162" s="1718"/>
      <c r="C162" s="1652"/>
      <c r="D162" s="1717">
        <v>151</v>
      </c>
      <c r="E162" s="1733" t="s">
        <v>1327</v>
      </c>
      <c r="F162" s="1734">
        <v>7</v>
      </c>
      <c r="G162" s="1735">
        <v>14</v>
      </c>
      <c r="H162" s="1754">
        <v>14</v>
      </c>
      <c r="I162" s="1762">
        <v>10.99</v>
      </c>
      <c r="J162" s="1346">
        <v>29.94</v>
      </c>
      <c r="K162" s="1739">
        <v>14.97</v>
      </c>
      <c r="L162" s="1347"/>
      <c r="M162" s="1348"/>
      <c r="N162" s="1346">
        <v>95.77</v>
      </c>
      <c r="O162" s="1763">
        <v>23.942499999999999</v>
      </c>
      <c r="P162" s="1347"/>
      <c r="Q162" s="1348"/>
    </row>
    <row r="163" spans="2:17" ht="15.75">
      <c r="B163" s="1718"/>
      <c r="C163" s="1652"/>
      <c r="D163" s="1717">
        <v>152</v>
      </c>
      <c r="E163" s="1732" t="s">
        <v>1328</v>
      </c>
      <c r="F163" s="1667">
        <v>3</v>
      </c>
      <c r="G163" s="1602">
        <v>6</v>
      </c>
      <c r="H163" s="1603">
        <v>7.28</v>
      </c>
      <c r="I163" s="1604">
        <v>5.72</v>
      </c>
      <c r="J163" s="1412">
        <v>29.88</v>
      </c>
      <c r="K163" s="1675">
        <v>11.952</v>
      </c>
      <c r="L163" s="1413"/>
      <c r="M163" s="1414"/>
      <c r="N163" s="1412">
        <v>62.35</v>
      </c>
      <c r="O163" s="1676">
        <v>15.5875</v>
      </c>
      <c r="P163" s="1413"/>
      <c r="Q163" s="1414"/>
    </row>
    <row r="164" spans="2:17" ht="15.75">
      <c r="B164" s="1718"/>
      <c r="C164" s="1652"/>
      <c r="D164" s="1717">
        <v>153</v>
      </c>
      <c r="E164" s="1732" t="s">
        <v>1328</v>
      </c>
      <c r="F164" s="1667">
        <v>3.5</v>
      </c>
      <c r="G164" s="1602">
        <v>7</v>
      </c>
      <c r="H164" s="1603">
        <v>8.4</v>
      </c>
      <c r="I164" s="1604">
        <v>6.59</v>
      </c>
      <c r="J164" s="1412">
        <v>33.72</v>
      </c>
      <c r="K164" s="1675">
        <v>13.488</v>
      </c>
      <c r="L164" s="1413"/>
      <c r="M164" s="1414"/>
      <c r="N164" s="1412">
        <v>70.69</v>
      </c>
      <c r="O164" s="1676">
        <v>17.672499999999999</v>
      </c>
      <c r="P164" s="1413"/>
      <c r="Q164" s="1414"/>
    </row>
    <row r="165" spans="2:17" ht="15.75">
      <c r="B165" s="1718"/>
      <c r="C165" s="1652"/>
      <c r="D165" s="1717">
        <v>154</v>
      </c>
      <c r="E165" s="1733" t="s">
        <v>1328</v>
      </c>
      <c r="F165" s="1734">
        <v>4</v>
      </c>
      <c r="G165" s="1735">
        <v>8</v>
      </c>
      <c r="H165" s="1754">
        <v>9.48</v>
      </c>
      <c r="I165" s="1762">
        <v>7.44</v>
      </c>
      <c r="J165" s="1346">
        <v>37.26</v>
      </c>
      <c r="K165" s="1739">
        <v>14.904</v>
      </c>
      <c r="L165" s="1347"/>
      <c r="M165" s="1348"/>
      <c r="N165" s="1346">
        <v>78.48</v>
      </c>
      <c r="O165" s="1763">
        <v>19.62</v>
      </c>
      <c r="P165" s="1347"/>
      <c r="Q165" s="1348"/>
    </row>
    <row r="166" spans="2:17" ht="15.75">
      <c r="B166" s="1718"/>
      <c r="C166" s="1652"/>
      <c r="D166" s="1717">
        <v>155</v>
      </c>
      <c r="E166" s="1732" t="s">
        <v>1329</v>
      </c>
      <c r="F166" s="1667">
        <v>3.5</v>
      </c>
      <c r="G166" s="1602">
        <v>7</v>
      </c>
      <c r="H166" s="1603">
        <v>9.1</v>
      </c>
      <c r="I166" s="1604">
        <v>7.14</v>
      </c>
      <c r="J166" s="1412">
        <v>51.63</v>
      </c>
      <c r="K166" s="1675">
        <v>17.21</v>
      </c>
      <c r="L166" s="1413"/>
      <c r="M166" s="1414"/>
      <c r="N166" s="1412">
        <v>80.94</v>
      </c>
      <c r="O166" s="1676">
        <v>20.234999999999999</v>
      </c>
      <c r="P166" s="1413"/>
      <c r="Q166" s="1414"/>
    </row>
    <row r="167" spans="2:17" ht="15.75">
      <c r="B167" s="1718"/>
      <c r="C167" s="1652"/>
      <c r="D167" s="1717">
        <v>156</v>
      </c>
      <c r="E167" s="1732" t="s">
        <v>1329</v>
      </c>
      <c r="F167" s="1667">
        <v>4</v>
      </c>
      <c r="G167" s="1602">
        <v>8</v>
      </c>
      <c r="H167" s="1603">
        <v>10.28</v>
      </c>
      <c r="I167" s="1604">
        <v>8.07</v>
      </c>
      <c r="J167" s="1412">
        <v>57.29</v>
      </c>
      <c r="K167" s="1675">
        <v>19.096666666666668</v>
      </c>
      <c r="L167" s="1413"/>
      <c r="M167" s="1414"/>
      <c r="N167" s="1412">
        <v>90.04</v>
      </c>
      <c r="O167" s="1676">
        <v>22.51</v>
      </c>
      <c r="P167" s="1413"/>
      <c r="Q167" s="1414"/>
    </row>
    <row r="168" spans="2:17" ht="15.75">
      <c r="B168" s="1718"/>
      <c r="C168" s="1652"/>
      <c r="D168" s="1717">
        <v>157</v>
      </c>
      <c r="E168" s="1732" t="s">
        <v>1329</v>
      </c>
      <c r="F168" s="1667">
        <v>5</v>
      </c>
      <c r="G168" s="1602">
        <v>10</v>
      </c>
      <c r="H168" s="1603">
        <v>12.57</v>
      </c>
      <c r="I168" s="1604">
        <v>9.8699999999999992</v>
      </c>
      <c r="J168" s="1412">
        <v>67.459999999999994</v>
      </c>
      <c r="K168" s="1675">
        <v>22.486666666666665</v>
      </c>
      <c r="L168" s="1413"/>
      <c r="M168" s="1414"/>
      <c r="N168" s="1412">
        <v>106.55</v>
      </c>
      <c r="O168" s="1676">
        <v>26.637499999999999</v>
      </c>
      <c r="P168" s="1413"/>
      <c r="Q168" s="1414"/>
    </row>
    <row r="169" spans="2:17" ht="15.75">
      <c r="B169" s="1718"/>
      <c r="C169" s="1652"/>
      <c r="D169" s="1717">
        <v>158</v>
      </c>
      <c r="E169" s="1732" t="s">
        <v>1329</v>
      </c>
      <c r="F169" s="1667">
        <v>6</v>
      </c>
      <c r="G169" s="1602">
        <v>12</v>
      </c>
      <c r="H169" s="1603">
        <v>14.74</v>
      </c>
      <c r="I169" s="1604">
        <v>11.57</v>
      </c>
      <c r="J169" s="1412">
        <v>76.16</v>
      </c>
      <c r="K169" s="1675">
        <v>25.386666666666667</v>
      </c>
      <c r="L169" s="1413"/>
      <c r="M169" s="1414"/>
      <c r="N169" s="1412">
        <v>120.9</v>
      </c>
      <c r="O169" s="1676">
        <v>30.225000000000001</v>
      </c>
      <c r="P169" s="1413"/>
      <c r="Q169" s="1414"/>
    </row>
    <row r="170" spans="2:17" ht="15.75">
      <c r="B170" s="1718"/>
      <c r="C170" s="1652"/>
      <c r="D170" s="1717">
        <v>159</v>
      </c>
      <c r="E170" s="1733" t="s">
        <v>1329</v>
      </c>
      <c r="F170" s="1734">
        <v>7</v>
      </c>
      <c r="G170" s="1735">
        <v>14</v>
      </c>
      <c r="H170" s="1754">
        <v>16.8</v>
      </c>
      <c r="I170" s="1762">
        <v>13.19</v>
      </c>
      <c r="J170" s="1346">
        <v>83.48</v>
      </c>
      <c r="K170" s="1739">
        <v>27.826666666666668</v>
      </c>
      <c r="L170" s="1347"/>
      <c r="M170" s="1348"/>
      <c r="N170" s="1346">
        <v>133.19</v>
      </c>
      <c r="O170" s="1763">
        <v>33.297499999999999</v>
      </c>
      <c r="P170" s="1347"/>
      <c r="Q170" s="1348"/>
    </row>
    <row r="171" spans="2:17" ht="15.75">
      <c r="B171" s="1718"/>
      <c r="C171" s="1652"/>
      <c r="D171" s="1717">
        <v>160</v>
      </c>
      <c r="E171" s="1719" t="s">
        <v>1330</v>
      </c>
      <c r="F171" s="1661">
        <v>3.5</v>
      </c>
      <c r="G171" s="1594">
        <v>7</v>
      </c>
      <c r="H171" s="1595">
        <v>8.4</v>
      </c>
      <c r="I171" s="1596">
        <v>6.59</v>
      </c>
      <c r="J171" s="1597">
        <v>22.36</v>
      </c>
      <c r="K171" s="1673">
        <v>11.18</v>
      </c>
      <c r="L171" s="1599"/>
      <c r="M171" s="1600"/>
      <c r="N171" s="1597">
        <v>81.64</v>
      </c>
      <c r="O171" s="1674">
        <v>18.142222222222223</v>
      </c>
      <c r="P171" s="1599"/>
      <c r="Q171" s="1600"/>
    </row>
    <row r="172" spans="2:17" ht="15.75">
      <c r="B172" s="1718"/>
      <c r="C172" s="1652"/>
      <c r="D172" s="1717">
        <v>161</v>
      </c>
      <c r="E172" s="1719" t="s">
        <v>1330</v>
      </c>
      <c r="F172" s="1661">
        <v>4</v>
      </c>
      <c r="G172" s="1594">
        <v>8</v>
      </c>
      <c r="H172" s="1595">
        <v>9.48</v>
      </c>
      <c r="I172" s="1596">
        <v>7.44</v>
      </c>
      <c r="J172" s="1597">
        <v>24.59</v>
      </c>
      <c r="K172" s="1673">
        <v>12.295</v>
      </c>
      <c r="L172" s="1599"/>
      <c r="M172" s="1600"/>
      <c r="N172" s="1597">
        <v>90.61</v>
      </c>
      <c r="O172" s="1674">
        <v>20.135555555555555</v>
      </c>
      <c r="P172" s="1599"/>
      <c r="Q172" s="1600"/>
    </row>
    <row r="173" spans="2:17" ht="15.75">
      <c r="B173" s="1718"/>
      <c r="C173" s="1652"/>
      <c r="D173" s="1717">
        <v>162</v>
      </c>
      <c r="E173" s="1719" t="s">
        <v>1330</v>
      </c>
      <c r="F173" s="1661">
        <v>5</v>
      </c>
      <c r="G173" s="1594">
        <v>10</v>
      </c>
      <c r="H173" s="1595">
        <v>11.57</v>
      </c>
      <c r="I173" s="1596">
        <v>9.08</v>
      </c>
      <c r="J173" s="1597">
        <v>28.42</v>
      </c>
      <c r="K173" s="1673">
        <v>14.21</v>
      </c>
      <c r="L173" s="1599"/>
      <c r="M173" s="1600"/>
      <c r="N173" s="1597">
        <v>106.7</v>
      </c>
      <c r="O173" s="1674">
        <v>23.711111111111112</v>
      </c>
      <c r="P173" s="1599"/>
      <c r="Q173" s="1600"/>
    </row>
    <row r="174" spans="2:17">
      <c r="B174" s="1718"/>
      <c r="C174" s="1449"/>
      <c r="D174" s="1717">
        <v>163</v>
      </c>
      <c r="E174" s="1719" t="s">
        <v>1330</v>
      </c>
      <c r="F174" s="1661">
        <v>6</v>
      </c>
      <c r="G174" s="1594">
        <v>12</v>
      </c>
      <c r="H174" s="1595">
        <v>13.54</v>
      </c>
      <c r="I174" s="1596">
        <v>10.63</v>
      </c>
      <c r="J174" s="1597">
        <v>31.48</v>
      </c>
      <c r="K174" s="1673">
        <v>15.74</v>
      </c>
      <c r="L174" s="1599"/>
      <c r="M174" s="1600"/>
      <c r="N174" s="1597">
        <v>120.4</v>
      </c>
      <c r="O174" s="1674">
        <v>26.755555555555556</v>
      </c>
      <c r="P174" s="1599"/>
      <c r="Q174" s="1600"/>
    </row>
    <row r="175" spans="2:17">
      <c r="B175" s="1718"/>
      <c r="C175" s="1449"/>
      <c r="D175" s="1717">
        <v>164</v>
      </c>
      <c r="E175" s="1724" t="s">
        <v>1330</v>
      </c>
      <c r="F175" s="1725">
        <v>7</v>
      </c>
      <c r="G175" s="1726">
        <v>14</v>
      </c>
      <c r="H175" s="1757">
        <v>15.4</v>
      </c>
      <c r="I175" s="1758">
        <v>12.09</v>
      </c>
      <c r="J175" s="1760">
        <v>33.81</v>
      </c>
      <c r="K175" s="1730">
        <v>16.905000000000001</v>
      </c>
      <c r="L175" s="1441"/>
      <c r="M175" s="1731"/>
      <c r="N175" s="1760">
        <v>138.5</v>
      </c>
      <c r="O175" s="1761">
        <v>30.777777777777779</v>
      </c>
      <c r="P175" s="1441"/>
      <c r="Q175" s="1731"/>
    </row>
    <row r="176" spans="2:17">
      <c r="B176" s="1718"/>
      <c r="C176" s="1449" t="s">
        <v>893</v>
      </c>
      <c r="D176" s="1717">
        <v>165</v>
      </c>
      <c r="E176" s="1744" t="s">
        <v>1331</v>
      </c>
      <c r="F176" s="1745">
        <v>3</v>
      </c>
      <c r="G176" s="1746">
        <v>6</v>
      </c>
      <c r="H176" s="1764">
        <v>7.8849999999999998</v>
      </c>
      <c r="I176" s="1765">
        <v>6.19</v>
      </c>
      <c r="J176" s="1766">
        <v>33.15</v>
      </c>
      <c r="K176" s="1750">
        <v>13.26</v>
      </c>
      <c r="L176" s="1751">
        <v>83.355370810951172</v>
      </c>
      <c r="M176" s="1752"/>
      <c r="N176" s="1766">
        <v>83.36</v>
      </c>
      <c r="O176" s="1767">
        <v>18.524444444444445</v>
      </c>
      <c r="P176" s="1751"/>
      <c r="Q176" s="1752"/>
    </row>
    <row r="177" spans="2:17">
      <c r="B177" s="1718"/>
      <c r="C177" s="1449"/>
      <c r="D177" s="1717">
        <v>166</v>
      </c>
      <c r="E177" s="1719" t="s">
        <v>1332</v>
      </c>
      <c r="F177" s="1661">
        <v>4</v>
      </c>
      <c r="G177" s="1594">
        <v>8</v>
      </c>
      <c r="H177" s="1595">
        <v>11.08</v>
      </c>
      <c r="I177" s="1596">
        <v>8.6999999999999993</v>
      </c>
      <c r="J177" s="1597">
        <v>63.57</v>
      </c>
      <c r="K177" s="1673">
        <v>21.19</v>
      </c>
      <c r="L177" s="1599">
        <v>120.1731503097879</v>
      </c>
      <c r="M177" s="1600"/>
      <c r="N177" s="1597">
        <v>120.2</v>
      </c>
      <c r="O177" s="1674">
        <v>26.711111111111112</v>
      </c>
      <c r="P177" s="1599"/>
      <c r="Q177" s="1600"/>
    </row>
    <row r="178" spans="2:17">
      <c r="B178" s="1718"/>
      <c r="C178" s="1449"/>
      <c r="D178" s="1717">
        <v>167</v>
      </c>
      <c r="E178" s="1719" t="s">
        <v>1332</v>
      </c>
      <c r="F178" s="1661">
        <v>5</v>
      </c>
      <c r="G178" s="1594">
        <v>10</v>
      </c>
      <c r="H178" s="1595">
        <v>13.57</v>
      </c>
      <c r="I178" s="1596">
        <v>10.65</v>
      </c>
      <c r="J178" s="1597">
        <v>75.040000000000006</v>
      </c>
      <c r="K178" s="1673">
        <v>25.013333333333335</v>
      </c>
      <c r="L178" s="1599">
        <v>142.83372817206413</v>
      </c>
      <c r="M178" s="1600"/>
      <c r="N178" s="1597">
        <v>142.80000000000001</v>
      </c>
      <c r="O178" s="1674">
        <v>31.733333333333334</v>
      </c>
      <c r="P178" s="1599"/>
      <c r="Q178" s="1600"/>
    </row>
    <row r="179" spans="2:17">
      <c r="B179" s="1718"/>
      <c r="C179" s="1449"/>
      <c r="D179" s="1717">
        <v>168</v>
      </c>
      <c r="E179" s="1719" t="s">
        <v>1332</v>
      </c>
      <c r="F179" s="1661">
        <v>6</v>
      </c>
      <c r="G179" s="1594">
        <v>12</v>
      </c>
      <c r="H179" s="1595">
        <v>15.94</v>
      </c>
      <c r="I179" s="1596">
        <v>12.51</v>
      </c>
      <c r="J179" s="1597">
        <v>84.94</v>
      </c>
      <c r="K179" s="1673">
        <v>28.313333333333333</v>
      </c>
      <c r="L179" s="1599">
        <v>162.8564243560534</v>
      </c>
      <c r="M179" s="1600"/>
      <c r="N179" s="1597">
        <v>162.80000000000001</v>
      </c>
      <c r="O179" s="1674">
        <v>36.177777777777777</v>
      </c>
      <c r="P179" s="1599"/>
      <c r="Q179" s="1600"/>
    </row>
    <row r="180" spans="2:17">
      <c r="B180" s="1718"/>
      <c r="C180" s="1449"/>
      <c r="D180" s="1717">
        <v>169</v>
      </c>
      <c r="E180" s="1724" t="s">
        <v>1332</v>
      </c>
      <c r="F180" s="1725">
        <v>7</v>
      </c>
      <c r="G180" s="1726">
        <v>14</v>
      </c>
      <c r="H180" s="1757">
        <v>18.2</v>
      </c>
      <c r="I180" s="1758">
        <v>14.29</v>
      </c>
      <c r="J180" s="1760">
        <v>93.37</v>
      </c>
      <c r="K180" s="1730">
        <v>31.123333333333335</v>
      </c>
      <c r="L180" s="1441"/>
      <c r="M180" s="1731"/>
      <c r="N180" s="1760">
        <v>180.2</v>
      </c>
      <c r="O180" s="1761">
        <v>40.044444444444444</v>
      </c>
      <c r="P180" s="1441"/>
      <c r="Q180" s="1731"/>
    </row>
    <row r="181" spans="2:17">
      <c r="B181" s="1718"/>
      <c r="C181" s="1449"/>
      <c r="D181" s="1717">
        <v>170</v>
      </c>
      <c r="E181" s="1732" t="s">
        <v>1333</v>
      </c>
      <c r="F181" s="1784">
        <v>4</v>
      </c>
      <c r="G181" s="1602">
        <v>8</v>
      </c>
      <c r="H181" s="1603">
        <v>10.28</v>
      </c>
      <c r="I181" s="1604">
        <v>8.07</v>
      </c>
      <c r="J181" s="1412">
        <v>27.2</v>
      </c>
      <c r="K181" s="1675">
        <v>13.6</v>
      </c>
      <c r="L181" s="1413"/>
      <c r="M181" s="1414"/>
      <c r="N181" s="1412">
        <v>119</v>
      </c>
      <c r="O181" s="1676">
        <v>23.8</v>
      </c>
      <c r="P181" s="1413"/>
      <c r="Q181" s="1414"/>
    </row>
    <row r="182" spans="2:17">
      <c r="B182" s="1718"/>
      <c r="C182" s="1449"/>
      <c r="D182" s="1717">
        <v>171</v>
      </c>
      <c r="E182" s="1732" t="s">
        <v>1333</v>
      </c>
      <c r="F182" s="1784">
        <v>5</v>
      </c>
      <c r="G182" s="1602">
        <v>10</v>
      </c>
      <c r="H182" s="1603">
        <v>12.57</v>
      </c>
      <c r="I182" s="1604">
        <v>9.8699999999999992</v>
      </c>
      <c r="J182" s="1412">
        <v>31.5</v>
      </c>
      <c r="K182" s="1675">
        <v>15.75</v>
      </c>
      <c r="L182" s="1413"/>
      <c r="M182" s="1414"/>
      <c r="N182" s="1412">
        <v>140.69999999999999</v>
      </c>
      <c r="O182" s="1676">
        <v>28.14</v>
      </c>
      <c r="P182" s="1413"/>
      <c r="Q182" s="1414"/>
    </row>
    <row r="183" spans="2:17">
      <c r="B183" s="1718"/>
      <c r="C183" s="1449"/>
      <c r="D183" s="1717">
        <v>172</v>
      </c>
      <c r="E183" s="1732" t="s">
        <v>1333</v>
      </c>
      <c r="F183" s="1784">
        <v>6</v>
      </c>
      <c r="G183" s="1602">
        <v>12</v>
      </c>
      <c r="H183" s="1603">
        <v>14.74</v>
      </c>
      <c r="I183" s="1604">
        <v>11.57</v>
      </c>
      <c r="J183" s="1412">
        <v>34.979999999999997</v>
      </c>
      <c r="K183" s="1675">
        <v>17.489999999999998</v>
      </c>
      <c r="L183" s="1413"/>
      <c r="M183" s="1414"/>
      <c r="N183" s="1412">
        <v>159.6</v>
      </c>
      <c r="O183" s="1676">
        <v>31.92</v>
      </c>
      <c r="P183" s="1413"/>
      <c r="Q183" s="1414"/>
    </row>
    <row r="184" spans="2:17">
      <c r="B184" s="1718"/>
      <c r="C184" s="1449"/>
      <c r="D184" s="1717">
        <v>173</v>
      </c>
      <c r="E184" s="1733" t="s">
        <v>1333</v>
      </c>
      <c r="F184" s="1785">
        <v>7</v>
      </c>
      <c r="G184" s="1735">
        <v>14</v>
      </c>
      <c r="H184" s="1754">
        <v>16.8</v>
      </c>
      <c r="I184" s="1762">
        <v>13.19</v>
      </c>
      <c r="J184" s="1346">
        <v>37.68</v>
      </c>
      <c r="K184" s="1739">
        <v>18.84</v>
      </c>
      <c r="L184" s="1347"/>
      <c r="M184" s="1348"/>
      <c r="N184" s="1346">
        <v>175.6</v>
      </c>
      <c r="O184" s="1763">
        <v>35.119999999999997</v>
      </c>
      <c r="P184" s="1347"/>
      <c r="Q184" s="1348"/>
    </row>
    <row r="185" spans="2:17" ht="15.75">
      <c r="B185" s="1718"/>
      <c r="C185" s="1652"/>
      <c r="D185" s="1717">
        <v>174</v>
      </c>
      <c r="E185" s="1732" t="s">
        <v>1334</v>
      </c>
      <c r="F185" s="1784">
        <v>4</v>
      </c>
      <c r="G185" s="1602">
        <v>8</v>
      </c>
      <c r="H185" s="1603">
        <v>11.08</v>
      </c>
      <c r="I185" s="1604">
        <v>8.6999999999999993</v>
      </c>
      <c r="J185" s="1412">
        <v>45.75</v>
      </c>
      <c r="K185" s="1675">
        <v>18.3</v>
      </c>
      <c r="L185" s="1413"/>
      <c r="M185" s="1414"/>
      <c r="N185" s="1412">
        <v>137.5</v>
      </c>
      <c r="O185" s="1676">
        <v>27.5</v>
      </c>
      <c r="P185" s="1413"/>
      <c r="Q185" s="1414"/>
    </row>
    <row r="186" spans="2:17" ht="15.75">
      <c r="B186" s="1718"/>
      <c r="C186" s="1652"/>
      <c r="D186" s="1717">
        <v>175</v>
      </c>
      <c r="E186" s="1732" t="s">
        <v>1334</v>
      </c>
      <c r="F186" s="1784">
        <v>5</v>
      </c>
      <c r="G186" s="1602">
        <v>10</v>
      </c>
      <c r="H186" s="1603">
        <v>13.57</v>
      </c>
      <c r="I186" s="1604">
        <v>10.65</v>
      </c>
      <c r="J186" s="1412">
        <v>53.67</v>
      </c>
      <c r="K186" s="1675">
        <v>21.468</v>
      </c>
      <c r="L186" s="1413"/>
      <c r="M186" s="1414"/>
      <c r="N186" s="1412">
        <v>163.4</v>
      </c>
      <c r="O186" s="1676">
        <v>32.68</v>
      </c>
      <c r="P186" s="1413"/>
      <c r="Q186" s="1414"/>
    </row>
    <row r="187" spans="2:17" ht="15.75">
      <c r="B187" s="1718"/>
      <c r="C187" s="1652"/>
      <c r="D187" s="1717">
        <v>176</v>
      </c>
      <c r="E187" s="1732" t="s">
        <v>1334</v>
      </c>
      <c r="F187" s="1784">
        <v>6</v>
      </c>
      <c r="G187" s="1602">
        <v>12</v>
      </c>
      <c r="H187" s="1603">
        <v>15.94</v>
      </c>
      <c r="I187" s="1604">
        <v>12.51</v>
      </c>
      <c r="J187" s="1412">
        <v>60.37</v>
      </c>
      <c r="K187" s="1675">
        <v>24.148</v>
      </c>
      <c r="L187" s="1413"/>
      <c r="M187" s="1414"/>
      <c r="N187" s="1412">
        <v>186.1</v>
      </c>
      <c r="O187" s="1676">
        <v>37.22</v>
      </c>
      <c r="P187" s="1413"/>
      <c r="Q187" s="1414"/>
    </row>
    <row r="188" spans="2:17" ht="15.75">
      <c r="B188" s="1718"/>
      <c r="C188" s="1652"/>
      <c r="D188" s="1717">
        <v>177</v>
      </c>
      <c r="E188" s="1733" t="s">
        <v>1334</v>
      </c>
      <c r="F188" s="1785">
        <v>7</v>
      </c>
      <c r="G188" s="1735">
        <v>14</v>
      </c>
      <c r="H188" s="1754">
        <v>18.2</v>
      </c>
      <c r="I188" s="1762">
        <v>14.29</v>
      </c>
      <c r="J188" s="1346">
        <v>65.92</v>
      </c>
      <c r="K188" s="1739">
        <v>26.368000000000002</v>
      </c>
      <c r="L188" s="1347"/>
      <c r="M188" s="1348"/>
      <c r="N188" s="1346">
        <v>205.9</v>
      </c>
      <c r="O188" s="1763">
        <v>41.18</v>
      </c>
      <c r="P188" s="1347"/>
      <c r="Q188" s="1348"/>
    </row>
    <row r="189" spans="2:17" ht="15.75">
      <c r="B189" s="1718"/>
      <c r="C189" s="1652"/>
      <c r="D189" s="1717">
        <v>178</v>
      </c>
      <c r="E189" s="1732" t="s">
        <v>1335</v>
      </c>
      <c r="F189" s="1784">
        <v>4</v>
      </c>
      <c r="G189" s="1602">
        <v>8</v>
      </c>
      <c r="H189" s="1603">
        <v>12.68</v>
      </c>
      <c r="I189" s="1604">
        <v>9.9600000000000009</v>
      </c>
      <c r="J189" s="1412">
        <v>99.9</v>
      </c>
      <c r="K189" s="1675">
        <v>28.542857142857144</v>
      </c>
      <c r="L189" s="1413"/>
      <c r="M189" s="1414"/>
      <c r="N189" s="1412">
        <v>174.4</v>
      </c>
      <c r="O189" s="1676">
        <v>34.880000000000003</v>
      </c>
      <c r="P189" s="1413"/>
      <c r="Q189" s="1414"/>
    </row>
    <row r="190" spans="2:17" ht="15.75">
      <c r="B190" s="1718"/>
      <c r="C190" s="1652"/>
      <c r="D190" s="1717">
        <v>179</v>
      </c>
      <c r="E190" s="1732" t="s">
        <v>1335</v>
      </c>
      <c r="F190" s="1784">
        <v>5</v>
      </c>
      <c r="G190" s="1602">
        <v>10</v>
      </c>
      <c r="H190" s="1603">
        <v>15.57</v>
      </c>
      <c r="I190" s="1604">
        <v>12.22</v>
      </c>
      <c r="J190" s="1412">
        <v>118.8</v>
      </c>
      <c r="K190" s="1675">
        <v>33.942857142857143</v>
      </c>
      <c r="L190" s="1413"/>
      <c r="M190" s="1414"/>
      <c r="N190" s="1412">
        <v>208.5</v>
      </c>
      <c r="O190" s="1676">
        <v>41.7</v>
      </c>
      <c r="P190" s="1413"/>
      <c r="Q190" s="1414"/>
    </row>
    <row r="191" spans="2:17" ht="15.75">
      <c r="B191" s="1718"/>
      <c r="C191" s="1652"/>
      <c r="D191" s="1717">
        <v>180</v>
      </c>
      <c r="E191" s="1732" t="s">
        <v>1335</v>
      </c>
      <c r="F191" s="1784">
        <v>6</v>
      </c>
      <c r="G191" s="1602">
        <v>12</v>
      </c>
      <c r="H191" s="1603">
        <v>18.34</v>
      </c>
      <c r="I191" s="1604">
        <v>14.4</v>
      </c>
      <c r="J191" s="1412">
        <v>135.6</v>
      </c>
      <c r="K191" s="1675">
        <v>38.74285714285714</v>
      </c>
      <c r="L191" s="1413"/>
      <c r="M191" s="1414"/>
      <c r="N191" s="1412">
        <v>239.2</v>
      </c>
      <c r="O191" s="1676">
        <v>47.84</v>
      </c>
      <c r="P191" s="1413"/>
      <c r="Q191" s="1414"/>
    </row>
    <row r="192" spans="2:17" ht="15.75">
      <c r="B192" s="1718"/>
      <c r="C192" s="1652"/>
      <c r="D192" s="1717">
        <v>181</v>
      </c>
      <c r="E192" s="1733" t="s">
        <v>1335</v>
      </c>
      <c r="F192" s="1785">
        <v>7</v>
      </c>
      <c r="G192" s="1735">
        <v>14</v>
      </c>
      <c r="H192" s="1754">
        <v>21</v>
      </c>
      <c r="I192" s="1762">
        <v>16.48</v>
      </c>
      <c r="J192" s="1346">
        <v>150.5</v>
      </c>
      <c r="K192" s="1739">
        <v>43</v>
      </c>
      <c r="L192" s="1347"/>
      <c r="M192" s="1348"/>
      <c r="N192" s="1346">
        <v>266.60000000000002</v>
      </c>
      <c r="O192" s="1763">
        <v>53.32</v>
      </c>
      <c r="P192" s="1347"/>
      <c r="Q192" s="1348"/>
    </row>
    <row r="193" spans="2:17" ht="15.75">
      <c r="B193" s="1718"/>
      <c r="C193" s="1652"/>
      <c r="D193" s="1717">
        <v>182</v>
      </c>
      <c r="E193" s="1719" t="s">
        <v>1336</v>
      </c>
      <c r="F193" s="1661">
        <v>4</v>
      </c>
      <c r="G193" s="1594">
        <v>8</v>
      </c>
      <c r="H193" s="1595">
        <v>11.08</v>
      </c>
      <c r="I193" s="1596">
        <v>8.6999999999999993</v>
      </c>
      <c r="J193" s="1597">
        <v>29.79</v>
      </c>
      <c r="K193" s="1673">
        <v>14.895</v>
      </c>
      <c r="L193" s="1599"/>
      <c r="M193" s="1600"/>
      <c r="N193" s="1597">
        <v>152.6</v>
      </c>
      <c r="O193" s="1674">
        <v>27.745454545454546</v>
      </c>
      <c r="P193" s="1599"/>
      <c r="Q193" s="1600"/>
    </row>
    <row r="194" spans="2:17" ht="15.75">
      <c r="B194" s="1718"/>
      <c r="C194" s="1652"/>
      <c r="D194" s="1717">
        <v>183</v>
      </c>
      <c r="E194" s="1719" t="s">
        <v>1336</v>
      </c>
      <c r="F194" s="1661">
        <v>5</v>
      </c>
      <c r="G194" s="1594">
        <v>10</v>
      </c>
      <c r="H194" s="1595">
        <v>13.57</v>
      </c>
      <c r="I194" s="1596">
        <v>10.65</v>
      </c>
      <c r="J194" s="1597">
        <v>34.590000000000003</v>
      </c>
      <c r="K194" s="1673">
        <v>17.295000000000002</v>
      </c>
      <c r="L194" s="1599"/>
      <c r="M194" s="1600"/>
      <c r="N194" s="1597">
        <v>181.2</v>
      </c>
      <c r="O194" s="1674">
        <v>32.945454545454545</v>
      </c>
      <c r="P194" s="1599"/>
      <c r="Q194" s="1600"/>
    </row>
    <row r="195" spans="2:17" ht="15.75">
      <c r="B195" s="1718"/>
      <c r="C195" s="1652"/>
      <c r="D195" s="1717">
        <v>184</v>
      </c>
      <c r="E195" s="1719" t="s">
        <v>1336</v>
      </c>
      <c r="F195" s="1661">
        <v>6</v>
      </c>
      <c r="G195" s="1594">
        <v>12</v>
      </c>
      <c r="H195" s="1595">
        <v>15.94</v>
      </c>
      <c r="I195" s="1596">
        <v>12.51</v>
      </c>
      <c r="J195" s="1597">
        <v>38.479999999999997</v>
      </c>
      <c r="K195" s="1673">
        <v>19.239999999999998</v>
      </c>
      <c r="L195" s="1599"/>
      <c r="M195" s="1600"/>
      <c r="N195" s="1597">
        <v>206.4</v>
      </c>
      <c r="O195" s="1674">
        <v>37.527272727272731</v>
      </c>
      <c r="P195" s="1599"/>
      <c r="Q195" s="1600"/>
    </row>
    <row r="196" spans="2:17" ht="15.75">
      <c r="B196" s="1718"/>
      <c r="C196" s="1652"/>
      <c r="D196" s="1717">
        <v>185</v>
      </c>
      <c r="E196" s="1724" t="s">
        <v>1336</v>
      </c>
      <c r="F196" s="1725">
        <v>7</v>
      </c>
      <c r="G196" s="1726">
        <v>14</v>
      </c>
      <c r="H196" s="1757">
        <v>18.2</v>
      </c>
      <c r="I196" s="1758">
        <v>14.29</v>
      </c>
      <c r="J196" s="1760">
        <v>41.55</v>
      </c>
      <c r="K196" s="1730">
        <v>20.774999999999999</v>
      </c>
      <c r="L196" s="1441"/>
      <c r="M196" s="1731"/>
      <c r="N196" s="1760">
        <v>227.8</v>
      </c>
      <c r="O196" s="1761">
        <v>41.418181818181822</v>
      </c>
      <c r="P196" s="1441"/>
      <c r="Q196" s="1731"/>
    </row>
    <row r="197" spans="2:17" ht="15.75">
      <c r="B197" s="1718"/>
      <c r="C197" s="1652"/>
      <c r="D197" s="1717">
        <v>186</v>
      </c>
      <c r="E197" s="1719" t="s">
        <v>1337</v>
      </c>
      <c r="F197" s="1661">
        <v>4</v>
      </c>
      <c r="G197" s="1594">
        <v>8</v>
      </c>
      <c r="H197" s="1595">
        <v>11.88</v>
      </c>
      <c r="I197" s="1596">
        <v>9.33</v>
      </c>
      <c r="J197" s="1597">
        <v>49.99</v>
      </c>
      <c r="K197" s="1673">
        <v>19.996000000000002</v>
      </c>
      <c r="L197" s="1599"/>
      <c r="M197" s="1600"/>
      <c r="N197" s="1597">
        <v>175.1</v>
      </c>
      <c r="O197" s="1674">
        <v>31.836363636363636</v>
      </c>
      <c r="P197" s="1599"/>
      <c r="Q197" s="1600"/>
    </row>
    <row r="198" spans="2:17" ht="15.75">
      <c r="B198" s="1718"/>
      <c r="C198" s="1652"/>
      <c r="D198" s="1717">
        <v>187</v>
      </c>
      <c r="E198" s="1719" t="s">
        <v>1337</v>
      </c>
      <c r="F198" s="1661">
        <v>5</v>
      </c>
      <c r="G198" s="1594">
        <v>10</v>
      </c>
      <c r="H198" s="1595">
        <v>14.57</v>
      </c>
      <c r="I198" s="1596">
        <v>11.44</v>
      </c>
      <c r="J198" s="1597">
        <v>58.75</v>
      </c>
      <c r="K198" s="1673">
        <v>23.5</v>
      </c>
      <c r="L198" s="1599"/>
      <c r="M198" s="1600"/>
      <c r="N198" s="1597">
        <v>208.7</v>
      </c>
      <c r="O198" s="1674">
        <v>37.945454545454545</v>
      </c>
      <c r="P198" s="1599"/>
      <c r="Q198" s="1600"/>
    </row>
    <row r="199" spans="2:17" ht="15.75">
      <c r="B199" s="1718"/>
      <c r="C199" s="1652"/>
      <c r="D199" s="1717">
        <v>188</v>
      </c>
      <c r="E199" s="1719" t="s">
        <v>1337</v>
      </c>
      <c r="F199" s="1661">
        <v>6</v>
      </c>
      <c r="G199" s="1594">
        <v>12</v>
      </c>
      <c r="H199" s="1595">
        <v>17.14</v>
      </c>
      <c r="I199" s="1596">
        <v>13.46</v>
      </c>
      <c r="J199" s="1597">
        <v>66.209999999999994</v>
      </c>
      <c r="K199" s="1673">
        <v>26.483999999999998</v>
      </c>
      <c r="L199" s="1599"/>
      <c r="M199" s="1600"/>
      <c r="N199" s="1597">
        <v>238.6</v>
      </c>
      <c r="O199" s="1674">
        <v>43.381818181818183</v>
      </c>
      <c r="P199" s="1599"/>
      <c r="Q199" s="1600"/>
    </row>
    <row r="200" spans="2:17" ht="15.75">
      <c r="B200" s="1718"/>
      <c r="C200" s="1652"/>
      <c r="D200" s="1717">
        <v>189</v>
      </c>
      <c r="E200" s="1724" t="s">
        <v>1337</v>
      </c>
      <c r="F200" s="1725">
        <v>7</v>
      </c>
      <c r="G200" s="1726">
        <v>14</v>
      </c>
      <c r="H200" s="1757">
        <v>19.600000000000001</v>
      </c>
      <c r="I200" s="1758">
        <v>15.38</v>
      </c>
      <c r="J200" s="1760">
        <v>72.45</v>
      </c>
      <c r="K200" s="1730">
        <v>28.98</v>
      </c>
      <c r="L200" s="1441"/>
      <c r="M200" s="1731"/>
      <c r="N200" s="1760">
        <v>265</v>
      </c>
      <c r="O200" s="1761">
        <v>48.18181818181818</v>
      </c>
      <c r="P200" s="1441"/>
      <c r="Q200" s="1731"/>
    </row>
    <row r="201" spans="2:17" ht="15.75">
      <c r="B201" s="1718"/>
      <c r="C201" s="1652"/>
      <c r="D201" s="1717">
        <v>190</v>
      </c>
      <c r="E201" s="1719" t="s">
        <v>1338</v>
      </c>
      <c r="F201" s="1661">
        <v>4</v>
      </c>
      <c r="G201" s="1594">
        <v>8</v>
      </c>
      <c r="H201" s="1595">
        <v>12.68</v>
      </c>
      <c r="I201" s="1596">
        <v>9.9600000000000009</v>
      </c>
      <c r="J201" s="1597">
        <v>76.14</v>
      </c>
      <c r="K201" s="1673">
        <v>25.38</v>
      </c>
      <c r="L201" s="1599"/>
      <c r="M201" s="1600"/>
      <c r="N201" s="1597">
        <v>197.6</v>
      </c>
      <c r="O201" s="1674">
        <v>35.927272727272729</v>
      </c>
      <c r="P201" s="1599"/>
      <c r="Q201" s="1600"/>
    </row>
    <row r="202" spans="2:17" ht="15.75">
      <c r="B202" s="1718"/>
      <c r="C202" s="1652"/>
      <c r="D202" s="1717">
        <v>191</v>
      </c>
      <c r="E202" s="1719" t="s">
        <v>1338</v>
      </c>
      <c r="F202" s="1661">
        <v>5</v>
      </c>
      <c r="G202" s="1594">
        <v>10</v>
      </c>
      <c r="H202" s="1595">
        <v>15.57</v>
      </c>
      <c r="I202" s="1596">
        <v>12.22</v>
      </c>
      <c r="J202" s="1597">
        <v>90.21</v>
      </c>
      <c r="K202" s="1673">
        <v>30.07</v>
      </c>
      <c r="L202" s="1599"/>
      <c r="M202" s="1600"/>
      <c r="N202" s="1597">
        <v>236.3</v>
      </c>
      <c r="O202" s="1674">
        <v>42.963636363636368</v>
      </c>
      <c r="P202" s="1599"/>
      <c r="Q202" s="1600"/>
    </row>
    <row r="203" spans="2:17" ht="15.75">
      <c r="B203" s="1718"/>
      <c r="C203" s="1652"/>
      <c r="D203" s="1717">
        <v>192</v>
      </c>
      <c r="E203" s="1719" t="s">
        <v>1338</v>
      </c>
      <c r="F203" s="1661">
        <v>6</v>
      </c>
      <c r="G203" s="1594">
        <v>12</v>
      </c>
      <c r="H203" s="1595">
        <v>18.34</v>
      </c>
      <c r="I203" s="1596">
        <v>14.4</v>
      </c>
      <c r="J203" s="1597">
        <v>102.5</v>
      </c>
      <c r="K203" s="1673">
        <v>34.166666666666664</v>
      </c>
      <c r="L203" s="1599"/>
      <c r="M203" s="1600"/>
      <c r="N203" s="1597">
        <v>271.10000000000002</v>
      </c>
      <c r="O203" s="1674">
        <v>49.290909090909096</v>
      </c>
      <c r="P203" s="1599"/>
      <c r="Q203" s="1600"/>
    </row>
    <row r="204" spans="2:17" ht="15.75">
      <c r="B204" s="1718"/>
      <c r="C204" s="1652"/>
      <c r="D204" s="1717">
        <v>193</v>
      </c>
      <c r="E204" s="1724" t="s">
        <v>1338</v>
      </c>
      <c r="F204" s="1725">
        <v>7</v>
      </c>
      <c r="G204" s="1726">
        <v>14</v>
      </c>
      <c r="H204" s="1757">
        <v>21</v>
      </c>
      <c r="I204" s="1758">
        <v>16.48</v>
      </c>
      <c r="J204" s="1760">
        <v>113.14</v>
      </c>
      <c r="K204" s="1730">
        <v>37.713333333333331</v>
      </c>
      <c r="L204" s="1441"/>
      <c r="M204" s="1731"/>
      <c r="N204" s="1760">
        <v>302.10000000000002</v>
      </c>
      <c r="O204" s="1761">
        <v>54.927272727272729</v>
      </c>
      <c r="P204" s="1441"/>
      <c r="Q204" s="1731"/>
    </row>
    <row r="205" spans="2:17" ht="15.75">
      <c r="B205" s="1718"/>
      <c r="C205" s="1652"/>
      <c r="D205" s="1717">
        <v>194</v>
      </c>
      <c r="E205" s="1732" t="s">
        <v>1339</v>
      </c>
      <c r="F205" s="1667">
        <v>5</v>
      </c>
      <c r="G205" s="1602">
        <v>10</v>
      </c>
      <c r="H205" s="1603">
        <v>14.57</v>
      </c>
      <c r="I205" s="1604">
        <v>11.44</v>
      </c>
      <c r="J205" s="1412">
        <v>37.67</v>
      </c>
      <c r="K205" s="1675">
        <v>18.835000000000001</v>
      </c>
      <c r="L205" s="1413"/>
      <c r="M205" s="1414"/>
      <c r="N205" s="1412">
        <v>228.3</v>
      </c>
      <c r="O205" s="1676">
        <v>38.049999999999997</v>
      </c>
      <c r="P205" s="1413"/>
      <c r="Q205" s="1414"/>
    </row>
    <row r="206" spans="2:17" ht="15.75">
      <c r="B206" s="1718"/>
      <c r="C206" s="1652"/>
      <c r="D206" s="1717">
        <v>195</v>
      </c>
      <c r="E206" s="1732" t="s">
        <v>1339</v>
      </c>
      <c r="F206" s="1667">
        <v>6</v>
      </c>
      <c r="G206" s="1602">
        <v>12</v>
      </c>
      <c r="H206" s="1603">
        <v>17.14</v>
      </c>
      <c r="I206" s="1604">
        <v>13.46</v>
      </c>
      <c r="J206" s="1412">
        <v>42</v>
      </c>
      <c r="K206" s="1675">
        <v>21</v>
      </c>
      <c r="L206" s="1413"/>
      <c r="M206" s="1414"/>
      <c r="N206" s="1412">
        <v>260.7</v>
      </c>
      <c r="O206" s="1676">
        <v>43.45</v>
      </c>
      <c r="P206" s="1413"/>
      <c r="Q206" s="1414"/>
    </row>
    <row r="207" spans="2:17" ht="15.75">
      <c r="B207" s="1718"/>
      <c r="C207" s="1652"/>
      <c r="D207" s="1717">
        <v>196</v>
      </c>
      <c r="E207" s="1732" t="s">
        <v>1339</v>
      </c>
      <c r="F207" s="1667">
        <v>7</v>
      </c>
      <c r="G207" s="1602">
        <v>14</v>
      </c>
      <c r="H207" s="1603">
        <v>19.600000000000001</v>
      </c>
      <c r="I207" s="1604">
        <v>15.38</v>
      </c>
      <c r="J207" s="1412">
        <v>45.42</v>
      </c>
      <c r="K207" s="1675">
        <v>22.71</v>
      </c>
      <c r="L207" s="1413"/>
      <c r="M207" s="1414"/>
      <c r="N207" s="1412">
        <v>289</v>
      </c>
      <c r="O207" s="1676">
        <v>48.166666666666664</v>
      </c>
      <c r="P207" s="1413"/>
      <c r="Q207" s="1414"/>
    </row>
    <row r="208" spans="2:17" ht="15.75">
      <c r="B208" s="1718"/>
      <c r="C208" s="1652"/>
      <c r="D208" s="1717">
        <v>197</v>
      </c>
      <c r="E208" s="1733" t="s">
        <v>1339</v>
      </c>
      <c r="F208" s="1734">
        <v>8</v>
      </c>
      <c r="G208" s="1735">
        <v>16</v>
      </c>
      <c r="H208" s="1754">
        <v>21.94</v>
      </c>
      <c r="I208" s="1762">
        <v>17.22</v>
      </c>
      <c r="J208" s="1346">
        <v>48.03</v>
      </c>
      <c r="K208" s="1739">
        <v>24.015000000000001</v>
      </c>
      <c r="L208" s="1347"/>
      <c r="M208" s="1348"/>
      <c r="N208" s="1346">
        <v>313.5</v>
      </c>
      <c r="O208" s="1763">
        <v>52.25</v>
      </c>
      <c r="P208" s="1347"/>
      <c r="Q208" s="1348"/>
    </row>
    <row r="209" spans="2:17" ht="15.75">
      <c r="B209" s="1718"/>
      <c r="C209" s="1652"/>
      <c r="D209" s="1717">
        <v>198</v>
      </c>
      <c r="E209" s="1732" t="s">
        <v>1340</v>
      </c>
      <c r="F209" s="1667">
        <v>5</v>
      </c>
      <c r="G209" s="1602">
        <v>10</v>
      </c>
      <c r="H209" s="1603">
        <v>16.57</v>
      </c>
      <c r="I209" s="1604">
        <v>13</v>
      </c>
      <c r="J209" s="1412">
        <v>97.79</v>
      </c>
      <c r="K209" s="1675">
        <v>32.596666666666671</v>
      </c>
      <c r="L209" s="1413"/>
      <c r="M209" s="1414"/>
      <c r="N209" s="1412">
        <v>294.5</v>
      </c>
      <c r="O209" s="1676">
        <v>49.083333333333336</v>
      </c>
      <c r="P209" s="1413"/>
      <c r="Q209" s="1414"/>
    </row>
    <row r="210" spans="2:17" ht="15.75">
      <c r="B210" s="1718"/>
      <c r="C210" s="1652"/>
      <c r="D210" s="1717">
        <v>199</v>
      </c>
      <c r="E210" s="1732" t="s">
        <v>1340</v>
      </c>
      <c r="F210" s="1667">
        <v>6</v>
      </c>
      <c r="G210" s="1602">
        <v>12</v>
      </c>
      <c r="H210" s="1603">
        <v>19.54</v>
      </c>
      <c r="I210" s="1604">
        <v>15.34</v>
      </c>
      <c r="J210" s="1412">
        <v>111.2</v>
      </c>
      <c r="K210" s="1675">
        <v>37.06666666666667</v>
      </c>
      <c r="L210" s="1413"/>
      <c r="M210" s="1414"/>
      <c r="N210" s="1412">
        <v>338.7</v>
      </c>
      <c r="O210" s="1676">
        <v>56.45</v>
      </c>
      <c r="P210" s="1413"/>
      <c r="Q210" s="1414"/>
    </row>
    <row r="211" spans="2:17" ht="15.75">
      <c r="B211" s="1718"/>
      <c r="C211" s="1652"/>
      <c r="D211" s="1717">
        <v>200</v>
      </c>
      <c r="E211" s="1732" t="s">
        <v>1340</v>
      </c>
      <c r="F211" s="1667">
        <v>7</v>
      </c>
      <c r="G211" s="1602">
        <v>14</v>
      </c>
      <c r="H211" s="1603">
        <v>22.4</v>
      </c>
      <c r="I211" s="1604">
        <v>17.579999999999998</v>
      </c>
      <c r="J211" s="1412">
        <v>123</v>
      </c>
      <c r="K211" s="1675">
        <v>41</v>
      </c>
      <c r="L211" s="1413"/>
      <c r="M211" s="1414"/>
      <c r="N211" s="1412">
        <v>378.5</v>
      </c>
      <c r="O211" s="1676">
        <v>63.083333333333336</v>
      </c>
      <c r="P211" s="1413"/>
      <c r="Q211" s="1414"/>
    </row>
    <row r="212" spans="2:17" ht="15.75">
      <c r="B212" s="1718"/>
      <c r="C212" s="1652"/>
      <c r="D212" s="1717">
        <v>201</v>
      </c>
      <c r="E212" s="1733" t="s">
        <v>1340</v>
      </c>
      <c r="F212" s="1734">
        <v>8</v>
      </c>
      <c r="G212" s="1735">
        <v>16</v>
      </c>
      <c r="H212" s="1754">
        <v>25.14</v>
      </c>
      <c r="I212" s="1762">
        <v>19.73</v>
      </c>
      <c r="J212" s="1346">
        <v>133.1</v>
      </c>
      <c r="K212" s="1739">
        <v>44.366666666666667</v>
      </c>
      <c r="L212" s="1347"/>
      <c r="M212" s="1348"/>
      <c r="N212" s="1346">
        <v>414</v>
      </c>
      <c r="O212" s="1763">
        <v>69</v>
      </c>
      <c r="P212" s="1347"/>
      <c r="Q212" s="1348"/>
    </row>
    <row r="213" spans="2:17" ht="15.75">
      <c r="B213" s="1718"/>
      <c r="C213" s="1652"/>
      <c r="D213" s="1717">
        <v>202</v>
      </c>
      <c r="E213" s="1732" t="s">
        <v>1341</v>
      </c>
      <c r="F213" s="1667">
        <v>5</v>
      </c>
      <c r="G213" s="1602">
        <v>10</v>
      </c>
      <c r="H213" s="1603">
        <v>18.57</v>
      </c>
      <c r="I213" s="1604">
        <v>14.58</v>
      </c>
      <c r="J213" s="1412">
        <v>191</v>
      </c>
      <c r="K213" s="1675">
        <v>47.75</v>
      </c>
      <c r="L213" s="1413"/>
      <c r="M213" s="1414"/>
      <c r="N213" s="1412">
        <v>360.6</v>
      </c>
      <c r="O213" s="1676">
        <v>60.1</v>
      </c>
      <c r="P213" s="1413"/>
      <c r="Q213" s="1414"/>
    </row>
    <row r="214" spans="2:17" ht="15.75">
      <c r="B214" s="1718"/>
      <c r="C214" s="1652"/>
      <c r="D214" s="1717">
        <v>203</v>
      </c>
      <c r="E214" s="1732" t="s">
        <v>1341</v>
      </c>
      <c r="F214" s="1667">
        <v>6</v>
      </c>
      <c r="G214" s="1602">
        <v>12</v>
      </c>
      <c r="H214" s="1603">
        <v>21.94</v>
      </c>
      <c r="I214" s="1604">
        <v>17.22</v>
      </c>
      <c r="J214" s="1412">
        <v>219.7</v>
      </c>
      <c r="K214" s="1675">
        <v>54.924999999999997</v>
      </c>
      <c r="L214" s="1413"/>
      <c r="M214" s="1414"/>
      <c r="N214" s="1412">
        <v>416.8</v>
      </c>
      <c r="O214" s="1676">
        <v>69.466666666666669</v>
      </c>
      <c r="P214" s="1413"/>
      <c r="Q214" s="1414"/>
    </row>
    <row r="215" spans="2:17" ht="15.75">
      <c r="B215" s="1718"/>
      <c r="C215" s="1652"/>
      <c r="D215" s="1717">
        <v>204</v>
      </c>
      <c r="E215" s="1732" t="s">
        <v>1341</v>
      </c>
      <c r="F215" s="1667">
        <v>7</v>
      </c>
      <c r="G215" s="1602">
        <v>14</v>
      </c>
      <c r="H215" s="1603">
        <v>25.2</v>
      </c>
      <c r="I215" s="1604">
        <v>19.78</v>
      </c>
      <c r="J215" s="1412">
        <v>245.4</v>
      </c>
      <c r="K215" s="1675">
        <v>61.35</v>
      </c>
      <c r="L215" s="1413"/>
      <c r="M215" s="1414"/>
      <c r="N215" s="1412">
        <v>468</v>
      </c>
      <c r="O215" s="1676">
        <v>78</v>
      </c>
      <c r="P215" s="1413"/>
      <c r="Q215" s="1414"/>
    </row>
    <row r="216" spans="2:17" ht="15.75">
      <c r="B216" s="1718"/>
      <c r="C216" s="1652"/>
      <c r="D216" s="1717">
        <v>205</v>
      </c>
      <c r="E216" s="1733" t="s">
        <v>1341</v>
      </c>
      <c r="F216" s="1734">
        <v>8</v>
      </c>
      <c r="G216" s="1735">
        <v>16</v>
      </c>
      <c r="H216" s="1754">
        <v>28.34</v>
      </c>
      <c r="I216" s="1762">
        <v>22.25</v>
      </c>
      <c r="J216" s="1346">
        <v>268.39999999999998</v>
      </c>
      <c r="K216" s="1739">
        <v>67.099999999999994</v>
      </c>
      <c r="L216" s="1347"/>
      <c r="M216" s="1348"/>
      <c r="N216" s="1346">
        <v>514.5</v>
      </c>
      <c r="O216" s="1763">
        <v>85.75</v>
      </c>
      <c r="P216" s="1347"/>
      <c r="Q216" s="1348"/>
    </row>
    <row r="217" spans="2:17">
      <c r="B217" s="1718"/>
      <c r="C217" s="1449" t="s">
        <v>893</v>
      </c>
      <c r="D217" s="1717">
        <v>206</v>
      </c>
      <c r="E217" s="1744" t="s">
        <v>1342</v>
      </c>
      <c r="F217" s="1745">
        <v>3</v>
      </c>
      <c r="G217" s="1746">
        <v>6</v>
      </c>
      <c r="H217" s="1764">
        <v>11.48</v>
      </c>
      <c r="I217" s="1765">
        <v>9.02</v>
      </c>
      <c r="J217" s="1766">
        <v>74.83</v>
      </c>
      <c r="K217" s="1750">
        <v>24.943333333333332</v>
      </c>
      <c r="L217" s="1751"/>
      <c r="M217" s="1752"/>
      <c r="N217" s="1766">
        <v>281.8</v>
      </c>
      <c r="O217" s="1767">
        <v>40.25714285714286</v>
      </c>
      <c r="P217" s="1751"/>
      <c r="Q217" s="1752"/>
    </row>
    <row r="218" spans="2:17" ht="15.75">
      <c r="B218" s="1718"/>
      <c r="C218" s="1652"/>
      <c r="D218" s="1717">
        <v>207</v>
      </c>
      <c r="E218" s="1719" t="s">
        <v>1342</v>
      </c>
      <c r="F218" s="1661">
        <v>5</v>
      </c>
      <c r="G218" s="1594">
        <v>10</v>
      </c>
      <c r="H218" s="1595">
        <v>18.57</v>
      </c>
      <c r="I218" s="1596">
        <v>14.58</v>
      </c>
      <c r="J218" s="1597">
        <v>112.9</v>
      </c>
      <c r="K218" s="1673">
        <v>37.633333333333333</v>
      </c>
      <c r="L218" s="1599"/>
      <c r="M218" s="1600"/>
      <c r="N218" s="1597">
        <v>436.2</v>
      </c>
      <c r="O218" s="1674">
        <v>62.31428571428571</v>
      </c>
      <c r="P218" s="1599"/>
      <c r="Q218" s="1600"/>
    </row>
    <row r="219" spans="2:17" ht="15.75">
      <c r="B219" s="1718"/>
      <c r="C219" s="1652"/>
      <c r="D219" s="1717">
        <v>208</v>
      </c>
      <c r="E219" s="1719" t="s">
        <v>1342</v>
      </c>
      <c r="F219" s="1661">
        <v>6</v>
      </c>
      <c r="G219" s="1594">
        <v>12</v>
      </c>
      <c r="H219" s="1595">
        <v>21.94</v>
      </c>
      <c r="I219" s="1596">
        <v>17.22</v>
      </c>
      <c r="J219" s="1597">
        <v>128.80000000000001</v>
      </c>
      <c r="K219" s="1673">
        <v>42.933333333333337</v>
      </c>
      <c r="L219" s="1599"/>
      <c r="M219" s="1600"/>
      <c r="N219" s="1597">
        <v>503.9</v>
      </c>
      <c r="O219" s="1674">
        <v>71.98571428571428</v>
      </c>
      <c r="P219" s="1599"/>
      <c r="Q219" s="1600"/>
    </row>
    <row r="220" spans="2:17" ht="15.75">
      <c r="B220" s="1718"/>
      <c r="C220" s="1652"/>
      <c r="D220" s="1717">
        <v>209</v>
      </c>
      <c r="E220" s="1719" t="s">
        <v>1342</v>
      </c>
      <c r="F220" s="1661">
        <v>7</v>
      </c>
      <c r="G220" s="1594">
        <v>14</v>
      </c>
      <c r="H220" s="1595">
        <v>25.2</v>
      </c>
      <c r="I220" s="1596">
        <v>19.78</v>
      </c>
      <c r="J220" s="1597">
        <v>142.80000000000001</v>
      </c>
      <c r="K220" s="1673">
        <v>47.6</v>
      </c>
      <c r="L220" s="1599"/>
      <c r="M220" s="1600"/>
      <c r="N220" s="1597">
        <v>565.6</v>
      </c>
      <c r="O220" s="1674">
        <v>80.8</v>
      </c>
      <c r="P220" s="1599"/>
      <c r="Q220" s="1600"/>
    </row>
    <row r="221" spans="2:17" ht="15.75">
      <c r="B221" s="1718"/>
      <c r="C221" s="1652"/>
      <c r="D221" s="1717">
        <v>210</v>
      </c>
      <c r="E221" s="1724" t="s">
        <v>1342</v>
      </c>
      <c r="F221" s="1725">
        <v>8</v>
      </c>
      <c r="G221" s="1726">
        <v>16</v>
      </c>
      <c r="H221" s="1757">
        <v>28.34</v>
      </c>
      <c r="I221" s="1758">
        <v>22.25</v>
      </c>
      <c r="J221" s="1760">
        <v>154.9</v>
      </c>
      <c r="K221" s="1730">
        <v>51.633333333333333</v>
      </c>
      <c r="L221" s="1441"/>
      <c r="M221" s="1731"/>
      <c r="N221" s="1760">
        <v>621.5</v>
      </c>
      <c r="O221" s="1761">
        <v>88.785714285714292</v>
      </c>
      <c r="P221" s="1441"/>
      <c r="Q221" s="1731"/>
    </row>
    <row r="222" spans="2:17" ht="15.75">
      <c r="B222" s="1718"/>
      <c r="C222" s="1652"/>
      <c r="D222" s="1717">
        <v>211</v>
      </c>
      <c r="E222" s="1719" t="s">
        <v>1343</v>
      </c>
      <c r="F222" s="1661">
        <v>5</v>
      </c>
      <c r="G222" s="1594">
        <v>10</v>
      </c>
      <c r="H222" s="1595">
        <v>20.57</v>
      </c>
      <c r="I222" s="1596">
        <v>16.149999999999999</v>
      </c>
      <c r="J222" s="1597">
        <v>219.2</v>
      </c>
      <c r="K222" s="1673">
        <v>54.8</v>
      </c>
      <c r="L222" s="1599"/>
      <c r="M222" s="1600"/>
      <c r="N222" s="1597">
        <v>527.29999999999995</v>
      </c>
      <c r="O222" s="1674">
        <v>75.328571428571422</v>
      </c>
      <c r="P222" s="1599"/>
      <c r="Q222" s="1600"/>
    </row>
    <row r="223" spans="2:17" ht="15.75">
      <c r="B223" s="1718"/>
      <c r="C223" s="1652"/>
      <c r="D223" s="1717">
        <v>212</v>
      </c>
      <c r="E223" s="1719" t="s">
        <v>1343</v>
      </c>
      <c r="F223" s="1661">
        <v>6</v>
      </c>
      <c r="G223" s="1594">
        <v>12</v>
      </c>
      <c r="H223" s="1595">
        <v>24.34</v>
      </c>
      <c r="I223" s="1596">
        <v>19.11</v>
      </c>
      <c r="J223" s="1597">
        <v>252.6</v>
      </c>
      <c r="K223" s="1673">
        <v>63.15</v>
      </c>
      <c r="L223" s="1599"/>
      <c r="M223" s="1600"/>
      <c r="N223" s="1597">
        <v>611.70000000000005</v>
      </c>
      <c r="O223" s="1674">
        <v>87.385714285714286</v>
      </c>
      <c r="P223" s="1599"/>
      <c r="Q223" s="1600"/>
    </row>
    <row r="224" spans="2:17" ht="15.75">
      <c r="B224" s="1718"/>
      <c r="C224" s="1652"/>
      <c r="D224" s="1717">
        <v>213</v>
      </c>
      <c r="E224" s="1719" t="s">
        <v>1343</v>
      </c>
      <c r="F224" s="1661">
        <v>7</v>
      </c>
      <c r="G224" s="1594">
        <v>14</v>
      </c>
      <c r="H224" s="1595">
        <v>28</v>
      </c>
      <c r="I224" s="1596">
        <v>21.98</v>
      </c>
      <c r="J224" s="1597">
        <v>282.8</v>
      </c>
      <c r="K224" s="1673">
        <v>70.7</v>
      </c>
      <c r="L224" s="1599"/>
      <c r="M224" s="1600"/>
      <c r="N224" s="1597">
        <v>689.6</v>
      </c>
      <c r="O224" s="1674">
        <v>98.51428571428572</v>
      </c>
      <c r="P224" s="1599"/>
      <c r="Q224" s="1600"/>
    </row>
    <row r="225" spans="2:17" ht="15.75">
      <c r="B225" s="1718"/>
      <c r="C225" s="1652"/>
      <c r="D225" s="1717">
        <v>214</v>
      </c>
      <c r="E225" s="1724" t="s">
        <v>1343</v>
      </c>
      <c r="F225" s="1725">
        <v>8</v>
      </c>
      <c r="G225" s="1726">
        <v>16</v>
      </c>
      <c r="H225" s="1757">
        <v>31.54</v>
      </c>
      <c r="I225" s="1758">
        <v>24.76</v>
      </c>
      <c r="J225" s="1760">
        <v>310.10000000000002</v>
      </c>
      <c r="K225" s="1730">
        <v>77.525000000000006</v>
      </c>
      <c r="L225" s="1441"/>
      <c r="M225" s="1731"/>
      <c r="N225" s="1760">
        <v>761.1</v>
      </c>
      <c r="O225" s="1761">
        <v>108.72857142857143</v>
      </c>
      <c r="P225" s="1441"/>
      <c r="Q225" s="1731"/>
    </row>
    <row r="226" spans="2:17" ht="15.75">
      <c r="B226" s="1718"/>
      <c r="C226" s="1652"/>
      <c r="D226" s="1717">
        <v>215</v>
      </c>
      <c r="E226" s="1719" t="s">
        <v>1344</v>
      </c>
      <c r="F226" s="1661">
        <v>6</v>
      </c>
      <c r="G226" s="1594">
        <v>12</v>
      </c>
      <c r="H226" s="1595">
        <v>29.14</v>
      </c>
      <c r="I226" s="1596">
        <v>22.88</v>
      </c>
      <c r="J226" s="1597">
        <v>650.9</v>
      </c>
      <c r="K226" s="1673">
        <v>108.48333333333333</v>
      </c>
      <c r="L226" s="1599"/>
      <c r="M226" s="1600"/>
      <c r="N226" s="1597">
        <v>827.3</v>
      </c>
      <c r="O226" s="1674">
        <v>118.18571428571428</v>
      </c>
      <c r="P226" s="1599"/>
      <c r="Q226" s="1600"/>
    </row>
    <row r="227" spans="2:17" ht="15.75">
      <c r="B227" s="1718"/>
      <c r="C227" s="1652"/>
      <c r="D227" s="1717">
        <v>216</v>
      </c>
      <c r="E227" s="1719" t="s">
        <v>1344</v>
      </c>
      <c r="F227" s="1661">
        <v>7</v>
      </c>
      <c r="G227" s="1594">
        <v>14</v>
      </c>
      <c r="H227" s="1595">
        <v>33.6</v>
      </c>
      <c r="I227" s="1596">
        <v>26.37</v>
      </c>
      <c r="J227" s="1597">
        <v>736.5</v>
      </c>
      <c r="K227" s="1673">
        <v>122.75</v>
      </c>
      <c r="L227" s="1599"/>
      <c r="M227" s="1600"/>
      <c r="N227" s="1597">
        <v>937.4</v>
      </c>
      <c r="O227" s="1674">
        <v>133.91428571428571</v>
      </c>
      <c r="P227" s="1599"/>
      <c r="Q227" s="1600"/>
    </row>
    <row r="228" spans="2:17" ht="15.75">
      <c r="B228" s="1718"/>
      <c r="C228" s="1652"/>
      <c r="D228" s="1717">
        <v>217</v>
      </c>
      <c r="E228" s="1719" t="s">
        <v>1344</v>
      </c>
      <c r="F228" s="1661">
        <v>8</v>
      </c>
      <c r="G228" s="1594">
        <v>16</v>
      </c>
      <c r="H228" s="1595">
        <v>37.94</v>
      </c>
      <c r="I228" s="1596">
        <v>29.78</v>
      </c>
      <c r="J228" s="1597">
        <v>816.1</v>
      </c>
      <c r="K228" s="1673">
        <v>136.01666666666668</v>
      </c>
      <c r="L228" s="1599"/>
      <c r="M228" s="1600"/>
      <c r="N228" s="1597">
        <v>1040</v>
      </c>
      <c r="O228" s="1674">
        <v>148.57142857142858</v>
      </c>
      <c r="P228" s="1599"/>
      <c r="Q228" s="1600"/>
    </row>
    <row r="229" spans="2:17" ht="15.75">
      <c r="B229" s="1718"/>
      <c r="C229" s="1652"/>
      <c r="D229" s="1717">
        <v>218</v>
      </c>
      <c r="E229" s="1724" t="s">
        <v>1344</v>
      </c>
      <c r="F229" s="1725">
        <v>9</v>
      </c>
      <c r="G229" s="1726">
        <v>18</v>
      </c>
      <c r="H229" s="1757">
        <v>42.17</v>
      </c>
      <c r="I229" s="1758">
        <v>33.1</v>
      </c>
      <c r="J229" s="1760">
        <v>889.9</v>
      </c>
      <c r="K229" s="1730">
        <v>148.31666666666666</v>
      </c>
      <c r="L229" s="1441"/>
      <c r="M229" s="1731"/>
      <c r="N229" s="1760">
        <v>1135</v>
      </c>
      <c r="O229" s="1761">
        <v>162.14285714285714</v>
      </c>
      <c r="P229" s="1441"/>
      <c r="Q229" s="1731"/>
    </row>
    <row r="230" spans="2:17">
      <c r="B230" s="1718"/>
      <c r="C230" s="1449" t="s">
        <v>893</v>
      </c>
      <c r="D230" s="1717">
        <v>219</v>
      </c>
      <c r="E230" s="1744" t="s">
        <v>1345</v>
      </c>
      <c r="F230" s="1745">
        <v>7</v>
      </c>
      <c r="G230" s="1746">
        <v>14</v>
      </c>
      <c r="H230" s="1764">
        <v>26.598700000000001</v>
      </c>
      <c r="I230" s="1765">
        <v>20.88</v>
      </c>
      <c r="J230" s="1766">
        <v>152.69999999999999</v>
      </c>
      <c r="K230" s="1750">
        <v>50.9</v>
      </c>
      <c r="L230" s="1751"/>
      <c r="M230" s="1752"/>
      <c r="N230" s="1766">
        <v>677.7</v>
      </c>
      <c r="O230" s="1767">
        <v>90.36</v>
      </c>
      <c r="P230" s="1751"/>
      <c r="Q230" s="1752"/>
    </row>
    <row r="231" spans="2:17" ht="15.75">
      <c r="B231" s="1718"/>
      <c r="C231" s="1652"/>
      <c r="D231" s="1717">
        <v>220</v>
      </c>
      <c r="E231" s="1732" t="s">
        <v>1346</v>
      </c>
      <c r="F231" s="1667">
        <v>6</v>
      </c>
      <c r="G231" s="1602">
        <v>12</v>
      </c>
      <c r="H231" s="1603">
        <v>25.54</v>
      </c>
      <c r="I231" s="1604">
        <v>20.5</v>
      </c>
      <c r="J231" s="1412">
        <v>269.10000000000002</v>
      </c>
      <c r="K231" s="1675">
        <v>67.275000000000006</v>
      </c>
      <c r="L231" s="1413"/>
      <c r="M231" s="1414"/>
      <c r="N231" s="1412">
        <v>727.1</v>
      </c>
      <c r="O231" s="1676">
        <v>96.946666666666673</v>
      </c>
      <c r="P231" s="1413"/>
      <c r="Q231" s="1414"/>
    </row>
    <row r="232" spans="2:17" ht="15.75">
      <c r="B232" s="1718"/>
      <c r="C232" s="1652"/>
      <c r="D232" s="1717">
        <v>221</v>
      </c>
      <c r="E232" s="1732" t="s">
        <v>1346</v>
      </c>
      <c r="F232" s="1667">
        <v>7</v>
      </c>
      <c r="G232" s="1602">
        <v>14</v>
      </c>
      <c r="H232" s="1603">
        <v>29.4</v>
      </c>
      <c r="I232" s="1604">
        <v>23.08</v>
      </c>
      <c r="J232" s="1412">
        <v>301.60000000000002</v>
      </c>
      <c r="K232" s="1675">
        <v>75.400000000000006</v>
      </c>
      <c r="L232" s="1413"/>
      <c r="M232" s="1414"/>
      <c r="N232" s="1412">
        <v>821</v>
      </c>
      <c r="O232" s="1676">
        <v>109.46666666666667</v>
      </c>
      <c r="P232" s="1413"/>
      <c r="Q232" s="1414"/>
    </row>
    <row r="233" spans="2:17" ht="15.75">
      <c r="B233" s="1718"/>
      <c r="C233" s="1652"/>
      <c r="D233" s="1717">
        <v>222</v>
      </c>
      <c r="E233" s="1732" t="s">
        <v>1346</v>
      </c>
      <c r="F233" s="1667">
        <v>8</v>
      </c>
      <c r="G233" s="1602">
        <v>16</v>
      </c>
      <c r="H233" s="1603">
        <v>33.14</v>
      </c>
      <c r="I233" s="1604">
        <v>26.01</v>
      </c>
      <c r="J233" s="1412">
        <v>303.89999999999998</v>
      </c>
      <c r="K233" s="1675">
        <v>75.974999999999994</v>
      </c>
      <c r="L233" s="1413"/>
      <c r="M233" s="1414"/>
      <c r="N233" s="1412">
        <v>907.6</v>
      </c>
      <c r="O233" s="1676">
        <v>121.01333333333334</v>
      </c>
      <c r="P233" s="1413"/>
      <c r="Q233" s="1414"/>
    </row>
    <row r="234" spans="2:17" ht="15.75">
      <c r="B234" s="1718"/>
      <c r="C234" s="1652"/>
      <c r="D234" s="1717">
        <v>223</v>
      </c>
      <c r="E234" s="1732" t="s">
        <v>1346</v>
      </c>
      <c r="F234" s="1667">
        <v>9</v>
      </c>
      <c r="G234" s="1602">
        <v>18</v>
      </c>
      <c r="H234" s="1603">
        <v>36.770000000000003</v>
      </c>
      <c r="I234" s="1604">
        <v>28.86</v>
      </c>
      <c r="J234" s="1412">
        <v>357.2</v>
      </c>
      <c r="K234" s="1675">
        <v>89.3</v>
      </c>
      <c r="L234" s="1413"/>
      <c r="M234" s="1414"/>
      <c r="N234" s="1412">
        <v>987.1</v>
      </c>
      <c r="O234" s="1676">
        <v>131.61333333333334</v>
      </c>
      <c r="P234" s="1413"/>
      <c r="Q234" s="1414"/>
    </row>
    <row r="235" spans="2:17" ht="15.75">
      <c r="B235" s="1718"/>
      <c r="C235" s="1652"/>
      <c r="D235" s="1717">
        <v>224</v>
      </c>
      <c r="E235" s="1733" t="s">
        <v>1346</v>
      </c>
      <c r="F235" s="1734">
        <v>10</v>
      </c>
      <c r="G235" s="1735">
        <v>20</v>
      </c>
      <c r="H235" s="1754">
        <v>40.28</v>
      </c>
      <c r="I235" s="1762">
        <v>31.62</v>
      </c>
      <c r="J235" s="1346">
        <v>380.7</v>
      </c>
      <c r="K235" s="1739">
        <v>95.174999999999997</v>
      </c>
      <c r="L235" s="1347"/>
      <c r="M235" s="1348"/>
      <c r="N235" s="1346">
        <v>1060</v>
      </c>
      <c r="O235" s="1763">
        <v>141.33333333333334</v>
      </c>
      <c r="P235" s="1347"/>
      <c r="Q235" s="1348"/>
    </row>
    <row r="236" spans="2:17" ht="15.75">
      <c r="B236" s="1718"/>
      <c r="C236" s="1652"/>
      <c r="D236" s="1717">
        <v>225</v>
      </c>
      <c r="E236" s="1732" t="s">
        <v>1347</v>
      </c>
      <c r="F236" s="1667">
        <v>6</v>
      </c>
      <c r="G236" s="1602">
        <v>12</v>
      </c>
      <c r="H236" s="1603">
        <v>27.94</v>
      </c>
      <c r="I236" s="1604">
        <v>21.93</v>
      </c>
      <c r="J236" s="1412">
        <v>451.6</v>
      </c>
      <c r="K236" s="1675">
        <v>90.32</v>
      </c>
      <c r="L236" s="1413"/>
      <c r="M236" s="1414"/>
      <c r="N236" s="1412">
        <v>851.6</v>
      </c>
      <c r="O236" s="1676">
        <v>113.54666666666667</v>
      </c>
      <c r="P236" s="1413"/>
      <c r="Q236" s="1414"/>
    </row>
    <row r="237" spans="2:17" ht="15.75">
      <c r="B237" s="1718"/>
      <c r="C237" s="1652"/>
      <c r="D237" s="1717">
        <v>226</v>
      </c>
      <c r="E237" s="1732" t="s">
        <v>1347</v>
      </c>
      <c r="F237" s="1667">
        <v>7</v>
      </c>
      <c r="G237" s="1602">
        <v>14</v>
      </c>
      <c r="H237" s="1603">
        <v>32.200000000000003</v>
      </c>
      <c r="I237" s="1604">
        <v>25.28</v>
      </c>
      <c r="J237" s="1412">
        <v>509.2</v>
      </c>
      <c r="K237" s="1675">
        <v>101.84</v>
      </c>
      <c r="L237" s="1413"/>
      <c r="M237" s="1414"/>
      <c r="N237" s="1412">
        <v>964.2</v>
      </c>
      <c r="O237" s="1676">
        <v>128.56</v>
      </c>
      <c r="P237" s="1413"/>
      <c r="Q237" s="1414"/>
    </row>
    <row r="238" spans="2:17" ht="15.75">
      <c r="B238" s="1718"/>
      <c r="C238" s="1652"/>
      <c r="D238" s="1717">
        <v>227</v>
      </c>
      <c r="E238" s="1732" t="s">
        <v>1347</v>
      </c>
      <c r="F238" s="1667">
        <v>8</v>
      </c>
      <c r="G238" s="1602">
        <v>16</v>
      </c>
      <c r="H238" s="1603">
        <v>36.340000000000003</v>
      </c>
      <c r="I238" s="1604">
        <v>28.53</v>
      </c>
      <c r="J238" s="1412">
        <v>562.29999999999995</v>
      </c>
      <c r="K238" s="1675">
        <v>112.46</v>
      </c>
      <c r="L238" s="1413"/>
      <c r="M238" s="1414"/>
      <c r="N238" s="1412">
        <v>1069</v>
      </c>
      <c r="O238" s="1676">
        <v>142.53333333333333</v>
      </c>
      <c r="P238" s="1413"/>
      <c r="Q238" s="1414"/>
    </row>
    <row r="239" spans="2:17" ht="15.75">
      <c r="B239" s="1718"/>
      <c r="C239" s="1652"/>
      <c r="D239" s="1717">
        <v>228</v>
      </c>
      <c r="E239" s="1732" t="s">
        <v>1347</v>
      </c>
      <c r="F239" s="1667">
        <v>9</v>
      </c>
      <c r="G239" s="1602">
        <v>18</v>
      </c>
      <c r="H239" s="1603">
        <v>40.369999999999997</v>
      </c>
      <c r="I239" s="1604">
        <v>31.69</v>
      </c>
      <c r="J239" s="1412">
        <v>611</v>
      </c>
      <c r="K239" s="1675">
        <v>122.2</v>
      </c>
      <c r="L239" s="1413"/>
      <c r="M239" s="1414"/>
      <c r="N239" s="1412">
        <v>1166</v>
      </c>
      <c r="O239" s="1676">
        <v>155.46666666666667</v>
      </c>
      <c r="P239" s="1413"/>
      <c r="Q239" s="1414"/>
    </row>
    <row r="240" spans="2:17" ht="15.75">
      <c r="B240" s="1718"/>
      <c r="C240" s="1652"/>
      <c r="D240" s="1717">
        <v>229</v>
      </c>
      <c r="E240" s="1733" t="s">
        <v>1347</v>
      </c>
      <c r="F240" s="1734">
        <v>10</v>
      </c>
      <c r="G240" s="1735">
        <v>20</v>
      </c>
      <c r="H240" s="1754">
        <v>44.28</v>
      </c>
      <c r="I240" s="1762">
        <v>34.76</v>
      </c>
      <c r="J240" s="1346">
        <v>655.4</v>
      </c>
      <c r="K240" s="1739">
        <v>131.08000000000001</v>
      </c>
      <c r="L240" s="1347"/>
      <c r="M240" s="1348"/>
      <c r="N240" s="1346">
        <v>1256</v>
      </c>
      <c r="O240" s="1763">
        <v>167.46666666666667</v>
      </c>
      <c r="P240" s="1347"/>
      <c r="Q240" s="1348"/>
    </row>
    <row r="241" spans="2:17">
      <c r="B241" s="1718"/>
      <c r="C241" s="1449" t="s">
        <v>893</v>
      </c>
      <c r="D241" s="1717">
        <v>230</v>
      </c>
      <c r="E241" s="1744" t="s">
        <v>1348</v>
      </c>
      <c r="F241" s="1745">
        <v>8</v>
      </c>
      <c r="G241" s="1746">
        <v>16</v>
      </c>
      <c r="H241" s="1764">
        <v>42.74</v>
      </c>
      <c r="I241" s="1765">
        <v>33.549999999999997</v>
      </c>
      <c r="J241" s="1766">
        <v>1107</v>
      </c>
      <c r="K241" s="1750">
        <v>170.30769230769232</v>
      </c>
      <c r="L241" s="1751"/>
      <c r="M241" s="1752"/>
      <c r="N241" s="1766">
        <v>1533</v>
      </c>
      <c r="O241" s="1767">
        <v>191.625</v>
      </c>
      <c r="P241" s="1751"/>
      <c r="Q241" s="1752"/>
    </row>
    <row r="242" spans="2:17" ht="15.75">
      <c r="B242" s="1718"/>
      <c r="C242" s="1652"/>
      <c r="D242" s="1717">
        <v>231</v>
      </c>
      <c r="E242" s="1719" t="s">
        <v>1349</v>
      </c>
      <c r="F242" s="1661">
        <v>7</v>
      </c>
      <c r="G242" s="1594">
        <v>14</v>
      </c>
      <c r="H242" s="1595">
        <v>33.6</v>
      </c>
      <c r="I242" s="1596">
        <v>26.37</v>
      </c>
      <c r="J242" s="1597">
        <v>357.7</v>
      </c>
      <c r="K242" s="1673">
        <v>89.424999999999997</v>
      </c>
      <c r="L242" s="1599"/>
      <c r="M242" s="1600"/>
      <c r="N242" s="1597">
        <v>1306</v>
      </c>
      <c r="O242" s="1674">
        <v>145.11111111111111</v>
      </c>
      <c r="P242" s="1599"/>
      <c r="Q242" s="1600"/>
    </row>
    <row r="243" spans="2:17" ht="15.75">
      <c r="B243" s="1718"/>
      <c r="C243" s="1652"/>
      <c r="D243" s="1717">
        <v>232</v>
      </c>
      <c r="E243" s="1719" t="s">
        <v>1349</v>
      </c>
      <c r="F243" s="1661">
        <v>8</v>
      </c>
      <c r="G243" s="1594">
        <v>16</v>
      </c>
      <c r="H243" s="1595">
        <v>37.94</v>
      </c>
      <c r="I243" s="1596">
        <v>29.78</v>
      </c>
      <c r="J243" s="1597">
        <v>393.4</v>
      </c>
      <c r="K243" s="1673">
        <v>98.35</v>
      </c>
      <c r="L243" s="1599"/>
      <c r="M243" s="1600"/>
      <c r="N243" s="1597">
        <v>1449</v>
      </c>
      <c r="O243" s="1674">
        <v>161</v>
      </c>
      <c r="P243" s="1599"/>
      <c r="Q243" s="1600"/>
    </row>
    <row r="244" spans="2:17" ht="15.75">
      <c r="B244" s="1718"/>
      <c r="C244" s="1652"/>
      <c r="D244" s="1717">
        <v>233</v>
      </c>
      <c r="E244" s="1719" t="s">
        <v>1349</v>
      </c>
      <c r="F244" s="1661">
        <v>9</v>
      </c>
      <c r="G244" s="1594">
        <v>18</v>
      </c>
      <c r="H244" s="1595">
        <v>42.17</v>
      </c>
      <c r="I244" s="1596">
        <v>33.1</v>
      </c>
      <c r="J244" s="1597">
        <v>425.7</v>
      </c>
      <c r="K244" s="1673">
        <v>106.425</v>
      </c>
      <c r="L244" s="1599"/>
      <c r="M244" s="1600"/>
      <c r="N244" s="1597">
        <v>1583</v>
      </c>
      <c r="O244" s="1674">
        <v>175.88888888888889</v>
      </c>
      <c r="P244" s="1599"/>
      <c r="Q244" s="1600"/>
    </row>
    <row r="245" spans="2:17" ht="15.75">
      <c r="B245" s="1718"/>
      <c r="C245" s="1652"/>
      <c r="D245" s="1717">
        <v>234</v>
      </c>
      <c r="E245" s="1719" t="s">
        <v>1349</v>
      </c>
      <c r="F245" s="1661">
        <v>10</v>
      </c>
      <c r="G245" s="1594">
        <v>20</v>
      </c>
      <c r="H245" s="1595">
        <v>46.28</v>
      </c>
      <c r="I245" s="1596">
        <v>36.33</v>
      </c>
      <c r="J245" s="1597">
        <v>454.7</v>
      </c>
      <c r="K245" s="1673">
        <v>113.675</v>
      </c>
      <c r="L245" s="1599"/>
      <c r="M245" s="1600"/>
      <c r="N245" s="1597">
        <v>1707</v>
      </c>
      <c r="O245" s="1674">
        <v>189.66666666666666</v>
      </c>
      <c r="P245" s="1599"/>
      <c r="Q245" s="1600"/>
    </row>
    <row r="246" spans="2:17" ht="15.75">
      <c r="B246" s="1718"/>
      <c r="C246" s="1652"/>
      <c r="D246" s="1717">
        <v>235</v>
      </c>
      <c r="E246" s="1724" t="s">
        <v>1349</v>
      </c>
      <c r="F246" s="1725">
        <v>12</v>
      </c>
      <c r="G246" s="1726">
        <v>24</v>
      </c>
      <c r="H246" s="1757">
        <v>54.17</v>
      </c>
      <c r="I246" s="1758">
        <v>42.52</v>
      </c>
      <c r="J246" s="1760">
        <v>503.6</v>
      </c>
      <c r="K246" s="1730">
        <v>125.9</v>
      </c>
      <c r="L246" s="1441"/>
      <c r="M246" s="1731"/>
      <c r="N246" s="1760">
        <v>1926</v>
      </c>
      <c r="O246" s="1761">
        <v>214</v>
      </c>
      <c r="P246" s="1441"/>
      <c r="Q246" s="1731"/>
    </row>
    <row r="247" spans="2:17" ht="15.75">
      <c r="B247" s="1718"/>
      <c r="C247" s="1652"/>
      <c r="D247" s="1717">
        <v>236</v>
      </c>
      <c r="E247" s="1719" t="s">
        <v>1350</v>
      </c>
      <c r="F247" s="1661">
        <v>8</v>
      </c>
      <c r="G247" s="1594">
        <v>16</v>
      </c>
      <c r="H247" s="1595">
        <v>41.14</v>
      </c>
      <c r="I247" s="1596">
        <v>32.29</v>
      </c>
      <c r="J247" s="1597">
        <v>664.1</v>
      </c>
      <c r="K247" s="1673">
        <v>132.82</v>
      </c>
      <c r="L247" s="1599"/>
      <c r="M247" s="1600"/>
      <c r="N247" s="1597">
        <v>1686</v>
      </c>
      <c r="O247" s="1674">
        <v>187.33333333333334</v>
      </c>
      <c r="P247" s="1599"/>
      <c r="Q247" s="1600"/>
    </row>
    <row r="248" spans="2:17" ht="15.75">
      <c r="B248" s="1718"/>
      <c r="C248" s="1652"/>
      <c r="D248" s="1717">
        <v>237</v>
      </c>
      <c r="E248" s="1719" t="s">
        <v>1350</v>
      </c>
      <c r="F248" s="1661">
        <v>9</v>
      </c>
      <c r="G248" s="1594">
        <v>18</v>
      </c>
      <c r="H248" s="1595">
        <v>45.77</v>
      </c>
      <c r="I248" s="1596">
        <v>35.93</v>
      </c>
      <c r="J248" s="1597">
        <v>723.1</v>
      </c>
      <c r="K248" s="1673">
        <v>144.62</v>
      </c>
      <c r="L248" s="1599"/>
      <c r="M248" s="1600"/>
      <c r="N248" s="1597">
        <v>1846</v>
      </c>
      <c r="O248" s="1674">
        <v>205.11111111111111</v>
      </c>
      <c r="P248" s="1599"/>
      <c r="Q248" s="1600"/>
    </row>
    <row r="249" spans="2:17" ht="15.75">
      <c r="B249" s="1718"/>
      <c r="C249" s="1652"/>
      <c r="D249" s="1717">
        <v>238</v>
      </c>
      <c r="E249" s="1719" t="s">
        <v>1350</v>
      </c>
      <c r="F249" s="1661">
        <v>10</v>
      </c>
      <c r="G249" s="1594">
        <v>20</v>
      </c>
      <c r="H249" s="1595">
        <v>50.28</v>
      </c>
      <c r="I249" s="1596">
        <v>39.47</v>
      </c>
      <c r="J249" s="1597">
        <v>777.4</v>
      </c>
      <c r="K249" s="1673">
        <v>155.47999999999999</v>
      </c>
      <c r="L249" s="1599"/>
      <c r="M249" s="1600"/>
      <c r="N249" s="1597">
        <v>1996</v>
      </c>
      <c r="O249" s="1674">
        <v>221.77777777777777</v>
      </c>
      <c r="P249" s="1599"/>
      <c r="Q249" s="1600"/>
    </row>
    <row r="250" spans="2:17" ht="15.75">
      <c r="B250" s="1718"/>
      <c r="C250" s="1652"/>
      <c r="D250" s="1717">
        <v>239</v>
      </c>
      <c r="E250" s="1724" t="s">
        <v>1350</v>
      </c>
      <c r="F250" s="1725">
        <v>12</v>
      </c>
      <c r="G250" s="1726">
        <v>24</v>
      </c>
      <c r="H250" s="1757">
        <v>58.97</v>
      </c>
      <c r="I250" s="1758">
        <v>46.29</v>
      </c>
      <c r="J250" s="1760">
        <v>872.3</v>
      </c>
      <c r="K250" s="1730">
        <v>174.46</v>
      </c>
      <c r="L250" s="1441"/>
      <c r="M250" s="1731"/>
      <c r="N250" s="1760">
        <v>2265</v>
      </c>
      <c r="O250" s="1761">
        <v>251.66666666666666</v>
      </c>
      <c r="P250" s="1441"/>
      <c r="Q250" s="1731"/>
    </row>
    <row r="251" spans="2:17">
      <c r="B251" s="1718"/>
      <c r="C251" s="1449" t="s">
        <v>893</v>
      </c>
      <c r="D251" s="1717">
        <v>240</v>
      </c>
      <c r="E251" s="1774" t="s">
        <v>1351</v>
      </c>
      <c r="F251" s="1775">
        <v>20</v>
      </c>
      <c r="G251" s="1776">
        <v>40</v>
      </c>
      <c r="H251" s="1777">
        <v>107.13</v>
      </c>
      <c r="I251" s="1778">
        <v>84.1</v>
      </c>
      <c r="J251" s="1779">
        <v>2891</v>
      </c>
      <c r="K251" s="1780">
        <v>398.75862068965517</v>
      </c>
      <c r="L251" s="1781"/>
      <c r="M251" s="1782"/>
      <c r="N251" s="1779">
        <v>4133</v>
      </c>
      <c r="O251" s="1783">
        <v>459.22222222222223</v>
      </c>
      <c r="P251" s="1781"/>
      <c r="Q251" s="1782"/>
    </row>
    <row r="252" spans="2:17">
      <c r="B252" s="1718"/>
      <c r="C252" s="1449"/>
      <c r="D252" s="1717">
        <v>241</v>
      </c>
      <c r="E252" s="1719" t="s">
        <v>1352</v>
      </c>
      <c r="F252" s="1661">
        <v>8</v>
      </c>
      <c r="G252" s="1594">
        <v>16</v>
      </c>
      <c r="H252" s="1595">
        <v>49.14</v>
      </c>
      <c r="I252" s="1596">
        <v>38.57</v>
      </c>
      <c r="J252" s="1597">
        <v>1714</v>
      </c>
      <c r="K252" s="1673">
        <v>228.53333333333333</v>
      </c>
      <c r="L252" s="1599"/>
      <c r="M252" s="1600"/>
      <c r="N252" s="1597">
        <v>2279</v>
      </c>
      <c r="O252" s="1674">
        <v>253.22222222222223</v>
      </c>
      <c r="P252" s="1599"/>
      <c r="Q252" s="1600"/>
    </row>
    <row r="253" spans="2:17">
      <c r="B253" s="1718"/>
      <c r="C253" s="1449"/>
      <c r="D253" s="1717">
        <v>242</v>
      </c>
      <c r="E253" s="1719" t="s">
        <v>1352</v>
      </c>
      <c r="F253" s="1661">
        <v>9</v>
      </c>
      <c r="G253" s="1594">
        <v>18</v>
      </c>
      <c r="H253" s="1595">
        <v>54.77</v>
      </c>
      <c r="I253" s="1596">
        <v>42.99</v>
      </c>
      <c r="J253" s="1597">
        <v>1883</v>
      </c>
      <c r="K253" s="1673">
        <v>251.06666666666666</v>
      </c>
      <c r="L253" s="1599"/>
      <c r="M253" s="1600"/>
      <c r="N253" s="1597">
        <v>2505</v>
      </c>
      <c r="O253" s="1674">
        <v>278.33333333333331</v>
      </c>
      <c r="P253" s="1599"/>
      <c r="Q253" s="1600"/>
    </row>
    <row r="254" spans="2:17">
      <c r="B254" s="1718"/>
      <c r="C254" s="1449"/>
      <c r="D254" s="1717">
        <v>243</v>
      </c>
      <c r="E254" s="1719" t="s">
        <v>1352</v>
      </c>
      <c r="F254" s="1661">
        <v>10</v>
      </c>
      <c r="G254" s="1594">
        <v>20</v>
      </c>
      <c r="H254" s="1595">
        <v>60.28</v>
      </c>
      <c r="I254" s="1596">
        <v>47.32</v>
      </c>
      <c r="J254" s="1597">
        <v>2041</v>
      </c>
      <c r="K254" s="1673">
        <v>272.13333333333333</v>
      </c>
      <c r="L254" s="1599"/>
      <c r="M254" s="1600"/>
      <c r="N254" s="1597">
        <v>2720</v>
      </c>
      <c r="O254" s="1674">
        <v>302.22222222222223</v>
      </c>
      <c r="P254" s="1599"/>
      <c r="Q254" s="1600"/>
    </row>
    <row r="255" spans="2:17">
      <c r="B255" s="1718"/>
      <c r="C255" s="1449"/>
      <c r="D255" s="1717">
        <v>244</v>
      </c>
      <c r="E255" s="1724" t="s">
        <v>1352</v>
      </c>
      <c r="F255" s="1725">
        <v>12</v>
      </c>
      <c r="G255" s="1726">
        <v>24</v>
      </c>
      <c r="H255" s="1757">
        <v>70.97</v>
      </c>
      <c r="I255" s="1758">
        <v>55.71</v>
      </c>
      <c r="J255" s="1760">
        <v>2331</v>
      </c>
      <c r="K255" s="1730">
        <v>310.8</v>
      </c>
      <c r="L255" s="1441"/>
      <c r="M255" s="1731"/>
      <c r="N255" s="1760">
        <v>3114</v>
      </c>
      <c r="O255" s="1761">
        <v>346</v>
      </c>
      <c r="P255" s="1441"/>
      <c r="Q255" s="1731"/>
    </row>
    <row r="256" spans="2:17">
      <c r="B256" s="1718"/>
      <c r="C256" s="1449" t="s">
        <v>893</v>
      </c>
      <c r="D256" s="1717">
        <v>245</v>
      </c>
      <c r="E256" s="1740" t="s">
        <v>1353</v>
      </c>
      <c r="F256" s="1677">
        <v>12</v>
      </c>
      <c r="G256" s="1639">
        <v>24</v>
      </c>
      <c r="H256" s="1640">
        <v>66.17</v>
      </c>
      <c r="I256" s="1641">
        <v>51.94</v>
      </c>
      <c r="J256" s="1642">
        <v>1429</v>
      </c>
      <c r="K256" s="1678">
        <v>238.16666666666666</v>
      </c>
      <c r="L256" s="1644"/>
      <c r="M256" s="1645"/>
      <c r="N256" s="1642">
        <v>2987</v>
      </c>
      <c r="O256" s="1679">
        <v>314.42105263157896</v>
      </c>
      <c r="P256" s="1644"/>
      <c r="Q256" s="1645"/>
    </row>
    <row r="257" spans="2:18">
      <c r="B257" s="1718"/>
      <c r="C257" s="1449" t="s">
        <v>893</v>
      </c>
      <c r="D257" s="1717">
        <v>246</v>
      </c>
      <c r="E257" s="1740" t="s">
        <v>1354</v>
      </c>
      <c r="F257" s="1677">
        <v>18</v>
      </c>
      <c r="G257" s="1639">
        <v>36</v>
      </c>
      <c r="H257" s="1640">
        <v>113.24</v>
      </c>
      <c r="I257" s="1641">
        <v>88.99</v>
      </c>
      <c r="J257" s="1642">
        <v>4443</v>
      </c>
      <c r="K257" s="1678">
        <v>522.70588235294122</v>
      </c>
      <c r="L257" s="1644"/>
      <c r="M257" s="1645"/>
      <c r="N257" s="1642">
        <v>5594</v>
      </c>
      <c r="O257" s="1679">
        <v>570.81632653061217</v>
      </c>
      <c r="P257" s="1644"/>
      <c r="Q257" s="1645"/>
    </row>
    <row r="258" spans="2:18">
      <c r="B258" s="1718"/>
      <c r="C258" s="1449" t="s">
        <v>893</v>
      </c>
      <c r="D258" s="1717">
        <v>247</v>
      </c>
      <c r="E258" s="1740" t="s">
        <v>1355</v>
      </c>
      <c r="F258" s="1677">
        <v>8</v>
      </c>
      <c r="G258" s="1639">
        <v>16</v>
      </c>
      <c r="H258" s="1640">
        <v>47.54</v>
      </c>
      <c r="I258" s="1641">
        <v>37.32</v>
      </c>
      <c r="J258" s="1642">
        <v>1117</v>
      </c>
      <c r="K258" s="1678">
        <v>186.16666666666666</v>
      </c>
      <c r="L258" s="1644"/>
      <c r="M258" s="1645"/>
      <c r="N258" s="1642">
        <v>2495</v>
      </c>
      <c r="O258" s="1679">
        <v>249.5</v>
      </c>
      <c r="P258" s="1644"/>
      <c r="Q258" s="1645"/>
    </row>
    <row r="259" spans="2:18" ht="13.5" thickBot="1">
      <c r="B259" s="1718"/>
      <c r="C259" s="1449" t="s">
        <v>893</v>
      </c>
      <c r="D259" s="1717">
        <v>248</v>
      </c>
      <c r="E259" s="1786" t="s">
        <v>1356</v>
      </c>
      <c r="F259" s="1787">
        <v>8</v>
      </c>
      <c r="G259" s="1788">
        <v>16</v>
      </c>
      <c r="H259" s="1789">
        <v>49.14</v>
      </c>
      <c r="I259" s="1790">
        <v>38.57</v>
      </c>
      <c r="J259" s="1791">
        <v>833.8</v>
      </c>
      <c r="K259" s="1792">
        <v>166.76</v>
      </c>
      <c r="L259" s="1793"/>
      <c r="M259" s="1794"/>
      <c r="N259" s="1791">
        <v>3138</v>
      </c>
      <c r="O259" s="1792">
        <v>272.86956521739131</v>
      </c>
      <c r="P259" s="1793"/>
      <c r="Q259" s="1794"/>
    </row>
    <row r="260" spans="2:18">
      <c r="C260" s="1690"/>
      <c r="D260" s="1614"/>
      <c r="E260" s="1266"/>
      <c r="F260" s="1265"/>
      <c r="G260" s="1691"/>
      <c r="H260" s="1615"/>
      <c r="I260" s="1616"/>
      <c r="J260" s="1617"/>
      <c r="K260" s="1618"/>
      <c r="L260" s="1618"/>
      <c r="M260" s="1618"/>
      <c r="N260" s="1618"/>
      <c r="O260" s="1618"/>
      <c r="P260" s="1618"/>
      <c r="Q260" s="1618"/>
      <c r="R260" s="1618"/>
    </row>
    <row r="261" spans="2:18">
      <c r="C261" s="1690"/>
      <c r="D261" s="1614"/>
      <c r="E261" s="1266"/>
      <c r="F261" s="1265"/>
      <c r="G261" s="1691"/>
      <c r="H261" s="1615"/>
      <c r="I261" s="1616"/>
      <c r="J261" s="1617"/>
      <c r="K261" s="1618"/>
      <c r="L261" s="1618"/>
      <c r="M261" s="1618"/>
      <c r="N261" s="1618"/>
      <c r="O261" s="1618"/>
      <c r="P261" s="1618"/>
      <c r="Q261" s="1618"/>
      <c r="R261" s="1618"/>
    </row>
    <row r="262" spans="2:18">
      <c r="C262" s="1690"/>
      <c r="D262" s="1614"/>
      <c r="E262" s="1266"/>
      <c r="F262" s="1265"/>
      <c r="G262" s="1691"/>
      <c r="H262" s="1615"/>
      <c r="I262" s="1616"/>
      <c r="J262" s="1617"/>
      <c r="K262" s="1618"/>
      <c r="L262" s="1618"/>
      <c r="M262" s="1618"/>
      <c r="N262" s="1618"/>
      <c r="O262" s="1618"/>
      <c r="P262" s="1618"/>
      <c r="Q262" s="1618"/>
      <c r="R262" s="1618"/>
    </row>
    <row r="263" spans="2:18" hidden="1">
      <c r="C263" s="1692"/>
      <c r="D263" s="1614"/>
      <c r="E263" s="1266"/>
      <c r="F263" s="1265"/>
      <c r="G263" s="1691"/>
      <c r="H263" s="1615"/>
      <c r="I263" s="1616"/>
      <c r="J263" s="1617"/>
      <c r="K263" s="1618"/>
      <c r="L263" s="1618"/>
      <c r="M263" s="1618"/>
      <c r="N263" s="1618"/>
      <c r="O263" s="1618"/>
      <c r="P263" s="1618"/>
      <c r="Q263" s="1618"/>
      <c r="R263" s="1618"/>
    </row>
    <row r="264" spans="2:18" hidden="1">
      <c r="D264" s="1795">
        <v>1</v>
      </c>
      <c r="E264" s="1238" t="s">
        <v>942</v>
      </c>
    </row>
    <row r="265" spans="2:18" hidden="1">
      <c r="D265" s="1795">
        <v>2</v>
      </c>
      <c r="E265" s="1621" t="s">
        <v>838</v>
      </c>
      <c r="F265" s="1462"/>
    </row>
    <row r="266" spans="2:18" hidden="1">
      <c r="D266" s="1795">
        <v>3</v>
      </c>
      <c r="E266" s="1622" t="s">
        <v>892</v>
      </c>
      <c r="F266" s="1462"/>
    </row>
    <row r="267" spans="2:18" ht="14.25" hidden="1">
      <c r="D267" s="1795">
        <v>4</v>
      </c>
      <c r="E267" s="1622" t="s">
        <v>1995</v>
      </c>
      <c r="F267" s="1462"/>
    </row>
    <row r="268" spans="2:18" hidden="1">
      <c r="D268" s="1795">
        <v>5</v>
      </c>
      <c r="E268" s="1622" t="s">
        <v>1994</v>
      </c>
      <c r="F268" s="1462"/>
    </row>
    <row r="269" spans="2:18" ht="15" hidden="1" thickBot="1">
      <c r="D269" s="1795">
        <v>6</v>
      </c>
      <c r="E269" s="1622" t="s">
        <v>1997</v>
      </c>
    </row>
    <row r="270" spans="2:18" ht="15" hidden="1" thickBot="1">
      <c r="D270" s="1795">
        <v>7</v>
      </c>
      <c r="E270" s="1622" t="s">
        <v>1998</v>
      </c>
      <c r="N270" s="1067">
        <v>2</v>
      </c>
      <c r="O270" s="1623" t="s">
        <v>159</v>
      </c>
    </row>
    <row r="271" spans="2:18" ht="13.5" hidden="1" thickBot="1">
      <c r="D271" s="1795">
        <v>8</v>
      </c>
      <c r="E271" s="1622" t="s">
        <v>1568</v>
      </c>
      <c r="N271" s="1068">
        <v>31</v>
      </c>
      <c r="O271" s="1624" t="s">
        <v>2005</v>
      </c>
    </row>
    <row r="272" spans="2:18" ht="13.5" hidden="1" thickBot="1">
      <c r="D272" s="1795">
        <v>9</v>
      </c>
      <c r="E272" s="1622" t="s">
        <v>136</v>
      </c>
      <c r="N272" s="1712">
        <v>2</v>
      </c>
      <c r="O272" s="1796" t="s">
        <v>135</v>
      </c>
    </row>
    <row r="273" spans="1:18" ht="14.25" hidden="1">
      <c r="D273" s="1795">
        <v>10</v>
      </c>
      <c r="E273" s="1622" t="s">
        <v>1999</v>
      </c>
      <c r="N273" s="1457">
        <f>VLOOKUP(N271,B280:R340,3,FALSE)</f>
        <v>140</v>
      </c>
    </row>
    <row r="274" spans="1:18" ht="14.25" hidden="1">
      <c r="D274" s="1795">
        <v>11</v>
      </c>
      <c r="E274" s="1622" t="s">
        <v>2000</v>
      </c>
    </row>
    <row r="275" spans="1:18" hidden="1">
      <c r="D275" s="1795">
        <v>12</v>
      </c>
      <c r="E275" s="1622" t="s">
        <v>2001</v>
      </c>
    </row>
    <row r="276" spans="1:18" hidden="1">
      <c r="D276" s="1795">
        <v>13</v>
      </c>
      <c r="E276" s="1622" t="s">
        <v>840</v>
      </c>
    </row>
    <row r="277" spans="1:18" hidden="1">
      <c r="D277" s="1795"/>
    </row>
    <row r="278" spans="1:18" hidden="1"/>
    <row r="279" spans="1:18" hidden="1">
      <c r="E279" s="1239">
        <v>1</v>
      </c>
      <c r="F279" s="1239">
        <v>2</v>
      </c>
      <c r="G279" s="1239">
        <v>3</v>
      </c>
      <c r="H279" s="1239">
        <v>4</v>
      </c>
      <c r="I279" s="1239">
        <v>5</v>
      </c>
      <c r="J279" s="1239">
        <v>6</v>
      </c>
      <c r="K279" s="1239">
        <v>7</v>
      </c>
      <c r="L279" s="1239">
        <v>8</v>
      </c>
      <c r="M279" s="1239">
        <v>9</v>
      </c>
      <c r="N279" s="1239">
        <v>10</v>
      </c>
      <c r="O279" s="1239">
        <v>11</v>
      </c>
      <c r="P279" s="1239">
        <v>12</v>
      </c>
      <c r="Q279" s="1239">
        <v>13</v>
      </c>
      <c r="R279" s="1239">
        <v>14</v>
      </c>
    </row>
    <row r="280" spans="1:18" ht="15.75" hidden="1">
      <c r="A280" s="1569"/>
      <c r="B280" s="1238">
        <v>1</v>
      </c>
      <c r="D280" s="1238">
        <v>1</v>
      </c>
      <c r="F280" s="1239" t="s">
        <v>1240</v>
      </c>
      <c r="G280" s="1238" t="s">
        <v>945</v>
      </c>
      <c r="H280" s="1238" t="s">
        <v>946</v>
      </c>
      <c r="I280" s="1238" t="s">
        <v>947</v>
      </c>
      <c r="J280" s="1238" t="s">
        <v>948</v>
      </c>
      <c r="K280" s="1238" t="s">
        <v>949</v>
      </c>
      <c r="L280" s="1238" t="s">
        <v>950</v>
      </c>
      <c r="M280" s="1238" t="s">
        <v>860</v>
      </c>
      <c r="N280" s="1238" t="s">
        <v>860</v>
      </c>
      <c r="O280" s="1238" t="s">
        <v>951</v>
      </c>
      <c r="P280" s="1238" t="s">
        <v>1264</v>
      </c>
      <c r="Q280" s="1238" t="s">
        <v>860</v>
      </c>
      <c r="R280" s="1238" t="s">
        <v>860</v>
      </c>
    </row>
    <row r="281" spans="1:18" ht="15.75" hidden="1">
      <c r="A281" s="1569"/>
      <c r="B281" s="1238">
        <v>2</v>
      </c>
      <c r="D281" s="1238">
        <v>4</v>
      </c>
      <c r="F281" s="1239" t="s">
        <v>1241</v>
      </c>
      <c r="G281" s="1238" t="s">
        <v>945</v>
      </c>
      <c r="H281" s="1238" t="s">
        <v>946</v>
      </c>
      <c r="I281" s="1238" t="s">
        <v>952</v>
      </c>
      <c r="J281" s="1238" t="s">
        <v>953</v>
      </c>
      <c r="K281" s="1238" t="s">
        <v>954</v>
      </c>
      <c r="L281" s="1238" t="s">
        <v>955</v>
      </c>
      <c r="M281" s="1238" t="s">
        <v>860</v>
      </c>
      <c r="N281" s="1238" t="s">
        <v>860</v>
      </c>
      <c r="O281" s="1238" t="s">
        <v>956</v>
      </c>
      <c r="P281" s="1238" t="s">
        <v>956</v>
      </c>
      <c r="Q281" s="1238" t="s">
        <v>860</v>
      </c>
      <c r="R281" s="1238" t="s">
        <v>860</v>
      </c>
    </row>
    <row r="282" spans="1:18" ht="15.75" hidden="1">
      <c r="A282" s="1569"/>
      <c r="B282" s="1238">
        <v>3</v>
      </c>
      <c r="D282" s="1238">
        <v>7</v>
      </c>
      <c r="F282" s="1239" t="s">
        <v>1242</v>
      </c>
      <c r="G282" s="1238" t="s">
        <v>957</v>
      </c>
      <c r="H282" s="1238" t="s">
        <v>958</v>
      </c>
      <c r="I282" s="1238" t="s">
        <v>959</v>
      </c>
      <c r="J282" s="1238" t="s">
        <v>960</v>
      </c>
      <c r="K282" s="1238" t="s">
        <v>961</v>
      </c>
      <c r="L282" s="1238" t="s">
        <v>1263</v>
      </c>
      <c r="M282" s="1238" t="s">
        <v>860</v>
      </c>
      <c r="N282" s="1238" t="s">
        <v>860</v>
      </c>
      <c r="O282" s="1238" t="s">
        <v>962</v>
      </c>
      <c r="P282" s="1238" t="s">
        <v>962</v>
      </c>
      <c r="Q282" s="1238" t="s">
        <v>860</v>
      </c>
      <c r="R282" s="1238" t="s">
        <v>860</v>
      </c>
    </row>
    <row r="283" spans="1:18" ht="15.75" hidden="1">
      <c r="A283" s="1569"/>
      <c r="B283" s="1238">
        <v>4</v>
      </c>
      <c r="D283" s="1238">
        <v>11</v>
      </c>
      <c r="F283" s="1239" t="s">
        <v>1243</v>
      </c>
      <c r="G283" s="1238" t="s">
        <v>957</v>
      </c>
      <c r="H283" s="1238" t="s">
        <v>958</v>
      </c>
      <c r="I283" s="1238" t="s">
        <v>959</v>
      </c>
      <c r="J283" s="1238" t="s">
        <v>960</v>
      </c>
      <c r="K283" s="1238" t="s">
        <v>963</v>
      </c>
      <c r="L283" s="1238" t="s">
        <v>964</v>
      </c>
      <c r="M283" s="1238" t="s">
        <v>860</v>
      </c>
      <c r="N283" s="1238" t="s">
        <v>860</v>
      </c>
      <c r="O283" s="1238" t="s">
        <v>965</v>
      </c>
      <c r="P283" s="1238" t="s">
        <v>1265</v>
      </c>
      <c r="Q283" s="1238" t="s">
        <v>860</v>
      </c>
      <c r="R283" s="1238" t="s">
        <v>860</v>
      </c>
    </row>
    <row r="284" spans="1:18" ht="15.75" hidden="1">
      <c r="A284" s="1569"/>
      <c r="B284" s="1238">
        <v>5</v>
      </c>
      <c r="C284" s="1690"/>
      <c r="D284" s="1238">
        <v>15</v>
      </c>
      <c r="F284" s="1239" t="s">
        <v>1300</v>
      </c>
      <c r="G284" s="1238" t="s">
        <v>957</v>
      </c>
      <c r="H284" s="1238" t="s">
        <v>958</v>
      </c>
      <c r="I284" s="1238" t="s">
        <v>966</v>
      </c>
      <c r="J284" s="1238" t="s">
        <v>967</v>
      </c>
      <c r="K284" s="1238" t="s">
        <v>968</v>
      </c>
      <c r="L284" s="1238" t="s">
        <v>1262</v>
      </c>
      <c r="M284" s="1238" t="s">
        <v>860</v>
      </c>
      <c r="N284" s="1238" t="s">
        <v>860</v>
      </c>
      <c r="O284" s="1238" t="s">
        <v>969</v>
      </c>
      <c r="P284" s="1238" t="s">
        <v>1266</v>
      </c>
      <c r="Q284" s="1238" t="s">
        <v>860</v>
      </c>
      <c r="R284" s="1238" t="s">
        <v>860</v>
      </c>
    </row>
    <row r="285" spans="1:18" ht="15.75" hidden="1">
      <c r="A285" s="1569"/>
      <c r="B285" s="1238">
        <v>6</v>
      </c>
      <c r="C285" s="1690"/>
      <c r="D285" s="1238">
        <v>19</v>
      </c>
      <c r="F285" s="1239" t="s">
        <v>1301</v>
      </c>
      <c r="G285" s="1238" t="s">
        <v>970</v>
      </c>
      <c r="H285" s="1238" t="s">
        <v>971</v>
      </c>
      <c r="I285" s="1238" t="s">
        <v>972</v>
      </c>
      <c r="J285" s="1238" t="s">
        <v>973</v>
      </c>
      <c r="K285" s="1238" t="s">
        <v>974</v>
      </c>
      <c r="L285" s="1238" t="s">
        <v>975</v>
      </c>
      <c r="M285" s="1238" t="s">
        <v>860</v>
      </c>
      <c r="N285" s="1238" t="s">
        <v>860</v>
      </c>
      <c r="O285" s="1238" t="s">
        <v>976</v>
      </c>
      <c r="P285" s="1238" t="s">
        <v>1267</v>
      </c>
      <c r="Q285" s="1238" t="s">
        <v>860</v>
      </c>
      <c r="R285" s="1238" t="s">
        <v>860</v>
      </c>
    </row>
    <row r="286" spans="1:18" ht="15.75" hidden="1">
      <c r="A286" s="1569"/>
      <c r="B286" s="1238">
        <v>7</v>
      </c>
      <c r="D286" s="1238">
        <v>22</v>
      </c>
      <c r="F286" s="1239" t="s">
        <v>1302</v>
      </c>
      <c r="G286" s="1238" t="s">
        <v>977</v>
      </c>
      <c r="H286" s="1238" t="s">
        <v>978</v>
      </c>
      <c r="I286" s="1238" t="s">
        <v>979</v>
      </c>
      <c r="J286" s="1238" t="s">
        <v>980</v>
      </c>
      <c r="K286" s="1238" t="s">
        <v>981</v>
      </c>
      <c r="L286" s="1238" t="s">
        <v>982</v>
      </c>
      <c r="M286" s="1238" t="s">
        <v>860</v>
      </c>
      <c r="N286" s="1238" t="s">
        <v>860</v>
      </c>
      <c r="O286" s="1238" t="s">
        <v>983</v>
      </c>
      <c r="P286" s="1238" t="s">
        <v>1268</v>
      </c>
      <c r="Q286" s="1238" t="s">
        <v>860</v>
      </c>
      <c r="R286" s="1238" t="s">
        <v>860</v>
      </c>
    </row>
    <row r="287" spans="1:18" ht="15.75" hidden="1">
      <c r="A287" s="1569"/>
      <c r="B287" s="1238">
        <v>8</v>
      </c>
      <c r="D287" s="1238">
        <v>27</v>
      </c>
      <c r="F287" s="1239" t="s">
        <v>1303</v>
      </c>
      <c r="G287" s="1238" t="s">
        <v>977</v>
      </c>
      <c r="H287" s="1238" t="s">
        <v>978</v>
      </c>
      <c r="I287" s="1238" t="s">
        <v>984</v>
      </c>
      <c r="J287" s="1238" t="s">
        <v>985</v>
      </c>
      <c r="K287" s="1238" t="s">
        <v>986</v>
      </c>
      <c r="L287" s="1238" t="s">
        <v>1261</v>
      </c>
      <c r="M287" s="1238" t="s">
        <v>860</v>
      </c>
      <c r="N287" s="1238" t="s">
        <v>860</v>
      </c>
      <c r="O287" s="1238" t="s">
        <v>987</v>
      </c>
      <c r="P287" s="1238" t="s">
        <v>1269</v>
      </c>
      <c r="Q287" s="1238" t="s">
        <v>860</v>
      </c>
      <c r="R287" s="1238" t="s">
        <v>860</v>
      </c>
    </row>
    <row r="288" spans="1:18" ht="15.75" hidden="1">
      <c r="A288" s="1569"/>
      <c r="B288" s="1238">
        <v>9</v>
      </c>
      <c r="D288" s="1238">
        <v>32</v>
      </c>
      <c r="F288" s="1239" t="s">
        <v>1304</v>
      </c>
      <c r="G288" s="1238" t="s">
        <v>977</v>
      </c>
      <c r="H288" s="1238" t="s">
        <v>978</v>
      </c>
      <c r="I288" s="1238" t="s">
        <v>988</v>
      </c>
      <c r="J288" s="1238" t="s">
        <v>989</v>
      </c>
      <c r="K288" s="1238" t="s">
        <v>990</v>
      </c>
      <c r="L288" s="1238" t="s">
        <v>990</v>
      </c>
      <c r="M288" s="1238" t="s">
        <v>860</v>
      </c>
      <c r="N288" s="1238" t="s">
        <v>860</v>
      </c>
      <c r="O288" s="1238" t="s">
        <v>991</v>
      </c>
      <c r="P288" s="1238" t="s">
        <v>1270</v>
      </c>
      <c r="Q288" s="1238" t="s">
        <v>860</v>
      </c>
      <c r="R288" s="1238" t="s">
        <v>860</v>
      </c>
    </row>
    <row r="289" spans="1:18" ht="15.75" hidden="1">
      <c r="A289" s="1569"/>
      <c r="B289" s="1238">
        <v>10</v>
      </c>
      <c r="D289" s="1238">
        <v>37</v>
      </c>
      <c r="F289" s="1239" t="s">
        <v>1305</v>
      </c>
      <c r="G289" s="1238" t="s">
        <v>992</v>
      </c>
      <c r="H289" s="1238" t="s">
        <v>993</v>
      </c>
      <c r="I289" s="1238" t="s">
        <v>994</v>
      </c>
      <c r="J289" s="1238" t="s">
        <v>995</v>
      </c>
      <c r="K289" s="1238" t="s">
        <v>996</v>
      </c>
      <c r="L289" s="1238" t="s">
        <v>1260</v>
      </c>
      <c r="M289" s="1238" t="s">
        <v>860</v>
      </c>
      <c r="N289" s="1238" t="s">
        <v>860</v>
      </c>
      <c r="O289" s="1238" t="s">
        <v>997</v>
      </c>
      <c r="P289" s="1238" t="s">
        <v>1271</v>
      </c>
      <c r="Q289" s="1238" t="s">
        <v>860</v>
      </c>
      <c r="R289" s="1238" t="s">
        <v>860</v>
      </c>
    </row>
    <row r="290" spans="1:18" ht="15.75" hidden="1">
      <c r="A290" s="1569"/>
      <c r="B290" s="1238">
        <v>11</v>
      </c>
      <c r="D290" s="1238">
        <v>42</v>
      </c>
      <c r="F290" s="1239" t="s">
        <v>1306</v>
      </c>
      <c r="G290" s="1238" t="s">
        <v>992</v>
      </c>
      <c r="H290" s="1238" t="s">
        <v>993</v>
      </c>
      <c r="I290" s="1238" t="s">
        <v>998</v>
      </c>
      <c r="J290" s="1238" t="s">
        <v>999</v>
      </c>
      <c r="K290" s="1238" t="s">
        <v>1000</v>
      </c>
      <c r="L290" s="1238" t="s">
        <v>1000</v>
      </c>
      <c r="M290" s="1238" t="s">
        <v>860</v>
      </c>
      <c r="N290" s="1238" t="s">
        <v>860</v>
      </c>
      <c r="O290" s="1238" t="s">
        <v>1001</v>
      </c>
      <c r="P290" s="1238" t="s">
        <v>1272</v>
      </c>
      <c r="Q290" s="1238" t="s">
        <v>860</v>
      </c>
      <c r="R290" s="1238" t="s">
        <v>860</v>
      </c>
    </row>
    <row r="291" spans="1:18" ht="15.75" hidden="1">
      <c r="A291" s="1569"/>
      <c r="B291" s="1238">
        <v>12</v>
      </c>
      <c r="D291" s="1238">
        <v>47</v>
      </c>
      <c r="F291" s="1239" t="s">
        <v>1307</v>
      </c>
      <c r="G291" s="1238" t="s">
        <v>992</v>
      </c>
      <c r="H291" s="1238" t="s">
        <v>993</v>
      </c>
      <c r="I291" s="1238" t="s">
        <v>1002</v>
      </c>
      <c r="J291" s="1238" t="s">
        <v>1003</v>
      </c>
      <c r="K291" s="1238" t="s">
        <v>1004</v>
      </c>
      <c r="L291" s="1238" t="s">
        <v>1005</v>
      </c>
      <c r="M291" s="1238" t="s">
        <v>860</v>
      </c>
      <c r="N291" s="1238" t="s">
        <v>860</v>
      </c>
      <c r="O291" s="1238" t="s">
        <v>1006</v>
      </c>
      <c r="P291" s="1238" t="s">
        <v>1273</v>
      </c>
      <c r="Q291" s="1238" t="s">
        <v>860</v>
      </c>
      <c r="R291" s="1238" t="s">
        <v>860</v>
      </c>
    </row>
    <row r="292" spans="1:18" ht="15.75" hidden="1">
      <c r="A292" s="1569"/>
      <c r="B292" s="1238">
        <v>13</v>
      </c>
      <c r="D292" s="1238">
        <v>52</v>
      </c>
      <c r="F292" s="1239" t="s">
        <v>1308</v>
      </c>
      <c r="G292" s="1238" t="s">
        <v>946</v>
      </c>
      <c r="H292" s="1238" t="s">
        <v>1007</v>
      </c>
      <c r="I292" s="1238" t="s">
        <v>1008</v>
      </c>
      <c r="J292" s="1238" t="s">
        <v>1009</v>
      </c>
      <c r="K292" s="1238" t="s">
        <v>1010</v>
      </c>
      <c r="L292" s="1238" t="s">
        <v>1259</v>
      </c>
      <c r="M292" s="1238" t="s">
        <v>860</v>
      </c>
      <c r="N292" s="1238" t="s">
        <v>860</v>
      </c>
      <c r="O292" s="1238" t="s">
        <v>1011</v>
      </c>
      <c r="P292" s="1238" t="s">
        <v>1012</v>
      </c>
      <c r="Q292" s="1238" t="s">
        <v>860</v>
      </c>
      <c r="R292" s="1238" t="s">
        <v>860</v>
      </c>
    </row>
    <row r="293" spans="1:18" ht="15.75" hidden="1">
      <c r="A293" s="1569"/>
      <c r="B293" s="1238">
        <v>14</v>
      </c>
      <c r="D293" s="1238">
        <v>57</v>
      </c>
      <c r="F293" s="1239" t="s">
        <v>1309</v>
      </c>
      <c r="G293" s="1238" t="s">
        <v>946</v>
      </c>
      <c r="H293" s="1238" t="s">
        <v>1007</v>
      </c>
      <c r="I293" s="1238" t="s">
        <v>1013</v>
      </c>
      <c r="J293" s="1238" t="s">
        <v>1014</v>
      </c>
      <c r="K293" s="1238" t="s">
        <v>974</v>
      </c>
      <c r="L293" s="1238" t="s">
        <v>974</v>
      </c>
      <c r="M293" s="1238" t="s">
        <v>860</v>
      </c>
      <c r="N293" s="1238" t="s">
        <v>860</v>
      </c>
      <c r="O293" s="1238" t="s">
        <v>1015</v>
      </c>
      <c r="P293" s="1238" t="s">
        <v>1016</v>
      </c>
      <c r="Q293" s="1238" t="s">
        <v>860</v>
      </c>
      <c r="R293" s="1238" t="s">
        <v>860</v>
      </c>
    </row>
    <row r="294" spans="1:18" ht="15.75" hidden="1">
      <c r="A294" s="1569"/>
      <c r="B294" s="1238">
        <v>15</v>
      </c>
      <c r="D294" s="1238">
        <v>62</v>
      </c>
      <c r="F294" s="1239" t="s">
        <v>1310</v>
      </c>
      <c r="G294" s="1238" t="s">
        <v>1017</v>
      </c>
      <c r="H294" s="1238" t="s">
        <v>1018</v>
      </c>
      <c r="I294" s="1238" t="s">
        <v>1019</v>
      </c>
      <c r="J294" s="1238" t="s">
        <v>1020</v>
      </c>
      <c r="K294" s="1238" t="s">
        <v>1021</v>
      </c>
      <c r="L294" s="1238" t="s">
        <v>1022</v>
      </c>
      <c r="M294" s="1238" t="s">
        <v>860</v>
      </c>
      <c r="N294" s="1238" t="s">
        <v>860</v>
      </c>
      <c r="O294" s="1238" t="s">
        <v>1023</v>
      </c>
      <c r="P294" s="1238" t="s">
        <v>1024</v>
      </c>
      <c r="Q294" s="1238" t="s">
        <v>860</v>
      </c>
      <c r="R294" s="1238" t="s">
        <v>860</v>
      </c>
    </row>
    <row r="295" spans="1:18" ht="15.75" hidden="1">
      <c r="A295" s="1569"/>
      <c r="B295" s="1238">
        <v>16</v>
      </c>
      <c r="D295" s="1238">
        <v>68</v>
      </c>
      <c r="F295" s="1239" t="s">
        <v>1311</v>
      </c>
      <c r="G295" s="1238" t="s">
        <v>970</v>
      </c>
      <c r="H295" s="1238" t="s">
        <v>971</v>
      </c>
      <c r="I295" s="1238" t="s">
        <v>1025</v>
      </c>
      <c r="J295" s="1238" t="s">
        <v>1026</v>
      </c>
      <c r="K295" s="1238" t="s">
        <v>1027</v>
      </c>
      <c r="L295" s="1238" t="s">
        <v>1258</v>
      </c>
      <c r="M295" s="1238" t="s">
        <v>860</v>
      </c>
      <c r="N295" s="1238" t="s">
        <v>860</v>
      </c>
      <c r="O295" s="1238" t="s">
        <v>1028</v>
      </c>
      <c r="P295" s="1238" t="s">
        <v>1029</v>
      </c>
      <c r="Q295" s="1238" t="s">
        <v>860</v>
      </c>
      <c r="R295" s="1238" t="s">
        <v>860</v>
      </c>
    </row>
    <row r="296" spans="1:18" ht="15.75" hidden="1">
      <c r="A296" s="1569"/>
      <c r="B296" s="1238">
        <v>17</v>
      </c>
      <c r="D296" s="1238">
        <v>71</v>
      </c>
      <c r="F296" s="1239" t="s">
        <v>1312</v>
      </c>
      <c r="G296" s="1238" t="s">
        <v>946</v>
      </c>
      <c r="H296" s="1238" t="s">
        <v>1007</v>
      </c>
      <c r="I296" s="1238" t="s">
        <v>1030</v>
      </c>
      <c r="J296" s="1238" t="s">
        <v>1031</v>
      </c>
      <c r="K296" s="1238" t="s">
        <v>1032</v>
      </c>
      <c r="L296" s="1238" t="s">
        <v>1257</v>
      </c>
      <c r="M296" s="1238" t="s">
        <v>860</v>
      </c>
      <c r="N296" s="1238" t="s">
        <v>860</v>
      </c>
      <c r="O296" s="1238" t="s">
        <v>1033</v>
      </c>
      <c r="P296" s="1238" t="s">
        <v>1034</v>
      </c>
      <c r="Q296" s="1238" t="s">
        <v>860</v>
      </c>
      <c r="R296" s="1238" t="s">
        <v>860</v>
      </c>
    </row>
    <row r="297" spans="1:18" ht="15.75" hidden="1">
      <c r="A297" s="1569"/>
      <c r="B297" s="1238">
        <v>18</v>
      </c>
      <c r="D297" s="1238">
        <v>76</v>
      </c>
      <c r="F297" s="1239" t="s">
        <v>1313</v>
      </c>
      <c r="G297" s="1238" t="s">
        <v>946</v>
      </c>
      <c r="H297" s="1238" t="s">
        <v>1007</v>
      </c>
      <c r="I297" s="1238" t="s">
        <v>1035</v>
      </c>
      <c r="J297" s="1238" t="s">
        <v>1036</v>
      </c>
      <c r="K297" s="1238" t="s">
        <v>1037</v>
      </c>
      <c r="L297" s="1238" t="s">
        <v>1037</v>
      </c>
      <c r="M297" s="1238" t="s">
        <v>860</v>
      </c>
      <c r="N297" s="1238" t="s">
        <v>860</v>
      </c>
      <c r="O297" s="1238" t="s">
        <v>1038</v>
      </c>
      <c r="P297" s="1238" t="s">
        <v>1274</v>
      </c>
      <c r="Q297" s="1238" t="s">
        <v>860</v>
      </c>
      <c r="R297" s="1238" t="s">
        <v>860</v>
      </c>
    </row>
    <row r="298" spans="1:18" ht="15.75" hidden="1">
      <c r="A298" s="1569"/>
      <c r="B298" s="1238">
        <v>19</v>
      </c>
      <c r="D298" s="1238">
        <v>81</v>
      </c>
      <c r="F298" s="1239" t="s">
        <v>1314</v>
      </c>
      <c r="G298" s="1238" t="s">
        <v>946</v>
      </c>
      <c r="H298" s="1238" t="s">
        <v>1007</v>
      </c>
      <c r="I298" s="1238" t="s">
        <v>1039</v>
      </c>
      <c r="J298" s="1238" t="s">
        <v>1040</v>
      </c>
      <c r="K298" s="1238" t="s">
        <v>1041</v>
      </c>
      <c r="L298" s="1238" t="s">
        <v>1256</v>
      </c>
      <c r="M298" s="1238" t="s">
        <v>860</v>
      </c>
      <c r="N298" s="1238" t="s">
        <v>860</v>
      </c>
      <c r="O298" s="1238" t="s">
        <v>1042</v>
      </c>
      <c r="P298" s="1238" t="s">
        <v>1275</v>
      </c>
      <c r="Q298" s="1238" t="s">
        <v>860</v>
      </c>
      <c r="R298" s="1238" t="s">
        <v>860</v>
      </c>
    </row>
    <row r="299" spans="1:18" ht="15.75" hidden="1">
      <c r="A299" s="1569"/>
      <c r="B299" s="1238">
        <v>20</v>
      </c>
      <c r="D299" s="1238">
        <v>86</v>
      </c>
      <c r="F299" s="1239" t="s">
        <v>1315</v>
      </c>
      <c r="G299" s="1238" t="s">
        <v>946</v>
      </c>
      <c r="H299" s="1238" t="s">
        <v>1007</v>
      </c>
      <c r="I299" s="1238" t="s">
        <v>1043</v>
      </c>
      <c r="J299" s="1238" t="s">
        <v>1044</v>
      </c>
      <c r="K299" s="1238" t="s">
        <v>1045</v>
      </c>
      <c r="L299" s="1238" t="s">
        <v>1045</v>
      </c>
      <c r="M299" s="1238" t="s">
        <v>860</v>
      </c>
      <c r="N299" s="1238" t="s">
        <v>860</v>
      </c>
      <c r="O299" s="1238" t="s">
        <v>1046</v>
      </c>
      <c r="P299" s="1238" t="s">
        <v>1276</v>
      </c>
      <c r="Q299" s="1238" t="s">
        <v>860</v>
      </c>
      <c r="R299" s="1238" t="s">
        <v>860</v>
      </c>
    </row>
    <row r="300" spans="1:18" ht="15.75" hidden="1">
      <c r="A300" s="1569"/>
      <c r="B300" s="1238">
        <v>21</v>
      </c>
      <c r="D300" s="1238">
        <v>91</v>
      </c>
      <c r="F300" s="1239" t="s">
        <v>1316</v>
      </c>
      <c r="G300" s="1238" t="s">
        <v>946</v>
      </c>
      <c r="H300" s="1238" t="s">
        <v>1007</v>
      </c>
      <c r="I300" s="1238" t="s">
        <v>1047</v>
      </c>
      <c r="J300" s="1238" t="s">
        <v>1048</v>
      </c>
      <c r="K300" s="1238" t="s">
        <v>1049</v>
      </c>
      <c r="L300" s="1238" t="s">
        <v>1050</v>
      </c>
      <c r="M300" s="1238" t="s">
        <v>860</v>
      </c>
      <c r="N300" s="1238" t="s">
        <v>860</v>
      </c>
      <c r="O300" s="1238" t="s">
        <v>1051</v>
      </c>
      <c r="P300" s="1238" t="s">
        <v>1277</v>
      </c>
      <c r="Q300" s="1238" t="s">
        <v>860</v>
      </c>
      <c r="R300" s="1238" t="s">
        <v>860</v>
      </c>
    </row>
    <row r="301" spans="1:18" ht="15.75" hidden="1">
      <c r="A301" s="1569"/>
      <c r="B301" s="1238">
        <v>22</v>
      </c>
      <c r="D301" s="1238">
        <v>96</v>
      </c>
      <c r="F301" s="1239" t="s">
        <v>1317</v>
      </c>
      <c r="G301" s="1238" t="s">
        <v>946</v>
      </c>
      <c r="H301" s="1238" t="s">
        <v>1007</v>
      </c>
      <c r="I301" s="1238" t="s">
        <v>1047</v>
      </c>
      <c r="J301" s="1238" t="s">
        <v>1048</v>
      </c>
      <c r="K301" s="1238" t="s">
        <v>1052</v>
      </c>
      <c r="L301" s="1238" t="s">
        <v>1053</v>
      </c>
      <c r="M301" s="1238" t="s">
        <v>860</v>
      </c>
      <c r="N301" s="1238" t="s">
        <v>860</v>
      </c>
      <c r="O301" s="1238" t="s">
        <v>1054</v>
      </c>
      <c r="P301" s="1238" t="s">
        <v>1055</v>
      </c>
      <c r="Q301" s="1238" t="s">
        <v>860</v>
      </c>
      <c r="R301" s="1238" t="s">
        <v>860</v>
      </c>
    </row>
    <row r="302" spans="1:18" ht="15.75" hidden="1">
      <c r="A302" s="1569"/>
      <c r="B302" s="1238">
        <v>23</v>
      </c>
      <c r="D302" s="1238">
        <v>101</v>
      </c>
      <c r="F302" s="1239" t="s">
        <v>1318</v>
      </c>
      <c r="G302" s="1238" t="s">
        <v>946</v>
      </c>
      <c r="H302" s="1238" t="s">
        <v>1007</v>
      </c>
      <c r="I302" s="1238" t="s">
        <v>1056</v>
      </c>
      <c r="J302" s="1238" t="s">
        <v>1057</v>
      </c>
      <c r="K302" s="1238" t="s">
        <v>1058</v>
      </c>
      <c r="L302" s="1238" t="s">
        <v>1255</v>
      </c>
      <c r="M302" s="1238" t="s">
        <v>860</v>
      </c>
      <c r="N302" s="1238" t="s">
        <v>860</v>
      </c>
      <c r="O302" s="1238" t="s">
        <v>1059</v>
      </c>
      <c r="P302" s="1238" t="s">
        <v>1060</v>
      </c>
      <c r="Q302" s="1238" t="s">
        <v>860</v>
      </c>
      <c r="R302" s="1238" t="s">
        <v>860</v>
      </c>
    </row>
    <row r="303" spans="1:18" ht="15.75" hidden="1">
      <c r="A303" s="1569"/>
      <c r="B303" s="1238">
        <v>24</v>
      </c>
      <c r="D303" s="1238">
        <v>106</v>
      </c>
      <c r="F303" s="1239" t="s">
        <v>1319</v>
      </c>
      <c r="G303" s="1238" t="s">
        <v>946</v>
      </c>
      <c r="H303" s="1238" t="s">
        <v>1007</v>
      </c>
      <c r="I303" s="1238" t="s">
        <v>1061</v>
      </c>
      <c r="J303" s="1238" t="s">
        <v>1062</v>
      </c>
      <c r="K303" s="1238" t="s">
        <v>1063</v>
      </c>
      <c r="L303" s="1238" t="s">
        <v>1254</v>
      </c>
      <c r="M303" s="1238" t="s">
        <v>860</v>
      </c>
      <c r="N303" s="1238" t="s">
        <v>860</v>
      </c>
      <c r="O303" s="1238" t="s">
        <v>1064</v>
      </c>
      <c r="P303" s="1238" t="s">
        <v>1065</v>
      </c>
      <c r="Q303" s="1238" t="s">
        <v>860</v>
      </c>
      <c r="R303" s="1238" t="s">
        <v>860</v>
      </c>
    </row>
    <row r="304" spans="1:18" ht="15.75" hidden="1">
      <c r="A304" s="1569"/>
      <c r="B304" s="1238">
        <v>25</v>
      </c>
      <c r="D304" s="1238">
        <v>111</v>
      </c>
      <c r="F304" s="1239" t="s">
        <v>1320</v>
      </c>
      <c r="G304" s="1238" t="s">
        <v>946</v>
      </c>
      <c r="H304" s="1238" t="s">
        <v>1007</v>
      </c>
      <c r="I304" s="1238" t="s">
        <v>1066</v>
      </c>
      <c r="J304" s="1238" t="s">
        <v>1067</v>
      </c>
      <c r="K304" s="1238" t="s">
        <v>1068</v>
      </c>
      <c r="L304" s="1238" t="s">
        <v>1069</v>
      </c>
      <c r="M304" s="1238" t="s">
        <v>860</v>
      </c>
      <c r="N304" s="1238" t="s">
        <v>860</v>
      </c>
      <c r="O304" s="1238" t="s">
        <v>1070</v>
      </c>
      <c r="P304" s="1238" t="s">
        <v>1071</v>
      </c>
      <c r="Q304" s="1238" t="s">
        <v>860</v>
      </c>
      <c r="R304" s="1238" t="s">
        <v>860</v>
      </c>
    </row>
    <row r="305" spans="1:18" ht="15.75" hidden="1">
      <c r="A305" s="1569"/>
      <c r="B305" s="1238">
        <v>26</v>
      </c>
      <c r="D305" s="1238">
        <v>116</v>
      </c>
      <c r="F305" s="1239" t="s">
        <v>1321</v>
      </c>
      <c r="G305" s="1238" t="s">
        <v>1072</v>
      </c>
      <c r="H305" s="1238" t="s">
        <v>1073</v>
      </c>
      <c r="I305" s="1238" t="s">
        <v>1074</v>
      </c>
      <c r="J305" s="1238" t="s">
        <v>1075</v>
      </c>
      <c r="K305" s="1238" t="s">
        <v>1076</v>
      </c>
      <c r="L305" s="1238" t="s">
        <v>1077</v>
      </c>
      <c r="M305" s="1238" t="s">
        <v>860</v>
      </c>
      <c r="N305" s="1238" t="s">
        <v>860</v>
      </c>
      <c r="O305" s="1238" t="s">
        <v>1078</v>
      </c>
      <c r="P305" s="1238" t="s">
        <v>1278</v>
      </c>
      <c r="Q305" s="1238" t="s">
        <v>860</v>
      </c>
      <c r="R305" s="1238" t="s">
        <v>860</v>
      </c>
    </row>
    <row r="306" spans="1:18" ht="15.75" hidden="1">
      <c r="A306" s="1569"/>
      <c r="B306" s="1238">
        <v>27</v>
      </c>
      <c r="D306" s="1238">
        <v>121</v>
      </c>
      <c r="F306" s="1239" t="s">
        <v>1322</v>
      </c>
      <c r="G306" s="1238" t="s">
        <v>1072</v>
      </c>
      <c r="H306" s="1238" t="s">
        <v>1073</v>
      </c>
      <c r="I306" s="1238" t="s">
        <v>1079</v>
      </c>
      <c r="J306" s="1238" t="s">
        <v>1080</v>
      </c>
      <c r="K306" s="1238" t="s">
        <v>1081</v>
      </c>
      <c r="L306" s="1238" t="s">
        <v>1253</v>
      </c>
      <c r="M306" s="1238" t="s">
        <v>860</v>
      </c>
      <c r="N306" s="1238" t="s">
        <v>860</v>
      </c>
      <c r="O306" s="1238" t="s">
        <v>1082</v>
      </c>
      <c r="P306" s="1238" t="s">
        <v>1279</v>
      </c>
      <c r="Q306" s="1238" t="s">
        <v>860</v>
      </c>
      <c r="R306" s="1238" t="s">
        <v>860</v>
      </c>
    </row>
    <row r="307" spans="1:18" ht="15.75" hidden="1">
      <c r="A307" s="1569"/>
      <c r="B307" s="1238">
        <v>28</v>
      </c>
      <c r="D307" s="1238">
        <v>126</v>
      </c>
      <c r="F307" s="1239" t="s">
        <v>1323</v>
      </c>
      <c r="G307" s="1238" t="s">
        <v>971</v>
      </c>
      <c r="H307" s="1238" t="s">
        <v>1083</v>
      </c>
      <c r="I307" s="1238" t="s">
        <v>1084</v>
      </c>
      <c r="J307" s="1238" t="s">
        <v>1085</v>
      </c>
      <c r="K307" s="1238" t="s">
        <v>1104</v>
      </c>
      <c r="L307" s="1238" t="s">
        <v>1105</v>
      </c>
      <c r="M307" s="1238" t="s">
        <v>860</v>
      </c>
      <c r="N307" s="1238" t="s">
        <v>860</v>
      </c>
      <c r="O307" s="1238" t="s">
        <v>1106</v>
      </c>
      <c r="P307" s="1238" t="s">
        <v>1280</v>
      </c>
      <c r="Q307" s="1238" t="s">
        <v>860</v>
      </c>
      <c r="R307" s="1238" t="s">
        <v>860</v>
      </c>
    </row>
    <row r="308" spans="1:18" ht="15.75" hidden="1">
      <c r="A308" s="1569"/>
      <c r="B308" s="1238">
        <v>29</v>
      </c>
      <c r="D308" s="1238">
        <v>130</v>
      </c>
      <c r="F308" s="1239" t="s">
        <v>1324</v>
      </c>
      <c r="G308" s="1238" t="s">
        <v>1107</v>
      </c>
      <c r="H308" s="1238" t="s">
        <v>1108</v>
      </c>
      <c r="I308" s="1238" t="s">
        <v>1109</v>
      </c>
      <c r="J308" s="1238" t="s">
        <v>1110</v>
      </c>
      <c r="K308" s="1238" t="s">
        <v>1111</v>
      </c>
      <c r="L308" s="1238" t="s">
        <v>1252</v>
      </c>
      <c r="M308" s="1238" t="s">
        <v>860</v>
      </c>
      <c r="N308" s="1238" t="s">
        <v>860</v>
      </c>
      <c r="O308" s="1238" t="s">
        <v>1112</v>
      </c>
      <c r="P308" s="1238" t="s">
        <v>1281</v>
      </c>
      <c r="Q308" s="1238" t="s">
        <v>860</v>
      </c>
      <c r="R308" s="1238" t="s">
        <v>860</v>
      </c>
    </row>
    <row r="309" spans="1:18" ht="15.75" hidden="1">
      <c r="A309" s="1569"/>
      <c r="B309" s="1238">
        <v>30</v>
      </c>
      <c r="D309" s="1238">
        <v>135</v>
      </c>
      <c r="F309" s="1239" t="s">
        <v>1325</v>
      </c>
      <c r="G309" s="1238" t="s">
        <v>1107</v>
      </c>
      <c r="H309" s="1238" t="s">
        <v>1108</v>
      </c>
      <c r="I309" s="1238" t="s">
        <v>1113</v>
      </c>
      <c r="J309" s="1238" t="s">
        <v>1114</v>
      </c>
      <c r="K309" s="1238" t="s">
        <v>1115</v>
      </c>
      <c r="L309" s="1238" t="s">
        <v>1116</v>
      </c>
      <c r="M309" s="1238" t="s">
        <v>860</v>
      </c>
      <c r="N309" s="1238" t="s">
        <v>860</v>
      </c>
      <c r="O309" s="1238" t="s">
        <v>1117</v>
      </c>
      <c r="P309" s="1238" t="s">
        <v>1282</v>
      </c>
      <c r="Q309" s="1238" t="s">
        <v>860</v>
      </c>
      <c r="R309" s="1238" t="s">
        <v>860</v>
      </c>
    </row>
    <row r="310" spans="1:18" ht="15.75" hidden="1">
      <c r="A310" s="1569"/>
      <c r="B310" s="1238">
        <v>31</v>
      </c>
      <c r="D310" s="1238">
        <v>140</v>
      </c>
      <c r="F310" s="1239" t="s">
        <v>1326</v>
      </c>
      <c r="G310" s="1238" t="s">
        <v>993</v>
      </c>
      <c r="H310" s="1238" t="s">
        <v>1118</v>
      </c>
      <c r="I310" s="1238" t="s">
        <v>1119</v>
      </c>
      <c r="J310" s="1238" t="s">
        <v>1120</v>
      </c>
      <c r="K310" s="1238" t="s">
        <v>1121</v>
      </c>
      <c r="L310" s="1238" t="s">
        <v>1122</v>
      </c>
      <c r="M310" s="1238" t="s">
        <v>860</v>
      </c>
      <c r="N310" s="1238" t="s">
        <v>860</v>
      </c>
      <c r="O310" s="1238" t="s">
        <v>1123</v>
      </c>
      <c r="P310" s="1238" t="s">
        <v>1283</v>
      </c>
      <c r="Q310" s="1238" t="s">
        <v>860</v>
      </c>
      <c r="R310" s="1238" t="s">
        <v>860</v>
      </c>
    </row>
    <row r="311" spans="1:18" ht="15.75" hidden="1">
      <c r="A311" s="1569"/>
      <c r="B311" s="1238">
        <v>32</v>
      </c>
      <c r="D311" s="1238">
        <v>146</v>
      </c>
      <c r="F311" s="1239" t="s">
        <v>1327</v>
      </c>
      <c r="G311" s="1238" t="s">
        <v>993</v>
      </c>
      <c r="H311" s="1238" t="s">
        <v>1118</v>
      </c>
      <c r="I311" s="1238" t="s">
        <v>1119</v>
      </c>
      <c r="J311" s="1238" t="s">
        <v>1120</v>
      </c>
      <c r="K311" s="1238" t="s">
        <v>1124</v>
      </c>
      <c r="L311" s="1238" t="s">
        <v>1125</v>
      </c>
      <c r="M311" s="1238" t="s">
        <v>860</v>
      </c>
      <c r="N311" s="1238" t="s">
        <v>860</v>
      </c>
      <c r="O311" s="1238" t="s">
        <v>1126</v>
      </c>
      <c r="P311" s="1238" t="s">
        <v>1127</v>
      </c>
      <c r="Q311" s="1238" t="s">
        <v>860</v>
      </c>
      <c r="R311" s="1238" t="s">
        <v>860</v>
      </c>
    </row>
    <row r="312" spans="1:18" ht="15.75" hidden="1">
      <c r="A312" s="1569"/>
      <c r="B312" s="1238">
        <v>33</v>
      </c>
      <c r="D312" s="1238">
        <v>152</v>
      </c>
      <c r="F312" s="1239" t="s">
        <v>1328</v>
      </c>
      <c r="G312" s="1238" t="s">
        <v>1128</v>
      </c>
      <c r="H312" s="1238" t="s">
        <v>1129</v>
      </c>
      <c r="I312" s="1238" t="s">
        <v>1130</v>
      </c>
      <c r="J312" s="1238" t="s">
        <v>1131</v>
      </c>
      <c r="K312" s="1238" t="s">
        <v>1132</v>
      </c>
      <c r="L312" s="1238" t="s">
        <v>1133</v>
      </c>
      <c r="M312" s="1238" t="s">
        <v>860</v>
      </c>
      <c r="N312" s="1238" t="s">
        <v>860</v>
      </c>
      <c r="O312" s="1238" t="s">
        <v>1134</v>
      </c>
      <c r="P312" s="1238" t="s">
        <v>1284</v>
      </c>
      <c r="Q312" s="1238" t="s">
        <v>860</v>
      </c>
      <c r="R312" s="1238" t="s">
        <v>860</v>
      </c>
    </row>
    <row r="313" spans="1:18" ht="15.75" hidden="1">
      <c r="A313" s="1569"/>
      <c r="B313" s="1238">
        <v>34</v>
      </c>
      <c r="D313" s="1238">
        <v>155</v>
      </c>
      <c r="F313" s="1239" t="s">
        <v>1329</v>
      </c>
      <c r="G313" s="1238" t="s">
        <v>1135</v>
      </c>
      <c r="H313" s="1238" t="s">
        <v>1136</v>
      </c>
      <c r="I313" s="1238" t="s">
        <v>1137</v>
      </c>
      <c r="J313" s="1238" t="s">
        <v>1138</v>
      </c>
      <c r="K313" s="1238" t="s">
        <v>1139</v>
      </c>
      <c r="L313" s="1238" t="s">
        <v>1251</v>
      </c>
      <c r="M313" s="1238" t="s">
        <v>860</v>
      </c>
      <c r="N313" s="1238" t="s">
        <v>860</v>
      </c>
      <c r="O313" s="1238" t="s">
        <v>1140</v>
      </c>
      <c r="P313" s="1238" t="s">
        <v>1285</v>
      </c>
      <c r="Q313" s="1238" t="s">
        <v>860</v>
      </c>
      <c r="R313" s="1238" t="s">
        <v>860</v>
      </c>
    </row>
    <row r="314" spans="1:18" ht="15.75" hidden="1">
      <c r="A314" s="1569"/>
      <c r="B314" s="1238">
        <v>35</v>
      </c>
      <c r="D314" s="1238">
        <v>160</v>
      </c>
      <c r="F314" s="1239" t="s">
        <v>1330</v>
      </c>
      <c r="G314" s="1238" t="s">
        <v>1135</v>
      </c>
      <c r="H314" s="1238" t="s">
        <v>1136</v>
      </c>
      <c r="I314" s="1238" t="s">
        <v>1141</v>
      </c>
      <c r="J314" s="1238" t="s">
        <v>1142</v>
      </c>
      <c r="K314" s="1238" t="s">
        <v>1143</v>
      </c>
      <c r="L314" s="1238" t="s">
        <v>1144</v>
      </c>
      <c r="M314" s="1238" t="s">
        <v>860</v>
      </c>
      <c r="N314" s="1238" t="s">
        <v>860</v>
      </c>
      <c r="O314" s="1238" t="s">
        <v>1145</v>
      </c>
      <c r="P314" s="1238" t="s">
        <v>1286</v>
      </c>
      <c r="Q314" s="1238" t="s">
        <v>860</v>
      </c>
      <c r="R314" s="1238" t="s">
        <v>860</v>
      </c>
    </row>
    <row r="315" spans="1:18" ht="15.75" hidden="1">
      <c r="A315" s="1569"/>
      <c r="B315" s="1238">
        <v>36</v>
      </c>
      <c r="D315" s="1238">
        <v>165</v>
      </c>
      <c r="F315" s="1239" t="s">
        <v>1331</v>
      </c>
      <c r="G315" s="1238">
        <v>3</v>
      </c>
      <c r="H315" s="1238">
        <v>6</v>
      </c>
      <c r="I315" s="1238">
        <v>7.8849999999999998</v>
      </c>
      <c r="J315" s="1238">
        <v>6.19</v>
      </c>
      <c r="K315" s="1238">
        <v>33.15</v>
      </c>
      <c r="L315" s="1238">
        <v>13.26</v>
      </c>
      <c r="M315" s="1238">
        <v>0</v>
      </c>
      <c r="N315" s="1238">
        <v>0</v>
      </c>
      <c r="O315" s="1238">
        <v>83.36</v>
      </c>
      <c r="P315" s="1238">
        <v>18.524000000000001</v>
      </c>
      <c r="Q315" s="1238">
        <v>0</v>
      </c>
      <c r="R315" s="1238">
        <v>0</v>
      </c>
    </row>
    <row r="316" spans="1:18" ht="15.75" hidden="1">
      <c r="A316" s="1569"/>
      <c r="B316" s="1238">
        <v>37</v>
      </c>
      <c r="D316" s="1238">
        <v>166</v>
      </c>
      <c r="F316" s="1239" t="s">
        <v>1332</v>
      </c>
      <c r="G316" s="1238" t="s">
        <v>1146</v>
      </c>
      <c r="H316" s="1238" t="s">
        <v>1147</v>
      </c>
      <c r="I316" s="1238" t="s">
        <v>1148</v>
      </c>
      <c r="J316" s="1238" t="s">
        <v>1149</v>
      </c>
      <c r="K316" s="1238" t="s">
        <v>1150</v>
      </c>
      <c r="L316" s="1238" t="s">
        <v>1250</v>
      </c>
      <c r="M316" s="1238" t="s">
        <v>860</v>
      </c>
      <c r="N316" s="1238" t="s">
        <v>860</v>
      </c>
      <c r="O316" s="1238" t="s">
        <v>1151</v>
      </c>
      <c r="P316" s="1238" t="s">
        <v>1287</v>
      </c>
      <c r="Q316" s="1238" t="s">
        <v>860</v>
      </c>
      <c r="R316" s="1238" t="s">
        <v>860</v>
      </c>
    </row>
    <row r="317" spans="1:18" ht="15.75" hidden="1">
      <c r="A317" s="1569"/>
      <c r="B317" s="1238">
        <v>38</v>
      </c>
      <c r="D317" s="1238">
        <v>170</v>
      </c>
      <c r="F317" s="1239" t="s">
        <v>1333</v>
      </c>
      <c r="G317" s="1238" t="s">
        <v>1146</v>
      </c>
      <c r="H317" s="1238" t="s">
        <v>1147</v>
      </c>
      <c r="I317" s="1238" t="s">
        <v>1152</v>
      </c>
      <c r="J317" s="1238" t="s">
        <v>1153</v>
      </c>
      <c r="K317" s="1238" t="s">
        <v>1154</v>
      </c>
      <c r="L317" s="1238" t="s">
        <v>1155</v>
      </c>
      <c r="M317" s="1238" t="s">
        <v>860</v>
      </c>
      <c r="N317" s="1238" t="s">
        <v>860</v>
      </c>
      <c r="O317" s="1238" t="s">
        <v>1156</v>
      </c>
      <c r="P317" s="1238" t="s">
        <v>1157</v>
      </c>
      <c r="Q317" s="1238" t="s">
        <v>860</v>
      </c>
      <c r="R317" s="1238" t="s">
        <v>860</v>
      </c>
    </row>
    <row r="318" spans="1:18" ht="15.75" hidden="1">
      <c r="A318" s="1569"/>
      <c r="B318" s="1238">
        <v>39</v>
      </c>
      <c r="D318" s="1238">
        <v>174</v>
      </c>
      <c r="F318" s="1239" t="s">
        <v>1334</v>
      </c>
      <c r="G318" s="1238" t="s">
        <v>1146</v>
      </c>
      <c r="H318" s="1238" t="s">
        <v>1147</v>
      </c>
      <c r="I318" s="1238" t="s">
        <v>1148</v>
      </c>
      <c r="J318" s="1238" t="s">
        <v>1149</v>
      </c>
      <c r="K318" s="1238" t="s">
        <v>1158</v>
      </c>
      <c r="L318" s="1238" t="s">
        <v>1159</v>
      </c>
      <c r="M318" s="1238" t="s">
        <v>860</v>
      </c>
      <c r="N318" s="1238" t="s">
        <v>860</v>
      </c>
      <c r="O318" s="1238" t="s">
        <v>1160</v>
      </c>
      <c r="P318" s="1238" t="s">
        <v>1161</v>
      </c>
      <c r="Q318" s="1238" t="s">
        <v>860</v>
      </c>
      <c r="R318" s="1238" t="s">
        <v>860</v>
      </c>
    </row>
    <row r="319" spans="1:18" ht="15.75" hidden="1">
      <c r="A319" s="1569"/>
      <c r="B319" s="1238">
        <v>40</v>
      </c>
      <c r="D319" s="1238">
        <v>178</v>
      </c>
      <c r="F319" s="1239" t="s">
        <v>1335</v>
      </c>
      <c r="G319" s="1238" t="s">
        <v>1146</v>
      </c>
      <c r="H319" s="1238" t="s">
        <v>1147</v>
      </c>
      <c r="I319" s="1238" t="s">
        <v>1162</v>
      </c>
      <c r="J319" s="1238" t="s">
        <v>1163</v>
      </c>
      <c r="K319" s="1238" t="s">
        <v>1164</v>
      </c>
      <c r="L319" s="1238" t="s">
        <v>1249</v>
      </c>
      <c r="M319" s="1238" t="s">
        <v>860</v>
      </c>
      <c r="N319" s="1238" t="s">
        <v>860</v>
      </c>
      <c r="O319" s="1238" t="s">
        <v>1165</v>
      </c>
      <c r="P319" s="1238" t="s">
        <v>1166</v>
      </c>
      <c r="Q319" s="1238" t="s">
        <v>860</v>
      </c>
      <c r="R319" s="1238" t="s">
        <v>860</v>
      </c>
    </row>
    <row r="320" spans="1:18" ht="15.75" hidden="1">
      <c r="A320" s="1569"/>
      <c r="B320" s="1238">
        <v>41</v>
      </c>
      <c r="D320" s="1238">
        <v>182</v>
      </c>
      <c r="F320" s="1239" t="s">
        <v>1336</v>
      </c>
      <c r="G320" s="1238" t="s">
        <v>1146</v>
      </c>
      <c r="H320" s="1238" t="s">
        <v>1147</v>
      </c>
      <c r="I320" s="1238" t="s">
        <v>1148</v>
      </c>
      <c r="J320" s="1238" t="s">
        <v>1149</v>
      </c>
      <c r="K320" s="1238" t="s">
        <v>1167</v>
      </c>
      <c r="L320" s="1238" t="s">
        <v>1168</v>
      </c>
      <c r="M320" s="1238" t="s">
        <v>860</v>
      </c>
      <c r="N320" s="1238" t="s">
        <v>860</v>
      </c>
      <c r="O320" s="1238" t="s">
        <v>1169</v>
      </c>
      <c r="P320" s="1238" t="s">
        <v>1288</v>
      </c>
      <c r="Q320" s="1238" t="s">
        <v>860</v>
      </c>
      <c r="R320" s="1238" t="s">
        <v>860</v>
      </c>
    </row>
    <row r="321" spans="1:18" ht="15.75" hidden="1">
      <c r="A321" s="1569"/>
      <c r="B321" s="1238">
        <v>42</v>
      </c>
      <c r="D321" s="1238">
        <v>186</v>
      </c>
      <c r="F321" s="1239" t="s">
        <v>1337</v>
      </c>
      <c r="G321" s="1238" t="s">
        <v>1146</v>
      </c>
      <c r="H321" s="1238" t="s">
        <v>1147</v>
      </c>
      <c r="I321" s="1238" t="s">
        <v>1170</v>
      </c>
      <c r="J321" s="1238" t="s">
        <v>1171</v>
      </c>
      <c r="K321" s="1238" t="s">
        <v>1172</v>
      </c>
      <c r="L321" s="1238" t="s">
        <v>1173</v>
      </c>
      <c r="M321" s="1238" t="s">
        <v>860</v>
      </c>
      <c r="N321" s="1238" t="s">
        <v>860</v>
      </c>
      <c r="O321" s="1238" t="s">
        <v>1174</v>
      </c>
      <c r="P321" s="1238" t="s">
        <v>1289</v>
      </c>
      <c r="Q321" s="1238" t="s">
        <v>860</v>
      </c>
      <c r="R321" s="1238" t="s">
        <v>860</v>
      </c>
    </row>
    <row r="322" spans="1:18" ht="15.75" hidden="1">
      <c r="A322" s="1569"/>
      <c r="B322" s="1238">
        <v>43</v>
      </c>
      <c r="D322" s="1238">
        <v>190</v>
      </c>
      <c r="F322" s="1239" t="s">
        <v>1338</v>
      </c>
      <c r="G322" s="1238" t="s">
        <v>1146</v>
      </c>
      <c r="H322" s="1238" t="s">
        <v>1147</v>
      </c>
      <c r="I322" s="1238" t="s">
        <v>1162</v>
      </c>
      <c r="J322" s="1238" t="s">
        <v>1163</v>
      </c>
      <c r="K322" s="1238" t="s">
        <v>1175</v>
      </c>
      <c r="L322" s="1238" t="s">
        <v>1248</v>
      </c>
      <c r="M322" s="1238" t="s">
        <v>860</v>
      </c>
      <c r="N322" s="1238" t="s">
        <v>860</v>
      </c>
      <c r="O322" s="1238" t="s">
        <v>1176</v>
      </c>
      <c r="P322" s="1238" t="s">
        <v>1290</v>
      </c>
      <c r="Q322" s="1238" t="s">
        <v>860</v>
      </c>
      <c r="R322" s="1238" t="s">
        <v>860</v>
      </c>
    </row>
    <row r="323" spans="1:18" ht="15.75" hidden="1">
      <c r="A323" s="1569"/>
      <c r="B323" s="1238">
        <v>44</v>
      </c>
      <c r="D323" s="1238">
        <v>194</v>
      </c>
      <c r="F323" s="1239" t="s">
        <v>1339</v>
      </c>
      <c r="G323" s="1238" t="s">
        <v>1177</v>
      </c>
      <c r="H323" s="1238" t="s">
        <v>1178</v>
      </c>
      <c r="I323" s="1238" t="s">
        <v>1179</v>
      </c>
      <c r="J323" s="1238" t="s">
        <v>1180</v>
      </c>
      <c r="K323" s="1238" t="s">
        <v>1181</v>
      </c>
      <c r="L323" s="1238" t="s">
        <v>1182</v>
      </c>
      <c r="M323" s="1238" t="s">
        <v>860</v>
      </c>
      <c r="N323" s="1238" t="s">
        <v>860</v>
      </c>
      <c r="O323" s="1238" t="s">
        <v>1183</v>
      </c>
      <c r="P323" s="1238" t="s">
        <v>1184</v>
      </c>
      <c r="Q323" s="1238" t="s">
        <v>860</v>
      </c>
      <c r="R323" s="1238" t="s">
        <v>860</v>
      </c>
    </row>
    <row r="324" spans="1:18" ht="15.75" hidden="1">
      <c r="A324" s="1569"/>
      <c r="B324" s="1238">
        <v>45</v>
      </c>
      <c r="D324" s="1238">
        <v>198</v>
      </c>
      <c r="F324" s="1239" t="s">
        <v>1340</v>
      </c>
      <c r="G324" s="1238" t="s">
        <v>1177</v>
      </c>
      <c r="H324" s="1238" t="s">
        <v>1178</v>
      </c>
      <c r="I324" s="1238" t="s">
        <v>1185</v>
      </c>
      <c r="J324" s="1238" t="s">
        <v>1186</v>
      </c>
      <c r="K324" s="1238" t="s">
        <v>1187</v>
      </c>
      <c r="L324" s="1238" t="s">
        <v>1247</v>
      </c>
      <c r="M324" s="1238" t="s">
        <v>860</v>
      </c>
      <c r="N324" s="1238" t="s">
        <v>860</v>
      </c>
      <c r="O324" s="1238" t="s">
        <v>1188</v>
      </c>
      <c r="P324" s="1238" t="s">
        <v>1291</v>
      </c>
      <c r="Q324" s="1238" t="s">
        <v>860</v>
      </c>
      <c r="R324" s="1238" t="s">
        <v>860</v>
      </c>
    </row>
    <row r="325" spans="1:18" ht="15.75" hidden="1">
      <c r="A325" s="1569"/>
      <c r="B325" s="1238">
        <v>46</v>
      </c>
      <c r="D325" s="1238">
        <v>202</v>
      </c>
      <c r="F325" s="1239" t="s">
        <v>1341</v>
      </c>
      <c r="G325" s="1238" t="s">
        <v>1177</v>
      </c>
      <c r="H325" s="1238" t="s">
        <v>1178</v>
      </c>
      <c r="I325" s="1238" t="s">
        <v>1189</v>
      </c>
      <c r="J325" s="1238" t="s">
        <v>1190</v>
      </c>
      <c r="K325" s="1238" t="s">
        <v>1191</v>
      </c>
      <c r="L325" s="1238" t="s">
        <v>1192</v>
      </c>
      <c r="M325" s="1238" t="s">
        <v>860</v>
      </c>
      <c r="N325" s="1238" t="s">
        <v>860</v>
      </c>
      <c r="O325" s="1238" t="s">
        <v>1193</v>
      </c>
      <c r="P325" s="1238" t="s">
        <v>1194</v>
      </c>
      <c r="Q325" s="1238" t="s">
        <v>860</v>
      </c>
      <c r="R325" s="1238" t="s">
        <v>860</v>
      </c>
    </row>
    <row r="326" spans="1:18" ht="15.75" hidden="1">
      <c r="A326" s="1569"/>
      <c r="B326" s="1238">
        <v>47</v>
      </c>
      <c r="D326" s="1238">
        <v>206</v>
      </c>
      <c r="F326" s="1239" t="s">
        <v>1342</v>
      </c>
      <c r="G326" s="1238" t="s">
        <v>1018</v>
      </c>
      <c r="H326" s="1238" t="s">
        <v>1195</v>
      </c>
      <c r="I326" s="1238" t="s">
        <v>1196</v>
      </c>
      <c r="J326" s="1238" t="s">
        <v>1197</v>
      </c>
      <c r="K326" s="1238" t="s">
        <v>1198</v>
      </c>
      <c r="L326" s="1238" t="s">
        <v>1246</v>
      </c>
      <c r="M326" s="1238" t="s">
        <v>860</v>
      </c>
      <c r="N326" s="1238" t="s">
        <v>860</v>
      </c>
      <c r="O326" s="1238" t="s">
        <v>1199</v>
      </c>
      <c r="P326" s="1238" t="s">
        <v>1292</v>
      </c>
      <c r="Q326" s="1238" t="s">
        <v>860</v>
      </c>
      <c r="R326" s="1238" t="s">
        <v>860</v>
      </c>
    </row>
    <row r="327" spans="1:18" ht="15.75" hidden="1">
      <c r="A327" s="1569"/>
      <c r="B327" s="1238">
        <v>48</v>
      </c>
      <c r="D327" s="1238">
        <v>211</v>
      </c>
      <c r="F327" s="1239" t="s">
        <v>1343</v>
      </c>
      <c r="G327" s="1238" t="s">
        <v>1177</v>
      </c>
      <c r="H327" s="1238" t="s">
        <v>1178</v>
      </c>
      <c r="I327" s="1238" t="s">
        <v>1200</v>
      </c>
      <c r="J327" s="1238" t="s">
        <v>1201</v>
      </c>
      <c r="K327" s="1238" t="s">
        <v>1202</v>
      </c>
      <c r="L327" s="1238" t="s">
        <v>1203</v>
      </c>
      <c r="M327" s="1238" t="s">
        <v>860</v>
      </c>
      <c r="N327" s="1238" t="s">
        <v>860</v>
      </c>
      <c r="O327" s="1238" t="s">
        <v>1204</v>
      </c>
      <c r="P327" s="1238" t="s">
        <v>1293</v>
      </c>
      <c r="Q327" s="1238" t="s">
        <v>860</v>
      </c>
      <c r="R327" s="1238" t="s">
        <v>860</v>
      </c>
    </row>
    <row r="328" spans="1:18" ht="15.75" hidden="1">
      <c r="A328" s="1569"/>
      <c r="B328" s="1238">
        <v>49</v>
      </c>
      <c r="D328" s="1238">
        <v>215</v>
      </c>
      <c r="F328" s="1239" t="s">
        <v>1344</v>
      </c>
      <c r="G328" s="1238" t="s">
        <v>1205</v>
      </c>
      <c r="H328" s="1238" t="s">
        <v>1206</v>
      </c>
      <c r="I328" s="1238" t="s">
        <v>1207</v>
      </c>
      <c r="J328" s="1238" t="s">
        <v>1208</v>
      </c>
      <c r="K328" s="1238" t="s">
        <v>1209</v>
      </c>
      <c r="L328" s="1238" t="s">
        <v>1245</v>
      </c>
      <c r="M328" s="1238" t="s">
        <v>860</v>
      </c>
      <c r="N328" s="1238" t="s">
        <v>860</v>
      </c>
      <c r="O328" s="1238" t="s">
        <v>1210</v>
      </c>
      <c r="P328" s="1238" t="s">
        <v>1294</v>
      </c>
      <c r="Q328" s="1238" t="s">
        <v>860</v>
      </c>
      <c r="R328" s="1238" t="s">
        <v>860</v>
      </c>
    </row>
    <row r="329" spans="1:18" ht="15.75" hidden="1">
      <c r="A329" s="1569"/>
      <c r="B329" s="1238">
        <v>50</v>
      </c>
      <c r="D329" s="1238">
        <v>219</v>
      </c>
      <c r="F329" s="1239" t="s">
        <v>1345</v>
      </c>
      <c r="G329" s="1238">
        <v>7</v>
      </c>
      <c r="H329" s="1238">
        <v>14</v>
      </c>
      <c r="I329" s="1238">
        <v>26.598700000000001</v>
      </c>
      <c r="J329" s="1238">
        <v>20.88</v>
      </c>
      <c r="K329" s="1238">
        <v>152.69999999999999</v>
      </c>
      <c r="L329" s="1238">
        <v>50.9</v>
      </c>
      <c r="M329" s="1238">
        <v>0</v>
      </c>
      <c r="N329" s="1238">
        <v>0</v>
      </c>
      <c r="O329" s="1238">
        <v>677.7</v>
      </c>
      <c r="P329" s="1238">
        <v>90.36</v>
      </c>
      <c r="Q329" s="1238">
        <v>0</v>
      </c>
      <c r="R329" s="1238">
        <v>0</v>
      </c>
    </row>
    <row r="330" spans="1:18" ht="15.75" hidden="1">
      <c r="A330" s="1569"/>
      <c r="B330" s="1238">
        <v>51</v>
      </c>
      <c r="D330" s="1238">
        <v>220</v>
      </c>
      <c r="F330" s="1239" t="s">
        <v>1346</v>
      </c>
      <c r="G330" s="1238" t="s">
        <v>1083</v>
      </c>
      <c r="H330" s="1238" t="s">
        <v>1211</v>
      </c>
      <c r="I330" s="1238" t="s">
        <v>1212</v>
      </c>
      <c r="J330" s="1238" t="s">
        <v>1213</v>
      </c>
      <c r="K330" s="1238" t="s">
        <v>1214</v>
      </c>
      <c r="L330" s="1238" t="s">
        <v>1215</v>
      </c>
      <c r="M330" s="1238" t="s">
        <v>860</v>
      </c>
      <c r="N330" s="1238" t="s">
        <v>860</v>
      </c>
      <c r="O330" s="1238" t="s">
        <v>1216</v>
      </c>
      <c r="P330" s="1238" t="s">
        <v>1295</v>
      </c>
      <c r="Q330" s="1238" t="s">
        <v>860</v>
      </c>
      <c r="R330" s="1238" t="s">
        <v>860</v>
      </c>
    </row>
    <row r="331" spans="1:18" ht="15.75" hidden="1">
      <c r="A331" s="1569"/>
      <c r="B331" s="1238">
        <v>52</v>
      </c>
      <c r="D331" s="1238">
        <v>225</v>
      </c>
      <c r="F331" s="1239" t="s">
        <v>1347</v>
      </c>
      <c r="G331" s="1238" t="s">
        <v>1083</v>
      </c>
      <c r="H331" s="1238" t="s">
        <v>1211</v>
      </c>
      <c r="I331" s="1238" t="s">
        <v>1217</v>
      </c>
      <c r="J331" s="1238" t="s">
        <v>1218</v>
      </c>
      <c r="K331" s="1238" t="s">
        <v>1219</v>
      </c>
      <c r="L331" s="1238" t="s">
        <v>1220</v>
      </c>
      <c r="M331" s="1238" t="s">
        <v>860</v>
      </c>
      <c r="N331" s="1238" t="s">
        <v>860</v>
      </c>
      <c r="O331" s="1238" t="s">
        <v>1221</v>
      </c>
      <c r="P331" s="1238" t="s">
        <v>1296</v>
      </c>
      <c r="Q331" s="1238" t="s">
        <v>860</v>
      </c>
      <c r="R331" s="1238" t="s">
        <v>860</v>
      </c>
    </row>
    <row r="332" spans="1:18" ht="15.75" hidden="1">
      <c r="A332" s="1569"/>
      <c r="B332" s="1238">
        <v>53</v>
      </c>
      <c r="D332" s="1238">
        <v>230</v>
      </c>
      <c r="F332" s="1239" t="s">
        <v>1348</v>
      </c>
      <c r="G332" s="1238">
        <v>8</v>
      </c>
      <c r="H332" s="1238">
        <v>16</v>
      </c>
      <c r="I332" s="1238">
        <v>42.74</v>
      </c>
      <c r="J332" s="1238">
        <v>33.549999999999997</v>
      </c>
      <c r="K332" s="1238">
        <v>1107</v>
      </c>
      <c r="L332" s="1238">
        <v>170.30699999999999</v>
      </c>
      <c r="M332" s="1238">
        <v>0</v>
      </c>
      <c r="N332" s="1238">
        <v>0</v>
      </c>
      <c r="O332" s="1238">
        <v>1533</v>
      </c>
      <c r="P332" s="1238">
        <v>191.625</v>
      </c>
      <c r="Q332" s="1238">
        <v>0</v>
      </c>
      <c r="R332" s="1238">
        <v>0</v>
      </c>
    </row>
    <row r="333" spans="1:18" ht="15.75" hidden="1">
      <c r="A333" s="1569"/>
      <c r="B333" s="1238">
        <v>54</v>
      </c>
      <c r="D333" s="1238">
        <v>231</v>
      </c>
      <c r="F333" s="1239" t="s">
        <v>1349</v>
      </c>
      <c r="G333" s="1238" t="s">
        <v>1222</v>
      </c>
      <c r="H333" s="1238" t="s">
        <v>1223</v>
      </c>
      <c r="I333" s="1238" t="s">
        <v>1224</v>
      </c>
      <c r="J333" s="1238" t="s">
        <v>1225</v>
      </c>
      <c r="K333" s="1238" t="s">
        <v>1226</v>
      </c>
      <c r="L333" s="1238" t="s">
        <v>1227</v>
      </c>
      <c r="M333" s="1238" t="s">
        <v>860</v>
      </c>
      <c r="N333" s="1238" t="s">
        <v>860</v>
      </c>
      <c r="O333" s="1238" t="s">
        <v>1228</v>
      </c>
      <c r="P333" s="1238" t="s">
        <v>1297</v>
      </c>
      <c r="Q333" s="1238" t="s">
        <v>860</v>
      </c>
      <c r="R333" s="1238" t="s">
        <v>860</v>
      </c>
    </row>
    <row r="334" spans="1:18" ht="15.75" hidden="1">
      <c r="A334" s="1569"/>
      <c r="B334" s="1238">
        <v>55</v>
      </c>
      <c r="D334" s="1238">
        <v>236</v>
      </c>
      <c r="F334" s="1239" t="s">
        <v>1350</v>
      </c>
      <c r="G334" s="1238" t="s">
        <v>1229</v>
      </c>
      <c r="H334" s="1238" t="s">
        <v>1230</v>
      </c>
      <c r="I334" s="1238" t="s">
        <v>1231</v>
      </c>
      <c r="J334" s="1238" t="s">
        <v>1232</v>
      </c>
      <c r="K334" s="1238" t="s">
        <v>1233</v>
      </c>
      <c r="L334" s="1238" t="s">
        <v>1234</v>
      </c>
      <c r="M334" s="1238" t="s">
        <v>860</v>
      </c>
      <c r="N334" s="1238" t="s">
        <v>860</v>
      </c>
      <c r="O334" s="1238" t="s">
        <v>1235</v>
      </c>
      <c r="P334" s="1238" t="s">
        <v>1298</v>
      </c>
      <c r="Q334" s="1238" t="s">
        <v>860</v>
      </c>
      <c r="R334" s="1238" t="s">
        <v>860</v>
      </c>
    </row>
    <row r="335" spans="1:18" ht="15.75" hidden="1">
      <c r="A335" s="1569"/>
      <c r="B335" s="1238">
        <v>56</v>
      </c>
      <c r="D335" s="1238">
        <v>240</v>
      </c>
      <c r="F335" s="1239" t="s">
        <v>1351</v>
      </c>
      <c r="G335" s="1238">
        <v>20</v>
      </c>
      <c r="H335" s="1238">
        <v>40</v>
      </c>
      <c r="I335" s="1238">
        <v>107.13</v>
      </c>
      <c r="J335" s="1238">
        <v>84.1</v>
      </c>
      <c r="K335" s="1238">
        <v>2891</v>
      </c>
      <c r="L335" s="1797">
        <v>398.75799999999998</v>
      </c>
      <c r="M335" s="1238">
        <v>0</v>
      </c>
      <c r="N335" s="1238">
        <v>0</v>
      </c>
      <c r="O335" s="1238">
        <v>4133</v>
      </c>
      <c r="P335" s="1238">
        <v>459.22199999999998</v>
      </c>
      <c r="Q335" s="1238">
        <v>0</v>
      </c>
      <c r="R335" s="1238">
        <v>0</v>
      </c>
    </row>
    <row r="336" spans="1:18" ht="15.75" hidden="1">
      <c r="A336" s="1569"/>
      <c r="B336" s="1238">
        <v>57</v>
      </c>
      <c r="D336" s="1238">
        <v>241</v>
      </c>
      <c r="F336" s="1239" t="s">
        <v>1352</v>
      </c>
      <c r="G336" s="1238" t="s">
        <v>1229</v>
      </c>
      <c r="H336" s="1238" t="s">
        <v>1230</v>
      </c>
      <c r="I336" s="1238" t="s">
        <v>1236</v>
      </c>
      <c r="J336" s="1238" t="s">
        <v>1237</v>
      </c>
      <c r="K336" s="1238" t="s">
        <v>1238</v>
      </c>
      <c r="L336" s="1238" t="s">
        <v>1244</v>
      </c>
      <c r="M336" s="1238" t="s">
        <v>860</v>
      </c>
      <c r="N336" s="1238" t="s">
        <v>860</v>
      </c>
      <c r="O336" s="1238" t="s">
        <v>1239</v>
      </c>
      <c r="P336" s="1238" t="s">
        <v>1299</v>
      </c>
      <c r="Q336" s="1238" t="s">
        <v>860</v>
      </c>
      <c r="R336" s="1238" t="s">
        <v>860</v>
      </c>
    </row>
    <row r="337" spans="1:28" ht="15.75" hidden="1">
      <c r="A337" s="1569"/>
      <c r="B337" s="1238">
        <v>58</v>
      </c>
      <c r="D337" s="1238">
        <v>245</v>
      </c>
      <c r="F337" s="1239" t="s">
        <v>1353</v>
      </c>
      <c r="G337" s="1238">
        <v>12</v>
      </c>
      <c r="H337" s="1238">
        <v>24</v>
      </c>
      <c r="I337" s="1238">
        <v>66.17</v>
      </c>
      <c r="J337" s="1238">
        <v>51.94</v>
      </c>
      <c r="K337" s="1238">
        <v>1429</v>
      </c>
      <c r="L337" s="1797">
        <v>238.166</v>
      </c>
      <c r="M337" s="1238">
        <v>0</v>
      </c>
      <c r="N337" s="1238">
        <v>0</v>
      </c>
      <c r="O337" s="1238">
        <v>2987</v>
      </c>
      <c r="P337" s="1238">
        <v>314.42099999999999</v>
      </c>
      <c r="Q337" s="1238">
        <v>0</v>
      </c>
      <c r="R337" s="1238">
        <v>0</v>
      </c>
    </row>
    <row r="338" spans="1:28" ht="15.75" hidden="1">
      <c r="A338" s="1569"/>
      <c r="B338" s="1238">
        <v>59</v>
      </c>
      <c r="D338" s="1238">
        <v>246</v>
      </c>
      <c r="F338" s="1239" t="s">
        <v>1354</v>
      </c>
      <c r="G338" s="1238">
        <v>18</v>
      </c>
      <c r="H338" s="1238">
        <v>36</v>
      </c>
      <c r="I338" s="1238">
        <v>113.24</v>
      </c>
      <c r="J338" s="1238">
        <v>88.99</v>
      </c>
      <c r="K338" s="1238">
        <v>4443</v>
      </c>
      <c r="L338" s="1797">
        <v>522.70500000000004</v>
      </c>
      <c r="M338" s="1238">
        <v>0</v>
      </c>
      <c r="N338" s="1238">
        <v>0</v>
      </c>
      <c r="O338" s="1238">
        <v>5594</v>
      </c>
      <c r="P338" s="1238">
        <v>570.81600000000003</v>
      </c>
      <c r="Q338" s="1238">
        <v>0</v>
      </c>
      <c r="R338" s="1238">
        <v>0</v>
      </c>
    </row>
    <row r="339" spans="1:28" ht="15.75" hidden="1">
      <c r="A339" s="1569"/>
      <c r="B339" s="1238">
        <v>60</v>
      </c>
      <c r="D339" s="1238">
        <v>247</v>
      </c>
      <c r="F339" s="1239" t="s">
        <v>1355</v>
      </c>
      <c r="G339" s="1238">
        <v>8</v>
      </c>
      <c r="H339" s="1238">
        <v>16</v>
      </c>
      <c r="I339" s="1238">
        <v>47.54</v>
      </c>
      <c r="J339" s="1238">
        <v>37.32</v>
      </c>
      <c r="K339" s="1238">
        <v>1117</v>
      </c>
      <c r="L339" s="1797">
        <v>186.166</v>
      </c>
      <c r="M339" s="1238">
        <v>0</v>
      </c>
      <c r="N339" s="1238">
        <v>0</v>
      </c>
      <c r="O339" s="1238">
        <v>2495</v>
      </c>
      <c r="P339" s="1238">
        <v>249.5</v>
      </c>
      <c r="Q339" s="1238">
        <v>0</v>
      </c>
      <c r="R339" s="1238">
        <v>0</v>
      </c>
    </row>
    <row r="340" spans="1:28" ht="15.75" hidden="1">
      <c r="A340" s="1569"/>
      <c r="B340" s="1238">
        <v>61</v>
      </c>
      <c r="D340" s="1238">
        <v>248</v>
      </c>
      <c r="F340" s="1239" t="s">
        <v>1356</v>
      </c>
      <c r="G340" s="1238">
        <v>8</v>
      </c>
      <c r="H340" s="1238">
        <v>16</v>
      </c>
      <c r="I340" s="1238">
        <v>49.14</v>
      </c>
      <c r="J340" s="1238">
        <v>38.57</v>
      </c>
      <c r="K340" s="1238">
        <v>833.8</v>
      </c>
      <c r="L340" s="1797">
        <v>166.76</v>
      </c>
      <c r="M340" s="1238">
        <v>0</v>
      </c>
      <c r="N340" s="1238">
        <v>0</v>
      </c>
      <c r="O340" s="1238">
        <v>3138</v>
      </c>
      <c r="P340" s="1238">
        <v>272.86900000000003</v>
      </c>
      <c r="Q340" s="1238">
        <v>0</v>
      </c>
      <c r="R340" s="1238">
        <v>0</v>
      </c>
    </row>
    <row r="341" spans="1:28" hidden="1"/>
    <row r="342" spans="1:28" hidden="1"/>
    <row r="343" spans="1:28" hidden="1">
      <c r="A343" s="1798"/>
      <c r="B343" s="1798"/>
      <c r="C343" s="1799" t="s">
        <v>934</v>
      </c>
      <c r="D343" s="1798"/>
      <c r="E343" s="1798"/>
      <c r="F343" s="1800"/>
      <c r="G343" s="1798"/>
      <c r="H343" s="1798"/>
      <c r="I343" s="1798"/>
      <c r="J343" s="1798"/>
      <c r="K343" s="1798"/>
      <c r="L343" s="1800"/>
      <c r="M343" s="1798"/>
      <c r="N343" s="1798"/>
      <c r="O343" s="1798"/>
      <c r="P343" s="1798"/>
      <c r="Q343" s="1798"/>
      <c r="R343" s="1798"/>
    </row>
    <row r="344" spans="1:28" hidden="1">
      <c r="A344" s="1798" t="s">
        <v>901</v>
      </c>
      <c r="B344" s="1798" t="s">
        <v>900</v>
      </c>
      <c r="C344" s="1801"/>
      <c r="D344" s="1798">
        <v>61</v>
      </c>
      <c r="E344" s="1798" t="s">
        <v>902</v>
      </c>
      <c r="F344" s="1800" t="s">
        <v>903</v>
      </c>
      <c r="G344" s="1798" t="s">
        <v>904</v>
      </c>
      <c r="H344" s="1798" t="s">
        <v>905</v>
      </c>
      <c r="I344" s="1798" t="s">
        <v>906</v>
      </c>
      <c r="J344" s="1798" t="s">
        <v>907</v>
      </c>
      <c r="K344" s="1798" t="s">
        <v>908</v>
      </c>
      <c r="L344" s="1800" t="s">
        <v>909</v>
      </c>
      <c r="M344" s="1798" t="s">
        <v>910</v>
      </c>
      <c r="N344" s="1798" t="s">
        <v>911</v>
      </c>
      <c r="O344" s="1798" t="s">
        <v>912</v>
      </c>
      <c r="P344" s="1798" t="s">
        <v>913</v>
      </c>
      <c r="Q344" s="1798" t="s">
        <v>914</v>
      </c>
      <c r="R344" s="1798"/>
    </row>
    <row r="345" spans="1:28" hidden="1">
      <c r="A345" s="1798"/>
      <c r="B345" s="1798"/>
      <c r="C345" s="1799" t="s">
        <v>935</v>
      </c>
      <c r="D345" s="1798"/>
      <c r="E345" s="1798"/>
      <c r="F345" s="1800"/>
      <c r="G345" s="1798"/>
      <c r="H345" s="1798"/>
      <c r="I345" s="1798"/>
      <c r="J345" s="1798"/>
      <c r="K345" s="1798"/>
      <c r="L345" s="1800"/>
      <c r="M345" s="1798"/>
      <c r="N345" s="1798"/>
      <c r="O345" s="1798"/>
      <c r="P345" s="1798"/>
      <c r="Q345" s="1798"/>
      <c r="R345" s="1798"/>
    </row>
    <row r="346" spans="1:28" hidden="1">
      <c r="A346" s="1798" t="s">
        <v>915</v>
      </c>
      <c r="B346" s="1798" t="s">
        <v>899</v>
      </c>
      <c r="C346" s="1801"/>
      <c r="D346" s="1798">
        <v>54</v>
      </c>
      <c r="E346" s="1798" t="s">
        <v>916</v>
      </c>
      <c r="F346" s="1800" t="s">
        <v>917</v>
      </c>
      <c r="G346" s="1798" t="s">
        <v>918</v>
      </c>
      <c r="H346" s="1798" t="s">
        <v>919</v>
      </c>
      <c r="I346" s="1798" t="s">
        <v>920</v>
      </c>
      <c r="J346" s="1798" t="s">
        <v>921</v>
      </c>
      <c r="K346" s="1798" t="s">
        <v>926</v>
      </c>
      <c r="L346" s="1800" t="s">
        <v>927</v>
      </c>
      <c r="M346" s="1798" t="s">
        <v>928</v>
      </c>
      <c r="N346" s="1798" t="s">
        <v>929</v>
      </c>
      <c r="O346" s="1798" t="s">
        <v>930</v>
      </c>
      <c r="P346" s="1798" t="s">
        <v>931</v>
      </c>
      <c r="Q346" s="1798" t="s">
        <v>932</v>
      </c>
      <c r="R346" s="1798" t="s">
        <v>933</v>
      </c>
      <c r="S346" s="1798"/>
      <c r="T346" s="1798"/>
      <c r="U346" s="1798"/>
      <c r="V346" s="1798"/>
      <c r="W346" s="1798"/>
      <c r="X346" s="1798"/>
      <c r="Y346" s="1798"/>
      <c r="Z346" s="1798"/>
      <c r="AA346" s="1798"/>
    </row>
    <row r="347" spans="1:28" hidden="1">
      <c r="A347" s="1802" t="s">
        <v>936</v>
      </c>
      <c r="B347" s="1802"/>
      <c r="C347" s="1803"/>
      <c r="D347" s="1802"/>
      <c r="E347" s="1802"/>
      <c r="F347" s="1804"/>
      <c r="G347" s="1802"/>
      <c r="H347" s="1802"/>
      <c r="I347" s="1802"/>
      <c r="J347" s="1802"/>
      <c r="K347" s="1802"/>
      <c r="L347" s="1804"/>
      <c r="M347" s="1802"/>
      <c r="N347" s="1802"/>
      <c r="O347" s="1802"/>
      <c r="P347" s="1802"/>
      <c r="Q347" s="1802"/>
      <c r="R347" s="1802"/>
      <c r="S347" s="1798"/>
      <c r="T347" s="1798"/>
      <c r="U347" s="1798"/>
      <c r="V347" s="1798"/>
      <c r="W347" s="1798"/>
      <c r="X347" s="1798"/>
      <c r="Y347" s="1798"/>
      <c r="Z347" s="1798"/>
      <c r="AA347" s="1798"/>
    </row>
    <row r="348" spans="1:28" hidden="1">
      <c r="A348" s="1802" t="s">
        <v>937</v>
      </c>
      <c r="B348" s="1802"/>
      <c r="C348" s="1803"/>
      <c r="D348" s="1802"/>
      <c r="E348" s="1802"/>
      <c r="F348" s="1804"/>
      <c r="G348" s="1802"/>
      <c r="H348" s="1802"/>
      <c r="I348" s="1802"/>
      <c r="J348" s="1802"/>
      <c r="K348" s="1802"/>
      <c r="L348" s="1804"/>
      <c r="M348" s="1802"/>
      <c r="N348" s="1802"/>
      <c r="O348" s="1802"/>
      <c r="P348" s="1802"/>
      <c r="Q348" s="1802"/>
      <c r="R348" s="1802"/>
      <c r="S348" s="1798"/>
      <c r="T348" s="1798"/>
      <c r="U348" s="1798"/>
      <c r="V348" s="1798"/>
      <c r="W348" s="1798"/>
      <c r="X348" s="1798"/>
      <c r="Y348" s="1798"/>
      <c r="Z348" s="1798"/>
      <c r="AA348" s="1798"/>
    </row>
    <row r="349" spans="1:28" hidden="1">
      <c r="A349" s="1802"/>
      <c r="B349" s="1802" t="s">
        <v>938</v>
      </c>
      <c r="C349" s="1803"/>
      <c r="D349" s="1802"/>
      <c r="E349" s="1802"/>
      <c r="F349" s="1804"/>
      <c r="G349" s="1802"/>
      <c r="H349" s="1802"/>
      <c r="I349" s="1802"/>
      <c r="J349" s="1802"/>
      <c r="K349" s="1802"/>
      <c r="L349" s="1804"/>
      <c r="M349" s="1802"/>
      <c r="N349" s="1802"/>
      <c r="O349" s="1802"/>
      <c r="P349" s="1802"/>
      <c r="Q349" s="1802"/>
      <c r="R349" s="1802"/>
      <c r="S349" s="1798"/>
      <c r="T349" s="1798"/>
      <c r="U349" s="1798"/>
      <c r="V349" s="1798"/>
      <c r="W349" s="1798"/>
      <c r="X349" s="1798"/>
      <c r="Y349" s="1798"/>
      <c r="Z349" s="1798"/>
      <c r="AA349" s="1798"/>
    </row>
    <row r="350" spans="1:28" hidden="1">
      <c r="A350" s="1802"/>
      <c r="B350" s="1802" t="s">
        <v>939</v>
      </c>
      <c r="C350" s="1803"/>
      <c r="D350" s="1802"/>
      <c r="E350" s="1802"/>
      <c r="F350" s="1804"/>
      <c r="G350" s="1802"/>
      <c r="H350" s="1802"/>
      <c r="I350" s="1802"/>
      <c r="J350" s="1802"/>
      <c r="K350" s="1802"/>
      <c r="L350" s="1804"/>
      <c r="M350" s="1802"/>
      <c r="N350" s="1802"/>
      <c r="O350" s="1802"/>
      <c r="P350" s="1802"/>
      <c r="Q350" s="1802"/>
      <c r="R350" s="1802"/>
      <c r="S350" s="1802"/>
      <c r="T350" s="1802"/>
      <c r="U350" s="1802"/>
      <c r="V350" s="1802"/>
      <c r="W350" s="1802"/>
      <c r="X350" s="1802"/>
      <c r="Y350" s="1802"/>
      <c r="Z350" s="1802"/>
      <c r="AA350" s="1802"/>
      <c r="AB350" s="1802"/>
    </row>
    <row r="351" spans="1:28" hidden="1">
      <c r="A351" s="1802"/>
      <c r="B351" s="1802"/>
      <c r="C351" s="1805" t="s">
        <v>941</v>
      </c>
      <c r="D351" s="1802"/>
      <c r="E351" s="1802"/>
      <c r="F351" s="1804"/>
      <c r="G351" s="1802"/>
      <c r="H351" s="1802"/>
      <c r="I351" s="1802"/>
      <c r="J351" s="1802"/>
      <c r="K351" s="1802"/>
      <c r="L351" s="1804"/>
      <c r="M351" s="1802"/>
      <c r="N351" s="1802"/>
      <c r="O351" s="1802"/>
      <c r="P351" s="1802"/>
      <c r="Q351" s="1802"/>
      <c r="R351" s="1802"/>
      <c r="S351" s="1802"/>
      <c r="T351" s="1802"/>
      <c r="U351" s="1802"/>
      <c r="V351" s="1802"/>
      <c r="W351" s="1802"/>
      <c r="X351" s="1802"/>
      <c r="Y351" s="1802"/>
      <c r="Z351" s="1802"/>
      <c r="AA351" s="1802"/>
      <c r="AB351" s="1802"/>
    </row>
    <row r="352" spans="1:28" hidden="1">
      <c r="A352" s="1802"/>
      <c r="B352" s="1802"/>
      <c r="C352" s="1803" t="s">
        <v>940</v>
      </c>
      <c r="D352" s="1802"/>
      <c r="E352" s="1802"/>
      <c r="F352" s="1804"/>
      <c r="G352" s="1802"/>
      <c r="H352" s="1802"/>
      <c r="I352" s="1802"/>
      <c r="J352" s="1802"/>
      <c r="K352" s="1802"/>
      <c r="L352" s="1804"/>
      <c r="M352" s="1802"/>
      <c r="N352" s="1802"/>
      <c r="O352" s="1802"/>
      <c r="P352" s="1802"/>
      <c r="Q352" s="1802"/>
      <c r="R352" s="1802"/>
      <c r="S352" s="1802"/>
      <c r="T352" s="1802"/>
      <c r="U352" s="1802"/>
      <c r="V352" s="1802"/>
      <c r="W352" s="1802"/>
      <c r="X352" s="1802"/>
      <c r="Y352" s="1802"/>
      <c r="Z352" s="1802"/>
      <c r="AA352" s="1802"/>
      <c r="AB352" s="1802"/>
    </row>
    <row r="353" spans="1:28" ht="15.75" hidden="1">
      <c r="A353" s="1802" t="s">
        <v>943</v>
      </c>
      <c r="B353" s="1802"/>
      <c r="C353" s="1803"/>
      <c r="D353" s="1802"/>
      <c r="E353" s="1802"/>
      <c r="F353" s="1804"/>
      <c r="G353" s="1802"/>
      <c r="H353" s="1802"/>
      <c r="I353" s="1802"/>
      <c r="J353" s="1802"/>
      <c r="K353" s="1802"/>
      <c r="L353" s="1804"/>
      <c r="M353" s="1802"/>
      <c r="N353" s="1802"/>
      <c r="O353" s="1802"/>
      <c r="P353" s="1802"/>
      <c r="Q353" s="1802"/>
      <c r="R353" s="1802"/>
      <c r="S353" s="1802"/>
      <c r="T353" s="1802"/>
      <c r="U353" s="1802"/>
      <c r="V353" s="1802"/>
      <c r="W353" s="1802"/>
      <c r="X353" s="1802"/>
      <c r="Y353" s="1802"/>
      <c r="Z353" s="1802"/>
      <c r="AA353" s="1802"/>
      <c r="AB353" s="1802"/>
    </row>
    <row r="354" spans="1:28" hidden="1">
      <c r="A354" s="1802" t="s">
        <v>944</v>
      </c>
      <c r="B354" s="1802"/>
      <c r="C354" s="1803"/>
      <c r="D354" s="1802"/>
      <c r="E354" s="1802"/>
      <c r="F354" s="1804"/>
      <c r="G354" s="1802"/>
      <c r="H354" s="1802"/>
      <c r="I354" s="1802"/>
      <c r="J354" s="1802"/>
      <c r="K354" s="1802"/>
      <c r="L354" s="1804"/>
      <c r="M354" s="1802"/>
      <c r="N354" s="1802"/>
      <c r="O354" s="1802"/>
      <c r="P354" s="1802"/>
      <c r="Q354" s="1802"/>
      <c r="R354" s="1802"/>
      <c r="S354" s="1802"/>
      <c r="T354" s="1802"/>
      <c r="U354" s="1802"/>
      <c r="V354" s="1802"/>
      <c r="W354" s="1802"/>
      <c r="X354" s="1802"/>
      <c r="Y354" s="1802"/>
      <c r="Z354" s="1802"/>
      <c r="AA354" s="1802"/>
      <c r="AB354" s="1802"/>
    </row>
    <row r="355" spans="1:28" hidden="1">
      <c r="S355" s="1802"/>
      <c r="T355" s="1802"/>
      <c r="U355" s="1802"/>
      <c r="V355" s="1802"/>
      <c r="W355" s="1802"/>
      <c r="X355" s="1802"/>
      <c r="Y355" s="1802"/>
      <c r="Z355" s="1802"/>
      <c r="AA355" s="1802"/>
      <c r="AB355" s="1802"/>
    </row>
    <row r="356" spans="1:28" hidden="1">
      <c r="S356" s="1802"/>
      <c r="T356" s="1802"/>
      <c r="U356" s="1802"/>
      <c r="V356" s="1802"/>
      <c r="W356" s="1802"/>
      <c r="X356" s="1802"/>
      <c r="Y356" s="1802"/>
      <c r="Z356" s="1802"/>
      <c r="AA356" s="1802"/>
      <c r="AB356" s="1802"/>
    </row>
    <row r="357" spans="1:28" hidden="1">
      <c r="S357" s="1802"/>
      <c r="T357" s="1802"/>
      <c r="U357" s="1802"/>
      <c r="V357" s="1802"/>
      <c r="W357" s="1802"/>
      <c r="X357" s="1802"/>
      <c r="Y357" s="1802"/>
      <c r="Z357" s="1802"/>
      <c r="AA357" s="1802"/>
      <c r="AB357" s="1802"/>
    </row>
    <row r="358" spans="1:28" hidden="1"/>
    <row r="359" spans="1:28" hidden="1"/>
    <row r="360" spans="1:28" hidden="1"/>
    <row r="361" spans="1:28" hidden="1"/>
    <row r="362" spans="1:28" hidden="1"/>
  </sheetData>
  <pageMargins left="0.75" right="0.75" top="1" bottom="1" header="0.5" footer="0.5"/>
  <pageSetup paperSize="9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Line="0" autoPict="0" macro="[0]!Вначало">
                <anchor moveWithCells="1">
                  <from>
                    <xdr:col>7</xdr:col>
                    <xdr:colOff>9525</xdr:colOff>
                    <xdr:row>0</xdr:row>
                    <xdr:rowOff>38100</xdr:rowOff>
                  </from>
                  <to>
                    <xdr:col>14</xdr:col>
                    <xdr:colOff>247650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Drop Down 2">
              <controlPr defaultSize="0" print="0" autoFill="0" autoLine="0" autoPict="0" macro="[0]!Мак1_для_листа19">
                <anchor moveWithCells="1">
                  <from>
                    <xdr:col>12</xdr:col>
                    <xdr:colOff>19050</xdr:colOff>
                    <xdr:row>1</xdr:row>
                    <xdr:rowOff>66675</xdr:rowOff>
                  </from>
                  <to>
                    <xdr:col>16</xdr:col>
                    <xdr:colOff>304800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6" name="Drop Down 72">
              <controlPr defaultSize="0" print="0" autoLine="0" autoPict="0" macro="[0]!Мак2_для_листа19">
                <anchor moveWithCells="1">
                  <from>
                    <xdr:col>12</xdr:col>
                    <xdr:colOff>76200</xdr:colOff>
                    <xdr:row>3</xdr:row>
                    <xdr:rowOff>19050</xdr:rowOff>
                  </from>
                  <to>
                    <xdr:col>13</xdr:col>
                    <xdr:colOff>247650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" name="Drop Down 73">
              <controlPr defaultSize="0" print="0" autoLine="0" autoPict="0" macro="[0]!Мак3_для_листа19">
                <anchor moveWithCells="1">
                  <from>
                    <xdr:col>13</xdr:col>
                    <xdr:colOff>361950</xdr:colOff>
                    <xdr:row>3</xdr:row>
                    <xdr:rowOff>9525</xdr:rowOff>
                  </from>
                  <to>
                    <xdr:col>15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25"/>
  <dimension ref="D4:U51"/>
  <sheetViews>
    <sheetView workbookViewId="0">
      <pane ySplit="15" topLeftCell="A25" activePane="bottomLeft" state="frozenSplit"/>
      <selection pane="bottomLeft" activeCell="L27" sqref="L27"/>
    </sheetView>
  </sheetViews>
  <sheetFormatPr defaultColWidth="9.140625" defaultRowHeight="12.75"/>
  <cols>
    <col min="1" max="1" width="1.5703125" style="1238" customWidth="1"/>
    <col min="2" max="2" width="0.7109375" style="1238" customWidth="1"/>
    <col min="3" max="3" width="1" style="1238" customWidth="1"/>
    <col min="4" max="4" width="2.7109375" style="1239" customWidth="1"/>
    <col min="5" max="5" width="9.42578125" style="1239" customWidth="1"/>
    <col min="6" max="6" width="9.5703125" style="1239" customWidth="1"/>
    <col min="7" max="13" width="4.7109375" style="1239" customWidth="1"/>
    <col min="14" max="14" width="7.28515625" style="1239" bestFit="1" customWidth="1"/>
    <col min="15" max="15" width="7.85546875" style="1238" customWidth="1"/>
    <col min="16" max="16" width="3.42578125" style="1238" customWidth="1"/>
    <col min="17" max="17" width="7.42578125" style="1238" customWidth="1"/>
    <col min="18" max="18" width="3.85546875" style="1239" customWidth="1"/>
    <col min="19" max="16384" width="9.140625" style="1238"/>
  </cols>
  <sheetData>
    <row r="4" spans="4:21">
      <c r="Q4" s="1871">
        <f>N40</f>
        <v>43.6</v>
      </c>
      <c r="R4" s="1576" t="s">
        <v>1483</v>
      </c>
      <c r="S4" s="1865" t="s">
        <v>561</v>
      </c>
      <c r="T4" s="1864"/>
    </row>
    <row r="5" spans="4:21">
      <c r="Q5" s="1871">
        <f>O42</f>
        <v>2275</v>
      </c>
      <c r="R5" s="1576" t="s">
        <v>1545</v>
      </c>
      <c r="S5" s="1865" t="s">
        <v>562</v>
      </c>
      <c r="T5" s="1864"/>
    </row>
    <row r="6" spans="4:21">
      <c r="Q6" s="1038">
        <v>0</v>
      </c>
      <c r="R6" s="1576" t="s">
        <v>1091</v>
      </c>
      <c r="S6" s="1241" t="s">
        <v>563</v>
      </c>
    </row>
    <row r="7" spans="4:21">
      <c r="Q7" s="1870">
        <f>Q4*Q6</f>
        <v>0</v>
      </c>
      <c r="R7" s="1576" t="s">
        <v>1483</v>
      </c>
      <c r="S7" s="1869" t="str">
        <f>"масса "&amp; Q6&amp;" труб"&amp; IF(OR(RIGHT(Q6,2)="11",RIGHT(Q6)&lt;&gt;"1"),"","ы")</f>
        <v>масса 0 труб</v>
      </c>
      <c r="T7" s="1866"/>
    </row>
    <row r="8" spans="4:21">
      <c r="R8" s="1576"/>
      <c r="S8" s="1241"/>
    </row>
    <row r="9" spans="4:21">
      <c r="Q9" s="1038">
        <v>0</v>
      </c>
      <c r="R9" s="1576" t="s">
        <v>1926</v>
      </c>
      <c r="S9" s="1241" t="s">
        <v>564</v>
      </c>
    </row>
    <row r="10" spans="4:21">
      <c r="Q10" s="1868">
        <f>IF(O40=0,0,CEILING(Q9*1000/O40,1))</f>
        <v>0</v>
      </c>
      <c r="R10" s="1576" t="s">
        <v>1091</v>
      </c>
      <c r="S10" s="1867" t="s">
        <v>565</v>
      </c>
      <c r="T10" s="1866"/>
      <c r="U10" s="1866"/>
    </row>
    <row r="11" spans="4:21">
      <c r="Q11" s="1870">
        <f>N40*Q10</f>
        <v>0</v>
      </c>
      <c r="R11" s="1576" t="s">
        <v>1483</v>
      </c>
      <c r="S11" s="1869" t="str">
        <f>"масса "&amp; Q10&amp;" труб"&amp; IF(OR(RIGHT(Q10,2)="11",RIGHT(Q10)&lt;&gt;"1"),"","ы")</f>
        <v>масса 0 труб</v>
      </c>
      <c r="T11" s="1866"/>
      <c r="U11" s="1866"/>
    </row>
    <row r="12" spans="4:21" ht="24" customHeight="1" thickBot="1">
      <c r="I12" s="1806" t="s">
        <v>925</v>
      </c>
    </row>
    <row r="13" spans="4:21" ht="19.5">
      <c r="E13" s="1472" t="s">
        <v>1961</v>
      </c>
      <c r="F13" s="1472" t="s">
        <v>1969</v>
      </c>
      <c r="G13" s="1807"/>
      <c r="H13" s="1807"/>
      <c r="I13" s="1807"/>
      <c r="J13" s="1807"/>
      <c r="K13" s="1807"/>
      <c r="L13" s="1807"/>
      <c r="M13" s="1807"/>
      <c r="N13" s="1807" t="s">
        <v>1963</v>
      </c>
    </row>
    <row r="14" spans="4:21" s="1812" customFormat="1" ht="20.25" customHeight="1">
      <c r="D14" s="1808"/>
      <c r="E14" s="1809" t="s">
        <v>1968</v>
      </c>
      <c r="F14" s="1809" t="s">
        <v>348</v>
      </c>
      <c r="G14" s="1809" t="s">
        <v>1964</v>
      </c>
      <c r="H14" s="1809" t="s">
        <v>1965</v>
      </c>
      <c r="I14" s="1809" t="s">
        <v>1966</v>
      </c>
      <c r="J14" s="1809" t="s">
        <v>1967</v>
      </c>
      <c r="K14" s="1809" t="s">
        <v>121</v>
      </c>
      <c r="L14" s="1810" t="s">
        <v>1528</v>
      </c>
      <c r="M14" s="1809" t="s">
        <v>1962</v>
      </c>
      <c r="N14" s="1811"/>
      <c r="R14" s="1808"/>
    </row>
    <row r="15" spans="4:21" ht="13.5" thickBot="1">
      <c r="D15" s="1239" t="s">
        <v>1544</v>
      </c>
      <c r="E15" s="1813" t="s">
        <v>1545</v>
      </c>
      <c r="F15" s="1813" t="s">
        <v>1545</v>
      </c>
      <c r="G15" s="1813" t="s">
        <v>1545</v>
      </c>
      <c r="H15" s="1813" t="s">
        <v>1545</v>
      </c>
      <c r="I15" s="1813" t="s">
        <v>1545</v>
      </c>
      <c r="J15" s="1813" t="s">
        <v>1545</v>
      </c>
      <c r="K15" s="1813" t="s">
        <v>1545</v>
      </c>
      <c r="L15" s="1813" t="s">
        <v>1545</v>
      </c>
      <c r="M15" s="1813" t="s">
        <v>1545</v>
      </c>
      <c r="N15" s="1813" t="s">
        <v>1483</v>
      </c>
    </row>
    <row r="16" spans="4:21" ht="15">
      <c r="D16" s="1239">
        <v>1</v>
      </c>
      <c r="E16" s="1814">
        <v>50</v>
      </c>
      <c r="F16" s="1815">
        <v>750</v>
      </c>
      <c r="G16" s="1816">
        <v>65</v>
      </c>
      <c r="H16" s="1816">
        <v>74</v>
      </c>
      <c r="I16" s="1816">
        <v>84</v>
      </c>
      <c r="J16" s="1816">
        <v>94</v>
      </c>
      <c r="K16" s="1817">
        <v>4</v>
      </c>
      <c r="L16" s="1816">
        <v>60</v>
      </c>
      <c r="M16" s="1816">
        <v>13</v>
      </c>
      <c r="N16" s="1818">
        <v>4.5999999999999996</v>
      </c>
    </row>
    <row r="17" spans="4:14" ht="15">
      <c r="D17" s="1239">
        <v>2</v>
      </c>
      <c r="E17" s="1819">
        <v>50</v>
      </c>
      <c r="F17" s="1820">
        <v>1000</v>
      </c>
      <c r="G17" s="1821">
        <v>65</v>
      </c>
      <c r="H17" s="1821">
        <v>74</v>
      </c>
      <c r="I17" s="1821">
        <v>84</v>
      </c>
      <c r="J17" s="1821">
        <v>94</v>
      </c>
      <c r="K17" s="1822">
        <v>4</v>
      </c>
      <c r="L17" s="1821">
        <v>60</v>
      </c>
      <c r="M17" s="1821">
        <v>13</v>
      </c>
      <c r="N17" s="1823">
        <v>5.9</v>
      </c>
    </row>
    <row r="18" spans="4:14" ht="15">
      <c r="D18" s="1239">
        <v>3</v>
      </c>
      <c r="E18" s="1824">
        <v>50</v>
      </c>
      <c r="F18" s="1825">
        <v>2000</v>
      </c>
      <c r="G18" s="1826">
        <v>65</v>
      </c>
      <c r="H18" s="1826">
        <v>74</v>
      </c>
      <c r="I18" s="1826">
        <v>84</v>
      </c>
      <c r="J18" s="1826">
        <v>94</v>
      </c>
      <c r="K18" s="1827">
        <v>4</v>
      </c>
      <c r="L18" s="1826">
        <v>60</v>
      </c>
      <c r="M18" s="1826">
        <v>13</v>
      </c>
      <c r="N18" s="1828">
        <v>11</v>
      </c>
    </row>
    <row r="19" spans="4:14" ht="15">
      <c r="D19" s="1239">
        <v>4</v>
      </c>
      <c r="E19" s="1829">
        <v>100</v>
      </c>
      <c r="F19" s="1830">
        <v>750</v>
      </c>
      <c r="G19" s="1831">
        <v>118</v>
      </c>
      <c r="H19" s="1831">
        <v>125</v>
      </c>
      <c r="I19" s="1831">
        <v>136</v>
      </c>
      <c r="J19" s="1831">
        <v>149</v>
      </c>
      <c r="K19" s="1832">
        <v>4.5</v>
      </c>
      <c r="L19" s="1831">
        <v>70</v>
      </c>
      <c r="M19" s="1831">
        <v>14</v>
      </c>
      <c r="N19" s="1833">
        <v>10.5</v>
      </c>
    </row>
    <row r="20" spans="4:14" ht="15">
      <c r="D20" s="1239">
        <v>5</v>
      </c>
      <c r="E20" s="1834">
        <v>100</v>
      </c>
      <c r="F20" s="1835">
        <v>1250</v>
      </c>
      <c r="G20" s="1836">
        <v>118</v>
      </c>
      <c r="H20" s="1836">
        <v>125</v>
      </c>
      <c r="I20" s="1836">
        <v>136</v>
      </c>
      <c r="J20" s="1836">
        <v>149</v>
      </c>
      <c r="K20" s="1837">
        <v>4.5</v>
      </c>
      <c r="L20" s="1836">
        <v>70</v>
      </c>
      <c r="M20" s="1836">
        <v>14</v>
      </c>
      <c r="N20" s="1838">
        <v>16.3</v>
      </c>
    </row>
    <row r="21" spans="4:14" ht="15">
      <c r="D21" s="1239">
        <v>6</v>
      </c>
      <c r="E21" s="1834">
        <v>100</v>
      </c>
      <c r="F21" s="1835">
        <v>2000</v>
      </c>
      <c r="G21" s="1836">
        <v>118</v>
      </c>
      <c r="H21" s="1836">
        <v>125</v>
      </c>
      <c r="I21" s="1836">
        <v>136</v>
      </c>
      <c r="J21" s="1836">
        <v>149</v>
      </c>
      <c r="K21" s="1837">
        <v>4.5</v>
      </c>
      <c r="L21" s="1836">
        <v>70</v>
      </c>
      <c r="M21" s="1836">
        <v>14</v>
      </c>
      <c r="N21" s="1838">
        <v>25</v>
      </c>
    </row>
    <row r="22" spans="4:14" ht="15">
      <c r="D22" s="1239">
        <v>7</v>
      </c>
      <c r="E22" s="1834">
        <v>100</v>
      </c>
      <c r="F22" s="1835">
        <v>2100</v>
      </c>
      <c r="G22" s="1836">
        <v>118</v>
      </c>
      <c r="H22" s="1836">
        <v>125</v>
      </c>
      <c r="I22" s="1836">
        <v>136</v>
      </c>
      <c r="J22" s="1836">
        <v>149</v>
      </c>
      <c r="K22" s="1837">
        <v>4.5</v>
      </c>
      <c r="L22" s="1836">
        <v>70</v>
      </c>
      <c r="M22" s="1836">
        <v>14</v>
      </c>
      <c r="N22" s="1838">
        <v>26.2</v>
      </c>
    </row>
    <row r="23" spans="4:14" ht="15">
      <c r="D23" s="1239">
        <v>8</v>
      </c>
      <c r="E23" s="1839">
        <v>100</v>
      </c>
      <c r="F23" s="1840">
        <v>2200</v>
      </c>
      <c r="G23" s="1841">
        <v>118</v>
      </c>
      <c r="H23" s="1841">
        <v>125</v>
      </c>
      <c r="I23" s="1841">
        <v>136</v>
      </c>
      <c r="J23" s="1841">
        <v>149</v>
      </c>
      <c r="K23" s="1842">
        <v>4.5</v>
      </c>
      <c r="L23" s="1841">
        <v>70</v>
      </c>
      <c r="M23" s="1841">
        <v>14</v>
      </c>
      <c r="N23" s="1843">
        <v>27.3</v>
      </c>
    </row>
    <row r="24" spans="4:14" ht="15">
      <c r="D24" s="1239">
        <v>9</v>
      </c>
      <c r="E24" s="1844">
        <v>150</v>
      </c>
      <c r="F24" s="1845">
        <v>2000</v>
      </c>
      <c r="G24" s="1846">
        <v>168</v>
      </c>
      <c r="H24" s="1846">
        <v>178</v>
      </c>
      <c r="I24" s="1846">
        <v>190</v>
      </c>
      <c r="J24" s="1846">
        <v>204</v>
      </c>
      <c r="K24" s="1847">
        <v>5</v>
      </c>
      <c r="L24" s="1846">
        <v>75</v>
      </c>
      <c r="M24" s="1846">
        <v>15</v>
      </c>
      <c r="N24" s="1848">
        <v>40</v>
      </c>
    </row>
    <row r="25" spans="4:14" ht="15">
      <c r="D25" s="1239">
        <v>10</v>
      </c>
      <c r="E25" s="1849">
        <v>150</v>
      </c>
      <c r="F25" s="1850">
        <v>2100</v>
      </c>
      <c r="G25" s="1851">
        <v>168</v>
      </c>
      <c r="H25" s="1851">
        <v>178</v>
      </c>
      <c r="I25" s="1851">
        <v>190</v>
      </c>
      <c r="J25" s="1851">
        <v>204</v>
      </c>
      <c r="K25" s="1852">
        <v>5</v>
      </c>
      <c r="L25" s="1851">
        <v>75</v>
      </c>
      <c r="M25" s="1851">
        <v>15</v>
      </c>
      <c r="N25" s="1853">
        <v>41.8</v>
      </c>
    </row>
    <row r="26" spans="4:14" ht="15">
      <c r="D26" s="1239">
        <v>11</v>
      </c>
      <c r="E26" s="1854">
        <v>150</v>
      </c>
      <c r="F26" s="1855">
        <v>2200</v>
      </c>
      <c r="G26" s="1856">
        <v>168</v>
      </c>
      <c r="H26" s="1856">
        <v>178</v>
      </c>
      <c r="I26" s="1856">
        <v>190</v>
      </c>
      <c r="J26" s="1856">
        <v>204</v>
      </c>
      <c r="K26" s="1857">
        <v>5</v>
      </c>
      <c r="L26" s="1856">
        <v>75</v>
      </c>
      <c r="M26" s="1856">
        <v>15</v>
      </c>
      <c r="N26" s="1858">
        <v>43.6</v>
      </c>
    </row>
    <row r="36" spans="5:16" hidden="1"/>
    <row r="37" spans="5:16" hidden="1">
      <c r="F37" s="1238"/>
    </row>
    <row r="38" spans="5:16" hidden="1">
      <c r="E38" s="1231">
        <v>3</v>
      </c>
      <c r="F38" s="1038">
        <v>3</v>
      </c>
      <c r="N38" s="1969">
        <f>IF(AND(OR($E$38=1,$E$38=3),F38&gt;3),0,IF($E$38=1,0,IF($E$38=2,3,IF($E$38=3,8))))+IF(AND(OR($E$38=1,$E$38=3),F38&gt;3),0,F38)</f>
        <v>11</v>
      </c>
      <c r="O38" s="1975">
        <f>IF(AND(OR($E$38=1,$E$38=3),F38&gt;3),0,IF($E$38=1,0,IF($E$38=2,3,IF($E$38=3,8))))+IF(AND(OR($E$38=1,$E$38=3),F38&gt;3),0,F38)</f>
        <v>11</v>
      </c>
    </row>
    <row r="39" spans="5:16" hidden="1">
      <c r="F39" s="1238"/>
      <c r="N39" s="1463"/>
      <c r="O39" s="1880"/>
    </row>
    <row r="40" spans="5:16" ht="14.25" hidden="1">
      <c r="E40" s="1859">
        <v>50</v>
      </c>
      <c r="F40" s="1974">
        <f>IF($E$38=1,750,IF($E$38=2,750,IF($E$38=3,2000)))</f>
        <v>2000</v>
      </c>
      <c r="M40" s="1239" t="s">
        <v>1483</v>
      </c>
      <c r="N40" s="1976">
        <f>IF(F38=0,0,VLOOKUP(N38,D16:N26,11,FALSE))</f>
        <v>43.6</v>
      </c>
      <c r="O40" s="1977">
        <f>IF(F38=0,0,VLOOKUP(N38,D16:N26,3,FALSE))</f>
        <v>2200</v>
      </c>
      <c r="P40" s="1238" t="s">
        <v>1545</v>
      </c>
    </row>
    <row r="41" spans="5:16" ht="14.25" hidden="1">
      <c r="E41" s="1861">
        <v>100</v>
      </c>
      <c r="F41" s="1860">
        <f>IF($E$38=1,1000,IF($E$38=2,1250,IF($E$38=3,2100)))</f>
        <v>2100</v>
      </c>
      <c r="N41" s="1463"/>
      <c r="O41" s="1977">
        <f>IF(F38=0,0,VLOOKUP(N38,D16:N26,9,FALSE))</f>
        <v>75</v>
      </c>
      <c r="P41" s="1238" t="s">
        <v>1545</v>
      </c>
    </row>
    <row r="42" spans="5:16" ht="14.25" hidden="1">
      <c r="E42" s="1862">
        <v>150</v>
      </c>
      <c r="F42" s="1860">
        <f>IF($E$38=1,2000,IF($E$38=2,2000,IF($E$38=3,2200)))</f>
        <v>2200</v>
      </c>
      <c r="N42" s="1463"/>
      <c r="O42" s="1977">
        <f>O40+O41</f>
        <v>2275</v>
      </c>
      <c r="P42" s="1238" t="s">
        <v>1545</v>
      </c>
    </row>
    <row r="43" spans="5:16" ht="14.25" hidden="1">
      <c r="F43" s="1860">
        <f>IF($E$38=1,0,IF($E$38=2,2100,IF($E$38=3,0)))</f>
        <v>0</v>
      </c>
    </row>
    <row r="44" spans="5:16" ht="14.25" hidden="1">
      <c r="F44" s="1863">
        <f>IF($E$38=1,0,IF($E$38=2,2200,IF($E$38=3,0)))</f>
        <v>0</v>
      </c>
    </row>
    <row r="45" spans="5:16" hidden="1">
      <c r="F45" s="1238"/>
    </row>
    <row r="46" spans="5:16">
      <c r="F46" s="1238"/>
    </row>
    <row r="47" spans="5:16">
      <c r="F47" s="1238"/>
    </row>
    <row r="48" spans="5:16">
      <c r="F48" s="1238"/>
    </row>
    <row r="49" spans="6:6">
      <c r="F49" s="1238"/>
    </row>
    <row r="50" spans="6:6">
      <c r="F50" s="1238"/>
    </row>
    <row r="51" spans="6:6">
      <c r="F51" s="1238"/>
    </row>
  </sheetData>
  <pageMargins left="0.75" right="0.75" top="1" bottom="1" header="0.5" footer="0.5"/>
  <pageSetup paperSize="9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32" r:id="rId4" name="Button 84">
              <controlPr locked="0" defaultSize="0" print="0" autoFill="0" autoLine="0" autoPict="0" macro="[0]!Вначало">
                <anchor moveWithCells="1">
                  <from>
                    <xdr:col>13</xdr:col>
                    <xdr:colOff>76200</xdr:colOff>
                    <xdr:row>0</xdr:row>
                    <xdr:rowOff>76200</xdr:rowOff>
                  </from>
                  <to>
                    <xdr:col>19</xdr:col>
                    <xdr:colOff>28575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5" name="List Box 72">
              <controlPr defaultSize="0" print="0" autoLine="0" autoPict="0" macro="[0]!Мак_для_листа20">
                <anchor moveWithCells="1" sizeWithCells="1">
                  <from>
                    <xdr:col>14</xdr:col>
                    <xdr:colOff>57150</xdr:colOff>
                    <xdr:row>5</xdr:row>
                    <xdr:rowOff>123825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6" name="List Box 71">
              <controlPr defaultSize="0" print="0" autoLine="0" autoPict="0" macro="[0]!Макдлялиста20">
                <anchor moveWithCells="1" sizeWithCells="1">
                  <from>
                    <xdr:col>12</xdr:col>
                    <xdr:colOff>85725</xdr:colOff>
                    <xdr:row>6</xdr:row>
                    <xdr:rowOff>19050</xdr:rowOff>
                  </from>
                  <to>
                    <xdr:col>13</xdr:col>
                    <xdr:colOff>209550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26"/>
  <dimension ref="A1:N144"/>
  <sheetViews>
    <sheetView workbookViewId="0">
      <selection activeCell="G3" sqref="G3"/>
    </sheetView>
  </sheetViews>
  <sheetFormatPr defaultColWidth="9.140625" defaultRowHeight="12.75"/>
  <cols>
    <col min="1" max="1" width="8.5703125" style="1880" customWidth="1"/>
    <col min="2" max="2" width="8.42578125" style="1880" customWidth="1"/>
    <col min="3" max="3" width="1.7109375" style="1880" customWidth="1"/>
    <col min="4" max="4" width="12.140625" style="1463" customWidth="1"/>
    <col min="5" max="5" width="10.85546875" style="1463" customWidth="1"/>
    <col min="6" max="6" width="24.140625" style="1463" customWidth="1"/>
    <col min="7" max="7" width="6.85546875" style="1463" customWidth="1"/>
    <col min="8" max="8" width="4.42578125" style="1463" customWidth="1"/>
    <col min="9" max="9" width="5.85546875" style="1463" customWidth="1"/>
    <col min="10" max="10" width="5.28515625" style="1463" customWidth="1"/>
    <col min="11" max="11" width="4.7109375" style="1880" customWidth="1"/>
    <col min="12" max="12" width="4.42578125" style="1880" customWidth="1"/>
    <col min="13" max="13" width="5" style="1880" customWidth="1"/>
    <col min="14" max="14" width="4.42578125" style="1880" customWidth="1"/>
    <col min="15" max="17" width="2.7109375" style="1880" customWidth="1"/>
    <col min="18" max="16384" width="9.140625" style="1880"/>
  </cols>
  <sheetData>
    <row r="1" spans="4:14" ht="16.5" customHeight="1" thickBot="1"/>
    <row r="2" spans="4:14">
      <c r="F2" s="1881" t="s">
        <v>1092</v>
      </c>
      <c r="G2" s="1872">
        <f>D12</f>
        <v>16</v>
      </c>
      <c r="H2" s="1463" t="s">
        <v>1545</v>
      </c>
    </row>
    <row r="3" spans="4:14" ht="14.25">
      <c r="F3" s="1882" t="s">
        <v>1086</v>
      </c>
      <c r="G3" s="1873">
        <f>E12</f>
        <v>2.0099999999999998</v>
      </c>
      <c r="H3" s="1463" t="s">
        <v>1487</v>
      </c>
    </row>
    <row r="4" spans="4:14" ht="13.5" thickBot="1">
      <c r="F4" s="1881" t="s">
        <v>1087</v>
      </c>
      <c r="G4" s="1874">
        <f>F12</f>
        <v>1.57785</v>
      </c>
      <c r="H4" s="1463" t="s">
        <v>1483</v>
      </c>
    </row>
    <row r="5" spans="4:14">
      <c r="F5" s="1883" t="s">
        <v>1088</v>
      </c>
      <c r="G5" s="1938" t="s">
        <v>2136</v>
      </c>
      <c r="H5" s="1463" t="s">
        <v>1091</v>
      </c>
      <c r="I5" s="1878">
        <f>IF(OR(G4=0,I7=0),0,I8/G4/I7)</f>
        <v>0</v>
      </c>
      <c r="J5" s="1942"/>
      <c r="K5" s="1943" t="s">
        <v>567</v>
      </c>
    </row>
    <row r="6" spans="4:14" ht="14.25">
      <c r="F6" s="1875" t="str">
        <f>REPLACE(F3,17,9,G5)&amp;" стержн"&amp; IF(OR(RIGHT(G5,2)="11",RIGHT(G5)&lt;&gt;"1"),"ей","я")</f>
        <v>Площадь сечения 23 стержней</v>
      </c>
      <c r="G6" s="1877">
        <f>G3*G5</f>
        <v>46.23</v>
      </c>
      <c r="H6" s="1463" t="s">
        <v>1487</v>
      </c>
      <c r="I6" s="1879">
        <f>G3*I5</f>
        <v>0</v>
      </c>
      <c r="J6" s="1884">
        <f>G3*J5</f>
        <v>0</v>
      </c>
    </row>
    <row r="7" spans="4:14">
      <c r="F7" s="1883" t="s">
        <v>1089</v>
      </c>
      <c r="G7" s="1939">
        <v>56</v>
      </c>
      <c r="H7" s="1463" t="s">
        <v>1926</v>
      </c>
      <c r="I7" s="1939"/>
      <c r="J7" s="1885">
        <f>IF(OR(G4=0,J5=0),0,J8/J5/G4)</f>
        <v>0</v>
      </c>
    </row>
    <row r="8" spans="4:14" ht="13.5" thickBot="1">
      <c r="F8" s="1881" t="s">
        <v>1090</v>
      </c>
      <c r="G8" s="1876">
        <f>G4*G7*G5</f>
        <v>2032.2708</v>
      </c>
      <c r="H8" s="1463" t="s">
        <v>1483</v>
      </c>
      <c r="I8" s="1940"/>
      <c r="J8" s="1941"/>
      <c r="K8" s="1943" t="s">
        <v>566</v>
      </c>
    </row>
    <row r="9" spans="4:14" ht="21" customHeight="1" thickBot="1">
      <c r="F9" s="1886" t="s">
        <v>924</v>
      </c>
      <c r="H9" s="1887"/>
      <c r="I9" s="1887"/>
    </row>
    <row r="10" spans="4:14" s="1463" customFormat="1" ht="52.5">
      <c r="D10" s="1888" t="s">
        <v>1686</v>
      </c>
      <c r="E10" s="1889" t="s">
        <v>1493</v>
      </c>
      <c r="F10" s="1889" t="s">
        <v>1687</v>
      </c>
      <c r="G10" s="1890" t="s">
        <v>1579</v>
      </c>
      <c r="H10" s="1890" t="s">
        <v>120</v>
      </c>
      <c r="I10" s="1890" t="s">
        <v>1097</v>
      </c>
      <c r="J10" s="1890" t="s">
        <v>1098</v>
      </c>
      <c r="K10" s="1890" t="s">
        <v>1529</v>
      </c>
      <c r="L10" s="1890" t="s">
        <v>1528</v>
      </c>
      <c r="M10" s="1890" t="s">
        <v>1099</v>
      </c>
      <c r="N10" s="1891" t="s">
        <v>1533</v>
      </c>
    </row>
    <row r="11" spans="4:14" ht="15" thickBot="1">
      <c r="D11" s="1892" t="s">
        <v>1545</v>
      </c>
      <c r="E11" s="1893" t="s">
        <v>1487</v>
      </c>
      <c r="F11" s="1893" t="s">
        <v>1483</v>
      </c>
      <c r="G11" s="1893" t="s">
        <v>1545</v>
      </c>
      <c r="H11" s="1893" t="s">
        <v>1545</v>
      </c>
      <c r="I11" s="1893" t="s">
        <v>1545</v>
      </c>
      <c r="J11" s="1893" t="s">
        <v>1545</v>
      </c>
      <c r="K11" s="1893" t="s">
        <v>1545</v>
      </c>
      <c r="L11" s="1893" t="s">
        <v>1545</v>
      </c>
      <c r="M11" s="1893" t="s">
        <v>1545</v>
      </c>
      <c r="N11" s="1894" t="s">
        <v>1545</v>
      </c>
    </row>
    <row r="12" spans="4:14" ht="13.5" thickBot="1">
      <c r="D12" s="1895">
        <f>VLOOKUP($D$97,$C$98:$N$117,2,FALSE)</f>
        <v>16</v>
      </c>
      <c r="E12" s="1895">
        <f>VLOOKUP($D$97,$C$98:$N$117,3,FALSE)</f>
        <v>2.0099999999999998</v>
      </c>
      <c r="F12" s="1896">
        <f>VLOOKUP($D$97,$C$98:$N$117,4,FALSE)</f>
        <v>1.57785</v>
      </c>
      <c r="G12" s="1895">
        <f>VLOOKUP($D$97,$C$98:$N$117,5,FALSE)</f>
        <v>15</v>
      </c>
      <c r="H12" s="1895">
        <f>VLOOKUP($D$97,$C$98:$N$117,6,FALSE)</f>
        <v>1.5</v>
      </c>
      <c r="I12" s="1895">
        <f>VLOOKUP($D$97,$C$98:$N$117,7,FALSE)</f>
        <v>18</v>
      </c>
      <c r="J12" s="1895">
        <f>VLOOKUP($D$97,$C$98:$N$117,8,FALSE)</f>
        <v>1.5</v>
      </c>
      <c r="K12" s="1895">
        <f>VLOOKUP($D$97,$C$98:$N$117,9,FALSE)</f>
        <v>8</v>
      </c>
      <c r="L12" s="1895">
        <f>VLOOKUP($D$97,$C$98:$N$117,10,FALSE)</f>
        <v>1.5</v>
      </c>
      <c r="M12" s="1895">
        <f>VLOOKUP($D$97,$C$98:$N$117,11,FALSE)</f>
        <v>2</v>
      </c>
      <c r="N12" s="1897">
        <f>VLOOKUP($D$97,$C$98:$N$117,12,FALSE)</f>
        <v>2.2000000000000002</v>
      </c>
    </row>
    <row r="13" spans="4:14" ht="5.25" customHeight="1" thickBot="1"/>
    <row r="14" spans="4:14">
      <c r="D14" s="1898" t="s">
        <v>1093</v>
      </c>
      <c r="E14" s="1899" t="s">
        <v>1689</v>
      </c>
      <c r="F14" s="1900"/>
      <c r="G14" s="1900"/>
      <c r="H14" s="1901" t="s">
        <v>1691</v>
      </c>
      <c r="I14" s="1902"/>
      <c r="J14" s="1903"/>
      <c r="K14" s="1904"/>
      <c r="L14" s="1901" t="s">
        <v>1693</v>
      </c>
      <c r="M14" s="1905"/>
      <c r="N14" s="1906"/>
    </row>
    <row r="15" spans="4:14" ht="15.75" customHeight="1">
      <c r="D15" s="1907" t="s">
        <v>1094</v>
      </c>
      <c r="E15" s="1908" t="s">
        <v>1692</v>
      </c>
      <c r="F15" s="1909" t="s">
        <v>1688</v>
      </c>
      <c r="G15" s="1910"/>
      <c r="H15" s="1911" t="s">
        <v>1095</v>
      </c>
      <c r="I15" s="1912"/>
      <c r="J15" s="1913"/>
      <c r="K15" s="1913"/>
      <c r="L15" s="1911" t="s">
        <v>1096</v>
      </c>
      <c r="M15" s="1914"/>
      <c r="N15" s="1915"/>
    </row>
    <row r="16" spans="4:14" s="1922" customFormat="1" ht="14.25" thickBot="1">
      <c r="D16" s="1916" t="s">
        <v>1690</v>
      </c>
      <c r="E16" s="1917" t="s">
        <v>1545</v>
      </c>
      <c r="F16" s="1917"/>
      <c r="G16" s="1918" t="s">
        <v>1694</v>
      </c>
      <c r="H16" s="1919"/>
      <c r="I16" s="1920" t="s">
        <v>1695</v>
      </c>
      <c r="J16" s="1919"/>
      <c r="K16" s="1919" t="s">
        <v>1694</v>
      </c>
      <c r="L16" s="1919"/>
      <c r="M16" s="1919" t="s">
        <v>1695</v>
      </c>
      <c r="N16" s="1921"/>
    </row>
    <row r="17" spans="4:14" ht="24.75" customHeight="1">
      <c r="D17" s="1923" t="str">
        <f>VLOOKUP($D$127+IF($D$127=2,1,IF($D$127=3,2,IF($D$127=4,2,IF($D$127=5,3,IF($D$127&gt;5,4))))),$C$128:$M$138,2,FALSE)</f>
        <v>A-II (А300)</v>
      </c>
      <c r="E17" s="1924" t="str">
        <f>VLOOKUP($D$127+IF($D$127=2,1,IF($D$127=3,2,IF($D$127=4,2,IF($D$127=5,3,IF($D$127&gt;5,4))))),$C$128:$M$138,3,FALSE)</f>
        <v>10-40</v>
      </c>
      <c r="F17" s="1925" t="str">
        <f>VLOOKUP($D$127+IF($D$127=2,1,IF($D$127=3,2,IF($D$127=4,2,IF($D$127=5,3,IF($D$127&gt;5,4))))),$C$128:$M$138,4,FALSE)</f>
        <v>ВСт5сп2, ВСт5с2</v>
      </c>
      <c r="G17" s="1926">
        <f>VLOOKUP($D$127+IF($D$127=2,1,IF($D$127=3,2,IF($D$127=4,2,IF($D$127=5,3,IF($D$127&gt;5,4))))),$C$128:$M$138,5,FALSE)</f>
        <v>295</v>
      </c>
      <c r="H17" s="1926"/>
      <c r="I17" s="1927">
        <f>VLOOKUP($D$127+IF($D$127=2,1,IF($D$127=3,2,IF($D$127=4,2,IF($D$127=5,3,IF($D$127&gt;5,4))))),$C$128:$M$138,7,FALSE)</f>
        <v>30</v>
      </c>
      <c r="J17" s="1926"/>
      <c r="K17" s="1926">
        <f>VLOOKUP($D$127+IF($D$127=2,1,IF($D$127=3,2,IF($D$127=4,2,IF($D$127=5,3,IF($D$127&gt;5,4))))),$C$128:$M$138,9,FALSE)</f>
        <v>490</v>
      </c>
      <c r="L17" s="1926"/>
      <c r="M17" s="1926">
        <f>VLOOKUP($D$127+IF($D$127=2,1,IF($D$127=3,2,IF($D$127=4,2,IF($D$127=5,3,IF($D$127&gt;5,4))))),$C$128:$M$138,11,FALSE)</f>
        <v>50</v>
      </c>
      <c r="N17" s="1927"/>
    </row>
    <row r="18" spans="4:14">
      <c r="D18" s="1928" t="str">
        <f>IF(OR($D$127=1,$D$127=2,$D$127=4,$D$127=5),VLOOKUP($D$127+IF($D$127=1,1,IF($D$127=2,2,IF($D$127=4,3,IF($D$127=5,4,"")))),$C$128:$M$138,2,FALSE),"")</f>
        <v>A-II (А300)</v>
      </c>
      <c r="E18" s="1929" t="str">
        <f>IF(OR($D$127=1,$D$127=2,$D$127=4,$D$127=5),VLOOKUP($D$127+IF($D$127=1,1,IF($D$127=2,2,IF($D$127=4,3,IF($D$127=5,4,"")))),$C$128:$M$138,3,FALSE),"")</f>
        <v>40-80</v>
      </c>
      <c r="F18" s="1930" t="str">
        <f>IF(OR($D$127=1,$D$127=2,$D$127=4,$D$127=5),VLOOKUP($D$127+IF($D$127=1,1,IF($D$127=2,2,IF($D$127=4,3,IF($D$127=5,4,"")))),$C$128:$M$138,4,FALSE),"")</f>
        <v>18Г2С</v>
      </c>
      <c r="G18" s="1910">
        <f>IF(OR($D$127=1,$D$127=2,$D$127=4,$D$127=5),VLOOKUP($D$127+IF($D$127=1,1,IF($D$127=2,2,IF($D$127=4,3,IF($D$127=5,4,"")))),$C$128:$M$138,5,FALSE),"")</f>
        <v>295</v>
      </c>
      <c r="H18" s="1913"/>
      <c r="I18" s="1912">
        <f>IF(OR($D$127=1,$D$127=2,$D$127=4,$D$127=5),VLOOKUP($D$127+IF($D$127=1,1,IF($D$127=2,2,IF($D$127=4,3,IF($D$127=5,4,"")))),$C$128:$M$138,7,FALSE),"")</f>
        <v>30</v>
      </c>
      <c r="J18" s="1913"/>
      <c r="K18" s="1913">
        <f>IF(OR($D$127=1,$D$127=2,$D$127=4,$D$127=5),VLOOKUP($D$127+IF($D$127=1,1,IF($D$127=2,2,IF($D$127=4,3,IF($D$127=5,4,"")))),$C$128:$M$138,9,FALSE),"")</f>
        <v>490</v>
      </c>
      <c r="L18" s="1913"/>
      <c r="M18" s="1913">
        <f>IF(OR($D$127=1,$D$127=2,$D$127=4,$D$127=5),VLOOKUP($D$127+IF($D$127=1,1,IF($D$127=2,2,IF($D$127=4,3,IF($D$127=5,4,"")))),$C$128:$M$138,11,FALSE),"")</f>
        <v>50</v>
      </c>
      <c r="N18" s="1912"/>
    </row>
    <row r="19" spans="4:14" ht="7.5" customHeight="1"/>
    <row r="95" hidden="1"/>
    <row r="96" hidden="1"/>
    <row r="97" spans="3:14" hidden="1">
      <c r="D97" s="1027">
        <v>6</v>
      </c>
    </row>
    <row r="98" spans="3:14" hidden="1">
      <c r="C98" s="1880">
        <v>1</v>
      </c>
      <c r="D98" s="1463">
        <v>6</v>
      </c>
      <c r="E98" s="1931">
        <v>0.28299999999999997</v>
      </c>
      <c r="F98" s="1931">
        <v>0.22215499999999999</v>
      </c>
      <c r="G98" s="1463">
        <v>5.75</v>
      </c>
      <c r="H98" s="1463">
        <v>0.5</v>
      </c>
      <c r="I98" s="1463">
        <v>6.75</v>
      </c>
      <c r="J98" s="1463">
        <v>0.5</v>
      </c>
      <c r="K98" s="1880">
        <v>5</v>
      </c>
      <c r="L98" s="1880">
        <v>0.5</v>
      </c>
      <c r="M98" s="1880">
        <v>1</v>
      </c>
      <c r="N98" s="1932">
        <v>0.75</v>
      </c>
    </row>
    <row r="99" spans="3:14" hidden="1">
      <c r="C99" s="1880">
        <v>2</v>
      </c>
      <c r="D99" s="1463">
        <v>8</v>
      </c>
      <c r="E99" s="1931">
        <v>0.503</v>
      </c>
      <c r="F99" s="1931">
        <v>0.39485500000000001</v>
      </c>
      <c r="G99" s="1463">
        <v>7.5</v>
      </c>
      <c r="H99" s="1463">
        <v>0.75</v>
      </c>
      <c r="I99" s="1463">
        <v>9</v>
      </c>
      <c r="J99" s="1463">
        <v>0.75</v>
      </c>
      <c r="K99" s="1880">
        <v>5</v>
      </c>
      <c r="L99" s="1880">
        <v>0.75</v>
      </c>
      <c r="M99" s="1880">
        <v>1.25</v>
      </c>
      <c r="N99" s="1880">
        <v>1.1000000000000001</v>
      </c>
    </row>
    <row r="100" spans="3:14" hidden="1">
      <c r="C100" s="1880">
        <v>3</v>
      </c>
      <c r="D100" s="1463">
        <v>10</v>
      </c>
      <c r="E100" s="1931">
        <v>0.78500000000000003</v>
      </c>
      <c r="F100" s="1931">
        <v>0.61622500000000002</v>
      </c>
      <c r="G100" s="1463">
        <v>9.3000000000000007</v>
      </c>
      <c r="H100" s="1463">
        <v>1</v>
      </c>
      <c r="I100" s="1463">
        <v>11.3</v>
      </c>
      <c r="J100" s="1463">
        <v>1</v>
      </c>
      <c r="K100" s="1880">
        <v>7</v>
      </c>
      <c r="L100" s="1880">
        <v>1</v>
      </c>
      <c r="M100" s="1880">
        <v>1.5</v>
      </c>
      <c r="N100" s="1880">
        <v>1.5</v>
      </c>
    </row>
    <row r="101" spans="3:14" hidden="1">
      <c r="C101" s="1880">
        <v>4</v>
      </c>
      <c r="D101" s="1463">
        <v>12</v>
      </c>
      <c r="E101" s="1931">
        <v>1.131</v>
      </c>
      <c r="F101" s="1931">
        <v>0.88783500000000004</v>
      </c>
      <c r="G101" s="1463">
        <v>11</v>
      </c>
      <c r="H101" s="1463">
        <v>1.25</v>
      </c>
      <c r="I101" s="1463">
        <v>13.5</v>
      </c>
      <c r="J101" s="1463">
        <v>1.25</v>
      </c>
      <c r="K101" s="1880">
        <v>7</v>
      </c>
      <c r="L101" s="1880">
        <v>1</v>
      </c>
      <c r="M101" s="1880">
        <v>2</v>
      </c>
      <c r="N101" s="1880">
        <v>1.9</v>
      </c>
    </row>
    <row r="102" spans="3:14" hidden="1">
      <c r="C102" s="1880">
        <v>5</v>
      </c>
      <c r="D102" s="1463">
        <v>14</v>
      </c>
      <c r="E102" s="1931">
        <v>1.54</v>
      </c>
      <c r="F102" s="1931">
        <v>1.2089000000000001</v>
      </c>
      <c r="G102" s="1463">
        <v>13</v>
      </c>
      <c r="H102" s="1463">
        <v>1.25</v>
      </c>
      <c r="I102" s="1463">
        <v>15.5</v>
      </c>
      <c r="J102" s="1463">
        <v>1.25</v>
      </c>
      <c r="K102" s="1880">
        <v>7</v>
      </c>
      <c r="L102" s="1880">
        <v>1</v>
      </c>
      <c r="M102" s="1880">
        <v>2</v>
      </c>
      <c r="N102" s="1880">
        <v>1.9</v>
      </c>
    </row>
    <row r="103" spans="3:14" hidden="1">
      <c r="C103" s="1880">
        <v>6</v>
      </c>
      <c r="D103" s="1463">
        <v>16</v>
      </c>
      <c r="E103" s="1931">
        <v>2.0099999999999998</v>
      </c>
      <c r="F103" s="1931">
        <v>1.57785</v>
      </c>
      <c r="G103" s="1463">
        <v>15</v>
      </c>
      <c r="H103" s="1463">
        <v>1.5</v>
      </c>
      <c r="I103" s="1463">
        <v>18</v>
      </c>
      <c r="J103" s="1463">
        <v>1.5</v>
      </c>
      <c r="K103" s="1880">
        <v>8</v>
      </c>
      <c r="L103" s="1880">
        <v>1.5</v>
      </c>
      <c r="M103" s="1880">
        <v>2</v>
      </c>
      <c r="N103" s="1880">
        <v>2.2000000000000002</v>
      </c>
    </row>
    <row r="104" spans="3:14" hidden="1">
      <c r="C104" s="1880">
        <v>7</v>
      </c>
      <c r="D104" s="1463">
        <v>18</v>
      </c>
      <c r="E104" s="1931">
        <v>2.54</v>
      </c>
      <c r="F104" s="1931">
        <v>1.9939</v>
      </c>
      <c r="G104" s="1463">
        <v>17</v>
      </c>
      <c r="H104" s="1463">
        <v>1.5</v>
      </c>
      <c r="I104" s="1463">
        <v>20</v>
      </c>
      <c r="J104" s="1463">
        <v>1.5</v>
      </c>
      <c r="K104" s="1880">
        <v>8</v>
      </c>
      <c r="L104" s="1880">
        <v>1.5</v>
      </c>
      <c r="M104" s="1880">
        <v>2</v>
      </c>
      <c r="N104" s="1880">
        <v>2.2000000000000002</v>
      </c>
    </row>
    <row r="105" spans="3:14" hidden="1">
      <c r="C105" s="1880">
        <v>8</v>
      </c>
      <c r="D105" s="1463">
        <v>20</v>
      </c>
      <c r="E105" s="1931">
        <v>3.14</v>
      </c>
      <c r="F105" s="1931">
        <v>2.4649000000000001</v>
      </c>
      <c r="G105" s="1463">
        <v>19</v>
      </c>
      <c r="H105" s="1463">
        <v>1.5</v>
      </c>
      <c r="I105" s="1463">
        <v>22</v>
      </c>
      <c r="J105" s="1463">
        <v>1.5</v>
      </c>
      <c r="K105" s="1880">
        <v>8</v>
      </c>
      <c r="L105" s="1880">
        <v>1.5</v>
      </c>
      <c r="M105" s="1880">
        <v>2</v>
      </c>
      <c r="N105" s="1880">
        <v>2.2000000000000002</v>
      </c>
    </row>
    <row r="106" spans="3:14" hidden="1">
      <c r="C106" s="1880">
        <v>9</v>
      </c>
      <c r="D106" s="1463">
        <v>22</v>
      </c>
      <c r="E106" s="1931">
        <v>3.8</v>
      </c>
      <c r="F106" s="1931">
        <v>2.9830000000000001</v>
      </c>
      <c r="G106" s="1463">
        <v>21</v>
      </c>
      <c r="H106" s="1463">
        <v>1.5</v>
      </c>
      <c r="I106" s="1463">
        <v>24</v>
      </c>
      <c r="J106" s="1463">
        <v>1.5</v>
      </c>
      <c r="K106" s="1880">
        <v>8</v>
      </c>
      <c r="L106" s="1880">
        <v>1.5</v>
      </c>
      <c r="M106" s="1880">
        <v>2</v>
      </c>
      <c r="N106" s="1880">
        <v>2.2000000000000002</v>
      </c>
    </row>
    <row r="107" spans="3:14" hidden="1">
      <c r="C107" s="1880">
        <v>10</v>
      </c>
      <c r="D107" s="1463">
        <v>25</v>
      </c>
      <c r="E107" s="1931">
        <v>4.91</v>
      </c>
      <c r="F107" s="1931">
        <v>3.8543500000000002</v>
      </c>
      <c r="G107" s="1463">
        <v>24</v>
      </c>
      <c r="H107" s="1463">
        <v>1.5</v>
      </c>
      <c r="I107" s="1463">
        <v>27</v>
      </c>
      <c r="J107" s="1463">
        <v>1.5</v>
      </c>
      <c r="K107" s="1880">
        <v>8</v>
      </c>
      <c r="L107" s="1880">
        <v>1.5</v>
      </c>
      <c r="M107" s="1880">
        <v>2</v>
      </c>
      <c r="N107" s="1880">
        <v>2.2000000000000002</v>
      </c>
    </row>
    <row r="108" spans="3:14" hidden="1">
      <c r="C108" s="1880">
        <v>11</v>
      </c>
      <c r="D108" s="1463">
        <v>28</v>
      </c>
      <c r="E108" s="1931">
        <v>6.16</v>
      </c>
      <c r="F108" s="1931">
        <v>4.8356000000000003</v>
      </c>
      <c r="G108" s="1463">
        <v>26.5</v>
      </c>
      <c r="H108" s="1463">
        <v>2</v>
      </c>
      <c r="I108" s="1463">
        <v>30.5</v>
      </c>
      <c r="J108" s="1463">
        <v>2</v>
      </c>
      <c r="K108" s="1880">
        <v>9</v>
      </c>
      <c r="L108" s="1880">
        <v>1.5</v>
      </c>
      <c r="M108" s="1880">
        <v>2.5</v>
      </c>
      <c r="N108" s="1880">
        <v>3</v>
      </c>
    </row>
    <row r="109" spans="3:14" hidden="1">
      <c r="C109" s="1880">
        <v>12</v>
      </c>
      <c r="D109" s="1463">
        <v>32</v>
      </c>
      <c r="E109" s="1931">
        <v>8.0399999999999991</v>
      </c>
      <c r="F109" s="1931">
        <v>6.3113999999999999</v>
      </c>
      <c r="G109" s="1463">
        <v>30.5</v>
      </c>
      <c r="H109" s="1463">
        <v>2</v>
      </c>
      <c r="I109" s="1463">
        <v>34.5</v>
      </c>
      <c r="J109" s="1463">
        <v>2</v>
      </c>
      <c r="K109" s="1880">
        <v>10</v>
      </c>
      <c r="L109" s="1880">
        <v>2</v>
      </c>
      <c r="M109" s="1880">
        <v>3</v>
      </c>
      <c r="N109" s="1880">
        <v>3</v>
      </c>
    </row>
    <row r="110" spans="3:14" hidden="1">
      <c r="C110" s="1880">
        <v>13</v>
      </c>
      <c r="D110" s="1463">
        <v>36</v>
      </c>
      <c r="E110" s="1931">
        <v>10.18</v>
      </c>
      <c r="F110" s="1931">
        <v>7.9912999999999998</v>
      </c>
      <c r="G110" s="1463">
        <v>34.5</v>
      </c>
      <c r="H110" s="1463">
        <v>2.5</v>
      </c>
      <c r="I110" s="1463">
        <v>39.5</v>
      </c>
      <c r="J110" s="1463">
        <v>2.5</v>
      </c>
      <c r="K110" s="1880">
        <v>12</v>
      </c>
      <c r="L110" s="1880">
        <v>2</v>
      </c>
      <c r="M110" s="1880">
        <v>3</v>
      </c>
      <c r="N110" s="1880">
        <v>3.5</v>
      </c>
    </row>
    <row r="111" spans="3:14" hidden="1">
      <c r="C111" s="1880">
        <v>14</v>
      </c>
      <c r="D111" s="1463">
        <v>40</v>
      </c>
      <c r="E111" s="1931">
        <v>12.57</v>
      </c>
      <c r="F111" s="1931">
        <v>9.8674499999999998</v>
      </c>
      <c r="G111" s="1463">
        <v>38.5</v>
      </c>
      <c r="H111" s="1463">
        <v>2.5</v>
      </c>
      <c r="I111" s="1463">
        <v>43.5</v>
      </c>
      <c r="J111" s="1463">
        <v>2.5</v>
      </c>
      <c r="K111" s="1880">
        <v>12</v>
      </c>
      <c r="L111" s="1880">
        <v>2</v>
      </c>
      <c r="M111" s="1880">
        <v>3</v>
      </c>
      <c r="N111" s="1880">
        <v>3.5</v>
      </c>
    </row>
    <row r="112" spans="3:14" hidden="1">
      <c r="C112" s="1880">
        <v>15</v>
      </c>
      <c r="D112" s="1463">
        <v>45</v>
      </c>
      <c r="E112" s="1931">
        <v>15</v>
      </c>
      <c r="F112" s="1931">
        <v>11.775</v>
      </c>
      <c r="G112" s="1463">
        <v>43</v>
      </c>
      <c r="H112" s="1463">
        <v>3</v>
      </c>
      <c r="I112" s="1463">
        <v>49</v>
      </c>
      <c r="J112" s="1463">
        <v>3</v>
      </c>
      <c r="K112" s="1880">
        <v>15</v>
      </c>
      <c r="L112" s="1880">
        <v>2.5</v>
      </c>
      <c r="M112" s="1880">
        <v>3.5</v>
      </c>
      <c r="N112" s="1880">
        <v>4.5</v>
      </c>
    </row>
    <row r="113" spans="1:14" hidden="1">
      <c r="C113" s="1880">
        <v>16</v>
      </c>
      <c r="D113" s="1463">
        <v>50</v>
      </c>
      <c r="E113" s="1931">
        <v>19.63</v>
      </c>
      <c r="F113" s="1931">
        <v>15.409549999999999</v>
      </c>
      <c r="G113" s="1463">
        <v>48</v>
      </c>
      <c r="H113" s="1463">
        <v>3</v>
      </c>
      <c r="I113" s="1463">
        <v>54</v>
      </c>
      <c r="J113" s="1463">
        <v>3</v>
      </c>
      <c r="K113" s="1880">
        <v>15</v>
      </c>
      <c r="L113" s="1880">
        <v>2.5</v>
      </c>
      <c r="M113" s="1880">
        <v>3.5</v>
      </c>
      <c r="N113" s="1880">
        <v>4.5</v>
      </c>
    </row>
    <row r="114" spans="1:14" hidden="1">
      <c r="C114" s="1880">
        <v>17</v>
      </c>
      <c r="D114" s="1463">
        <v>55</v>
      </c>
      <c r="E114" s="1931">
        <v>23.76</v>
      </c>
      <c r="F114" s="1931">
        <v>18.651600000000002</v>
      </c>
      <c r="G114" s="1463">
        <v>53</v>
      </c>
      <c r="H114" s="1463">
        <v>3</v>
      </c>
      <c r="I114" s="1463">
        <v>59</v>
      </c>
      <c r="J114" s="1463">
        <v>3</v>
      </c>
      <c r="K114" s="1880">
        <v>15</v>
      </c>
      <c r="L114" s="1880">
        <v>2.5</v>
      </c>
      <c r="M114" s="1880">
        <v>4</v>
      </c>
      <c r="N114" s="1880">
        <v>4.5</v>
      </c>
    </row>
    <row r="115" spans="1:14" hidden="1">
      <c r="C115" s="1880">
        <v>18</v>
      </c>
      <c r="D115" s="1463">
        <v>60</v>
      </c>
      <c r="E115" s="1931">
        <v>28.27</v>
      </c>
      <c r="F115" s="1931">
        <v>22.191950000000002</v>
      </c>
      <c r="G115" s="1463">
        <v>58</v>
      </c>
      <c r="H115" s="1463">
        <v>3</v>
      </c>
      <c r="I115" s="1463">
        <v>64</v>
      </c>
      <c r="J115" s="1463">
        <v>3</v>
      </c>
      <c r="K115" s="1880">
        <v>15</v>
      </c>
      <c r="L115" s="1880">
        <v>2.5</v>
      </c>
      <c r="M115" s="1880">
        <v>4</v>
      </c>
      <c r="N115" s="1880">
        <v>5</v>
      </c>
    </row>
    <row r="116" spans="1:14" hidden="1">
      <c r="C116" s="1880">
        <v>19</v>
      </c>
      <c r="D116" s="1463">
        <v>70</v>
      </c>
      <c r="E116" s="1931">
        <v>38.479999999999997</v>
      </c>
      <c r="F116" s="1931">
        <v>30.206799999999998</v>
      </c>
      <c r="G116" s="1463">
        <v>68</v>
      </c>
      <c r="H116" s="1463">
        <v>3</v>
      </c>
      <c r="I116" s="1463">
        <v>74</v>
      </c>
      <c r="J116" s="1463">
        <v>3</v>
      </c>
      <c r="K116" s="1880">
        <v>15</v>
      </c>
      <c r="L116" s="1880">
        <v>2.5</v>
      </c>
      <c r="M116" s="1880">
        <v>4.5</v>
      </c>
      <c r="N116" s="1880">
        <v>5.5</v>
      </c>
    </row>
    <row r="117" spans="1:14" hidden="1">
      <c r="C117" s="1880">
        <v>20</v>
      </c>
      <c r="D117" s="1463">
        <v>80</v>
      </c>
      <c r="E117" s="1931">
        <v>50.27</v>
      </c>
      <c r="F117" s="1931">
        <v>39.461950000000002</v>
      </c>
      <c r="G117" s="1463">
        <v>77.5</v>
      </c>
      <c r="H117" s="1463">
        <v>3</v>
      </c>
      <c r="I117" s="1463">
        <v>83.5</v>
      </c>
      <c r="J117" s="1463">
        <v>3</v>
      </c>
      <c r="K117" s="1880">
        <v>15</v>
      </c>
      <c r="L117" s="1880">
        <v>2.5</v>
      </c>
      <c r="M117" s="1880">
        <v>4.5</v>
      </c>
      <c r="N117" s="1880">
        <v>5.5</v>
      </c>
    </row>
    <row r="118" spans="1:14" hidden="1"/>
    <row r="119" spans="1:14" hidden="1"/>
    <row r="120" spans="1:14" hidden="1"/>
    <row r="121" spans="1:14" hidden="1"/>
    <row r="122" spans="1:14" hidden="1"/>
    <row r="123" spans="1:14" hidden="1"/>
    <row r="124" spans="1:14" hidden="1"/>
    <row r="125" spans="1:14" hidden="1"/>
    <row r="126" spans="1:14" hidden="1"/>
    <row r="127" spans="1:14" hidden="1">
      <c r="D127" s="1027">
        <v>2</v>
      </c>
    </row>
    <row r="128" spans="1:14" ht="38.25" hidden="1">
      <c r="A128" s="1880">
        <v>1</v>
      </c>
      <c r="B128" s="1463" t="s">
        <v>1514</v>
      </c>
      <c r="C128" s="1880">
        <v>1</v>
      </c>
      <c r="D128" s="1463" t="s">
        <v>1514</v>
      </c>
      <c r="E128" s="1933" t="s">
        <v>1494</v>
      </c>
      <c r="F128" s="1934" t="s">
        <v>1496</v>
      </c>
      <c r="G128" s="1463">
        <v>235</v>
      </c>
      <c r="I128" s="1463">
        <v>24</v>
      </c>
      <c r="K128" s="1880">
        <v>373</v>
      </c>
      <c r="M128" s="1880">
        <v>38</v>
      </c>
    </row>
    <row r="129" spans="1:13" hidden="1">
      <c r="A129" s="1880">
        <v>2</v>
      </c>
      <c r="B129" s="1463" t="s">
        <v>1515</v>
      </c>
      <c r="C129" s="1880">
        <v>2</v>
      </c>
      <c r="D129" s="1463" t="s">
        <v>1514</v>
      </c>
      <c r="E129" s="1933" t="s">
        <v>1495</v>
      </c>
      <c r="F129" s="1463" t="s">
        <v>1497</v>
      </c>
      <c r="G129" s="1463">
        <v>235</v>
      </c>
      <c r="I129" s="1463">
        <v>24</v>
      </c>
      <c r="K129" s="1880">
        <v>373</v>
      </c>
      <c r="M129" s="1880">
        <v>38</v>
      </c>
    </row>
    <row r="130" spans="1:13" hidden="1">
      <c r="A130" s="1880">
        <v>3</v>
      </c>
      <c r="B130" s="1463" t="s">
        <v>1516</v>
      </c>
      <c r="C130" s="1880">
        <v>3</v>
      </c>
      <c r="D130" s="1463" t="s">
        <v>1515</v>
      </c>
      <c r="E130" s="1933" t="s">
        <v>1498</v>
      </c>
      <c r="F130" s="1463" t="s">
        <v>1499</v>
      </c>
      <c r="G130" s="1463">
        <v>295</v>
      </c>
      <c r="I130" s="1463">
        <v>30</v>
      </c>
      <c r="K130" s="1880">
        <v>490</v>
      </c>
      <c r="M130" s="1880">
        <v>50</v>
      </c>
    </row>
    <row r="131" spans="1:13" hidden="1">
      <c r="A131" s="1880">
        <v>4</v>
      </c>
      <c r="B131" s="1463" t="s">
        <v>1517</v>
      </c>
      <c r="C131" s="1880">
        <v>4</v>
      </c>
      <c r="D131" s="1463" t="s">
        <v>1515</v>
      </c>
      <c r="E131" s="1933" t="s">
        <v>1500</v>
      </c>
      <c r="F131" s="1463" t="s">
        <v>1501</v>
      </c>
      <c r="G131" s="1463">
        <v>295</v>
      </c>
      <c r="I131" s="1463">
        <v>30</v>
      </c>
      <c r="K131" s="1880">
        <v>490</v>
      </c>
      <c r="M131" s="1880">
        <v>50</v>
      </c>
    </row>
    <row r="132" spans="1:13" hidden="1">
      <c r="A132" s="1880">
        <v>5</v>
      </c>
      <c r="B132" s="1463" t="s">
        <v>1518</v>
      </c>
      <c r="C132" s="1880">
        <v>5</v>
      </c>
      <c r="D132" s="1463" t="s">
        <v>1516</v>
      </c>
      <c r="E132" s="1935" t="s">
        <v>1502</v>
      </c>
      <c r="F132" s="1463" t="s">
        <v>1503</v>
      </c>
      <c r="G132" s="1463">
        <v>295</v>
      </c>
      <c r="I132" s="1463">
        <v>30</v>
      </c>
      <c r="K132" s="1880">
        <v>441</v>
      </c>
      <c r="M132" s="1880">
        <v>45</v>
      </c>
    </row>
    <row r="133" spans="1:13" hidden="1">
      <c r="A133" s="1880">
        <v>6</v>
      </c>
      <c r="B133" s="1463" t="s">
        <v>1519</v>
      </c>
      <c r="C133" s="1880">
        <v>6</v>
      </c>
      <c r="D133" s="1463" t="s">
        <v>1517</v>
      </c>
      <c r="E133" s="1933" t="s">
        <v>1494</v>
      </c>
      <c r="F133" s="1463" t="s">
        <v>1505</v>
      </c>
      <c r="G133" s="1463">
        <v>390</v>
      </c>
      <c r="I133" s="1463">
        <v>40</v>
      </c>
      <c r="K133" s="1880">
        <v>590</v>
      </c>
      <c r="M133" s="1880">
        <v>60</v>
      </c>
    </row>
    <row r="134" spans="1:13" hidden="1">
      <c r="A134" s="1880">
        <v>7</v>
      </c>
      <c r="B134" s="1463" t="s">
        <v>1520</v>
      </c>
      <c r="C134" s="1880">
        <v>7</v>
      </c>
      <c r="D134" s="1463" t="s">
        <v>1517</v>
      </c>
      <c r="E134" s="1933" t="s">
        <v>1504</v>
      </c>
      <c r="F134" s="1463" t="s">
        <v>1506</v>
      </c>
      <c r="G134" s="1463">
        <v>390</v>
      </c>
      <c r="I134" s="1463">
        <v>40</v>
      </c>
      <c r="K134" s="1880">
        <v>590</v>
      </c>
      <c r="M134" s="1880">
        <v>60</v>
      </c>
    </row>
    <row r="135" spans="1:13" hidden="1">
      <c r="C135" s="1880">
        <v>8</v>
      </c>
      <c r="D135" s="1463" t="s">
        <v>1518</v>
      </c>
      <c r="E135" s="1933" t="s">
        <v>1507</v>
      </c>
      <c r="F135" s="1463" t="s">
        <v>1508</v>
      </c>
      <c r="G135" s="1463">
        <v>590</v>
      </c>
      <c r="I135" s="1463">
        <v>60</v>
      </c>
      <c r="K135" s="1880">
        <v>883</v>
      </c>
      <c r="M135" s="1880">
        <v>90</v>
      </c>
    </row>
    <row r="136" spans="1:13" hidden="1">
      <c r="C136" s="1880">
        <v>9</v>
      </c>
      <c r="D136" s="1463" t="s">
        <v>1518</v>
      </c>
      <c r="E136" s="1936" t="s">
        <v>1502</v>
      </c>
      <c r="F136" s="1463" t="s">
        <v>1509</v>
      </c>
      <c r="G136" s="1463">
        <v>590</v>
      </c>
      <c r="I136" s="1463">
        <v>60</v>
      </c>
      <c r="K136" s="1880">
        <v>883</v>
      </c>
      <c r="M136" s="1880">
        <v>90</v>
      </c>
    </row>
    <row r="137" spans="1:13" ht="25.5" hidden="1">
      <c r="C137" s="1880">
        <v>10</v>
      </c>
      <c r="D137" s="1463" t="s">
        <v>1519</v>
      </c>
      <c r="E137" s="1933" t="s">
        <v>1510</v>
      </c>
      <c r="F137" s="1463" t="s">
        <v>1511</v>
      </c>
      <c r="G137" s="1463">
        <v>785</v>
      </c>
      <c r="I137" s="1463">
        <v>80</v>
      </c>
      <c r="K137" s="1880">
        <v>1030</v>
      </c>
      <c r="M137" s="1880">
        <v>105</v>
      </c>
    </row>
    <row r="138" spans="1:13" ht="24" hidden="1">
      <c r="C138" s="1880">
        <v>11</v>
      </c>
      <c r="D138" s="1463" t="s">
        <v>1520</v>
      </c>
      <c r="E138" s="1933" t="s">
        <v>1512</v>
      </c>
      <c r="F138" s="1937" t="s">
        <v>1513</v>
      </c>
      <c r="G138" s="1463">
        <v>980</v>
      </c>
      <c r="I138" s="1463">
        <v>100</v>
      </c>
      <c r="K138" s="1880">
        <v>1230</v>
      </c>
      <c r="M138" s="1880">
        <v>125</v>
      </c>
    </row>
    <row r="139" spans="1:13" hidden="1"/>
    <row r="140" spans="1:13" hidden="1"/>
    <row r="141" spans="1:13" hidden="1"/>
    <row r="142" spans="1:13" hidden="1"/>
    <row r="143" spans="1:13" hidden="1"/>
    <row r="144" spans="1:13" hidden="1"/>
  </sheetData>
  <pageMargins left="0.75" right="0.75" top="1" bottom="1" header="0.5" footer="0.5"/>
  <pageSetup paperSize="9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7" r:id="rId4" name="Button 1741">
              <controlPr defaultSize="0" print="0" autoFill="0" autoLine="0" autoPict="0" macro="[0]!Вначало">
                <anchor moveWithCells="1">
                  <from>
                    <xdr:col>5</xdr:col>
                    <xdr:colOff>133350</xdr:colOff>
                    <xdr:row>0</xdr:row>
                    <xdr:rowOff>19050</xdr:rowOff>
                  </from>
                  <to>
                    <xdr:col>10</xdr:col>
                    <xdr:colOff>161925</xdr:colOff>
                    <xdr:row>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2" r:id="rId5" name="List Box 1736">
              <controlPr defaultSize="0" autoLine="0" autoPict="0">
                <anchor moveWithCells="1" sizeWithCells="1">
                  <from>
                    <xdr:col>3</xdr:col>
                    <xdr:colOff>57150</xdr:colOff>
                    <xdr:row>2</xdr:row>
                    <xdr:rowOff>123825</xdr:rowOff>
                  </from>
                  <to>
                    <xdr:col>4</xdr:col>
                    <xdr:colOff>28575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0" r:id="rId6" name="List Box 1734">
              <controlPr defaultSize="0" autoLine="0" autoPict="0">
                <anchor moveWithCells="1" sizeWithCells="1">
                  <from>
                    <xdr:col>4</xdr:col>
                    <xdr:colOff>152400</xdr:colOff>
                    <xdr:row>1</xdr:row>
                    <xdr:rowOff>66675</xdr:rowOff>
                  </from>
                  <to>
                    <xdr:col>4</xdr:col>
                    <xdr:colOff>542925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27"/>
  <dimension ref="A1:Q148"/>
  <sheetViews>
    <sheetView workbookViewId="0">
      <selection activeCell="C10" sqref="C10"/>
    </sheetView>
  </sheetViews>
  <sheetFormatPr defaultColWidth="9.140625" defaultRowHeight="12.75"/>
  <cols>
    <col min="1" max="1" width="5.85546875" style="1880" customWidth="1"/>
    <col min="2" max="2" width="8.140625" style="1880" customWidth="1"/>
    <col min="3" max="3" width="5.28515625" style="1880" customWidth="1"/>
    <col min="4" max="4" width="11.28515625" style="1880" customWidth="1"/>
    <col min="5" max="5" width="10.85546875" style="1880" customWidth="1"/>
    <col min="6" max="6" width="23.85546875" style="1880" customWidth="1"/>
    <col min="7" max="7" width="7" style="1880" customWidth="1"/>
    <col min="8" max="8" width="4.7109375" style="1880" customWidth="1"/>
    <col min="9" max="9" width="6.7109375" style="1880" customWidth="1"/>
    <col min="10" max="10" width="6.85546875" style="1880" customWidth="1"/>
    <col min="11" max="11" width="4.42578125" style="1880" customWidth="1"/>
    <col min="12" max="12" width="4.28515625" style="1880" customWidth="1"/>
    <col min="13" max="13" width="5" style="1880" customWidth="1"/>
    <col min="14" max="14" width="3.7109375" style="1880" customWidth="1"/>
    <col min="15" max="15" width="4.28515625" style="1880" customWidth="1"/>
    <col min="16" max="16" width="4.5703125" style="1880" customWidth="1"/>
    <col min="17" max="17" width="5.7109375" style="1880" customWidth="1"/>
    <col min="18" max="18" width="3.28515625" style="1880" customWidth="1"/>
    <col min="19" max="19" width="4" style="1880" customWidth="1"/>
    <col min="20" max="16384" width="9.140625" style="1880"/>
  </cols>
  <sheetData>
    <row r="1" spans="4:17" ht="22.5" customHeight="1" thickBot="1"/>
    <row r="2" spans="4:17">
      <c r="F2" s="1882" t="s">
        <v>1092</v>
      </c>
      <c r="G2" s="1872">
        <f>D12</f>
        <v>20</v>
      </c>
      <c r="H2" s="1463" t="s">
        <v>1545</v>
      </c>
      <c r="I2" s="1463"/>
      <c r="J2" s="1463"/>
      <c r="K2" s="1463"/>
      <c r="L2" s="1463"/>
    </row>
    <row r="3" spans="4:17" ht="14.25">
      <c r="F3" s="1882" t="s">
        <v>1086</v>
      </c>
      <c r="G3" s="1873">
        <f>E12</f>
        <v>3.14</v>
      </c>
      <c r="H3" s="1463" t="s">
        <v>1487</v>
      </c>
      <c r="I3" s="1463"/>
      <c r="J3" s="1463"/>
      <c r="K3" s="1463"/>
      <c r="L3" s="1463"/>
    </row>
    <row r="4" spans="4:17" ht="13.5" thickBot="1">
      <c r="F4" s="1882" t="s">
        <v>1087</v>
      </c>
      <c r="G4" s="1874">
        <f>F12</f>
        <v>2.4649000000000001</v>
      </c>
      <c r="H4" s="1463" t="s">
        <v>1483</v>
      </c>
      <c r="I4" s="1463"/>
      <c r="J4" s="1463"/>
      <c r="K4" s="1463"/>
      <c r="L4" s="1463"/>
    </row>
    <row r="5" spans="4:17">
      <c r="F5" s="1944" t="s">
        <v>1088</v>
      </c>
      <c r="G5" s="1938" t="s">
        <v>1577</v>
      </c>
      <c r="H5" s="1463" t="s">
        <v>1091</v>
      </c>
      <c r="I5" s="1878">
        <f>IF(OR(G4=0,I7=0),0,I8/G4/I7)</f>
        <v>0</v>
      </c>
      <c r="J5" s="1942">
        <v>100</v>
      </c>
      <c r="K5" s="1945"/>
      <c r="L5" s="1945"/>
    </row>
    <row r="6" spans="4:17" ht="14.25">
      <c r="F6" s="1875" t="str">
        <f>F90</f>
        <v>Площадь сечения 3 стержней</v>
      </c>
      <c r="G6" s="1946">
        <f>G3*G5</f>
        <v>9.42</v>
      </c>
      <c r="H6" s="1463" t="s">
        <v>1487</v>
      </c>
      <c r="I6" s="1879">
        <f>G3*I5</f>
        <v>0</v>
      </c>
      <c r="J6" s="1884">
        <f>G3*J5</f>
        <v>314</v>
      </c>
      <c r="K6" s="1947"/>
      <c r="L6" s="1947"/>
    </row>
    <row r="7" spans="4:17">
      <c r="F7" s="1944" t="s">
        <v>1089</v>
      </c>
      <c r="G7" s="1939">
        <v>5</v>
      </c>
      <c r="H7" s="1463" t="s">
        <v>1926</v>
      </c>
      <c r="I7" s="1939"/>
      <c r="J7" s="1885">
        <f>IF(OR(G4=0,J5=0),0,J8/J5/G4)</f>
        <v>4.056959714390036</v>
      </c>
      <c r="K7" s="1948"/>
      <c r="L7" s="1948"/>
    </row>
    <row r="8" spans="4:17" ht="13.5" thickBot="1">
      <c r="F8" s="1882" t="s">
        <v>1090</v>
      </c>
      <c r="G8" s="1876">
        <f>G4*G7*G5</f>
        <v>36.973500000000001</v>
      </c>
      <c r="H8" s="1463" t="s">
        <v>1483</v>
      </c>
      <c r="I8" s="1940"/>
      <c r="J8" s="1941">
        <v>1000</v>
      </c>
      <c r="K8" s="1949"/>
      <c r="L8" s="1949"/>
    </row>
    <row r="9" spans="4:17" ht="13.5" thickBot="1">
      <c r="F9" s="1886" t="s">
        <v>923</v>
      </c>
      <c r="G9" s="1886"/>
    </row>
    <row r="10" spans="4:17" ht="51" customHeight="1">
      <c r="D10" s="1888" t="s">
        <v>922</v>
      </c>
      <c r="E10" s="1889" t="s">
        <v>1493</v>
      </c>
      <c r="F10" s="1889" t="s">
        <v>1687</v>
      </c>
      <c r="G10" s="1890" t="s">
        <v>1579</v>
      </c>
      <c r="H10" s="1890" t="s">
        <v>120</v>
      </c>
      <c r="I10" s="1890" t="s">
        <v>1097</v>
      </c>
      <c r="J10" s="1890" t="s">
        <v>1098</v>
      </c>
      <c r="K10" s="1890" t="s">
        <v>1100</v>
      </c>
      <c r="L10" s="1890" t="s">
        <v>1101</v>
      </c>
      <c r="M10" s="1890" t="s">
        <v>1529</v>
      </c>
      <c r="N10" s="1890" t="s">
        <v>1528</v>
      </c>
      <c r="O10" s="1890" t="s">
        <v>1099</v>
      </c>
      <c r="P10" s="1950" t="s">
        <v>1102</v>
      </c>
      <c r="Q10" s="1951" t="s">
        <v>1962</v>
      </c>
    </row>
    <row r="11" spans="4:17" ht="15" thickBot="1">
      <c r="D11" s="1892" t="s">
        <v>1545</v>
      </c>
      <c r="E11" s="1893" t="s">
        <v>1487</v>
      </c>
      <c r="F11" s="1893" t="s">
        <v>1483</v>
      </c>
      <c r="G11" s="1893" t="s">
        <v>1545</v>
      </c>
      <c r="H11" s="1893" t="s">
        <v>1545</v>
      </c>
      <c r="I11" s="1893" t="s">
        <v>1545</v>
      </c>
      <c r="J11" s="1893" t="s">
        <v>1545</v>
      </c>
      <c r="K11" s="1893" t="s">
        <v>1545</v>
      </c>
      <c r="L11" s="1893" t="s">
        <v>1545</v>
      </c>
      <c r="M11" s="1893" t="s">
        <v>1545</v>
      </c>
      <c r="N11" s="1893" t="s">
        <v>1545</v>
      </c>
      <c r="O11" s="1893" t="s">
        <v>1545</v>
      </c>
      <c r="P11" s="1952" t="s">
        <v>1545</v>
      </c>
      <c r="Q11" s="1953" t="s">
        <v>1103</v>
      </c>
    </row>
    <row r="12" spans="4:17" ht="13.5" thickBot="1">
      <c r="D12" s="1895">
        <f>VLOOKUP($D$100,$C$101:$D$112,2,FALSE)</f>
        <v>20</v>
      </c>
      <c r="E12" s="1895">
        <f>VLOOKUP($D$100,$C$101:$E$112,3,FALSE)</f>
        <v>3.14</v>
      </c>
      <c r="F12" s="1896">
        <f>VLOOKUP($D$100,$C$101:$F$112,4,FALSE)</f>
        <v>2.4649000000000001</v>
      </c>
      <c r="G12" s="1895">
        <f>VLOOKUP($D$100,$C$101:$G$112,5,FALSE)</f>
        <v>18.2</v>
      </c>
      <c r="H12" s="1895">
        <f>VLOOKUP($D$100,$C$101:$H$112,6,FALSE)</f>
        <v>2.5</v>
      </c>
      <c r="I12" s="1895">
        <f>VLOOKUP($D$100,$C$101:$I$112,7,FALSE)</f>
        <v>23.2</v>
      </c>
      <c r="J12" s="1895">
        <f>VLOOKUP($D$100,$C$101:$J$112,8,FALSE)</f>
        <v>2.5</v>
      </c>
      <c r="K12" s="1895">
        <f>VLOOKUP($D$100,$C$101:$K$112,9,FALSE)</f>
        <v>1</v>
      </c>
      <c r="L12" s="1895">
        <f>VLOOKUP($D$100,$C$101:$L$112,10,FALSE)</f>
        <v>1.5</v>
      </c>
      <c r="M12" s="1895">
        <f>VLOOKUP($D$100,$C$101:$M$112,11,FALSE)</f>
        <v>12</v>
      </c>
      <c r="N12" s="1954">
        <f>VLOOKUP($D$100,$C$101:$N$112,12,FALSE)</f>
        <v>1</v>
      </c>
      <c r="O12" s="1895">
        <f>VLOOKUP($D$100,$C$101:$O$112,13,FALSE)</f>
        <v>2</v>
      </c>
      <c r="P12" s="1955">
        <f>VLOOKUP($D$100,$C$101:$P$112,14,FALSE)</f>
        <v>12</v>
      </c>
      <c r="Q12" s="1956">
        <v>50</v>
      </c>
    </row>
    <row r="13" spans="4:17" ht="6.75" customHeight="1" thickBot="1">
      <c r="D13" s="1463"/>
      <c r="E13" s="1463"/>
      <c r="F13" s="1463"/>
      <c r="G13" s="1463"/>
      <c r="H13" s="1463"/>
      <c r="I13" s="1463"/>
      <c r="J13" s="1463"/>
      <c r="K13" s="1463"/>
      <c r="L13" s="1463"/>
    </row>
    <row r="14" spans="4:17">
      <c r="D14" s="1898" t="s">
        <v>1093</v>
      </c>
      <c r="E14" s="1899" t="s">
        <v>1689</v>
      </c>
      <c r="F14" s="1900"/>
      <c r="G14" s="1900"/>
      <c r="H14" s="1901" t="s">
        <v>1691</v>
      </c>
      <c r="I14" s="1902"/>
      <c r="J14" s="1903"/>
      <c r="K14" s="1901"/>
      <c r="L14" s="1901" t="s">
        <v>1693</v>
      </c>
      <c r="M14" s="1904"/>
      <c r="N14" s="1906"/>
    </row>
    <row r="15" spans="4:17" ht="16.5" customHeight="1">
      <c r="D15" s="1907" t="s">
        <v>1094</v>
      </c>
      <c r="E15" s="1908" t="s">
        <v>1692</v>
      </c>
      <c r="F15" s="1909" t="s">
        <v>1688</v>
      </c>
      <c r="G15" s="1910"/>
      <c r="H15" s="1911" t="s">
        <v>1095</v>
      </c>
      <c r="I15" s="1912"/>
      <c r="J15" s="1913"/>
      <c r="K15" s="1913"/>
      <c r="L15" s="1911" t="s">
        <v>1096</v>
      </c>
      <c r="M15" s="1913"/>
      <c r="N15" s="1915"/>
    </row>
    <row r="16" spans="4:17" ht="14.25" thickBot="1">
      <c r="D16" s="1916" t="s">
        <v>1690</v>
      </c>
      <c r="E16" s="1917" t="s">
        <v>1545</v>
      </c>
      <c r="F16" s="1917"/>
      <c r="G16" s="1918" t="s">
        <v>1694</v>
      </c>
      <c r="H16" s="1919"/>
      <c r="I16" s="1920" t="s">
        <v>1695</v>
      </c>
      <c r="J16" s="1919" t="s">
        <v>1694</v>
      </c>
      <c r="K16" s="1919"/>
      <c r="L16" s="1919"/>
      <c r="M16" s="1919" t="s">
        <v>1695</v>
      </c>
      <c r="N16" s="1921"/>
    </row>
    <row r="17" spans="4:14">
      <c r="D17" s="1923" t="str">
        <f>VLOOKUP($D$127+IF($D$127=2,1,IF($D$127=3,2,IF($D$127=4,2,IF($D$127=5,3,IF($D$127&gt;5,4))))),$C$128:$O$138,2,FALSE)</f>
        <v>Ac-II (А300)</v>
      </c>
      <c r="E17" s="1924" t="str">
        <f>VLOOKUP($D$127+IF($D$127=2,1,IF($D$127=3,2,IF($D$127=4,2,IF($D$127=5,3,IF($D$127&gt;5,4))))),$C$128:$O$138,3,FALSE)</f>
        <v>10-32 (36-40)</v>
      </c>
      <c r="F17" s="1925" t="str">
        <f>VLOOKUP($D$127+IF($D$127=2,1,IF($D$127=3,2,IF($D$127=4,2,IF($D$127=5,3,IF($D$127&gt;5,4))))),$C$128:$O$138,4,FALSE)</f>
        <v>10ГТ</v>
      </c>
      <c r="G17" s="1926">
        <f>VLOOKUP($D$127+IF($D$127=2,1,IF($D$127=3,2,IF($D$127=4,2,IF($D$127=5,3,IF($D$127&gt;5,4))))),$C$128:$O$138,5,FALSE)</f>
        <v>295</v>
      </c>
      <c r="H17" s="1926"/>
      <c r="I17" s="1927">
        <f>VLOOKUP($D$127+IF($D$127=2,1,IF($D$127=3,2,IF($D$127=4,2,IF($D$127=5,3,IF($D$127&gt;5,4))))),$C$128:$O$138,7,FALSE)</f>
        <v>30</v>
      </c>
      <c r="J17" s="1957">
        <f>VLOOKUP($D$127+IF($D$127=2,1,IF($D$127=3,2,IF($D$127=4,2,IF($D$127=5,3,IF($D$127&gt;5,4))))),$C$128:$O$138,9,FALSE)</f>
        <v>441</v>
      </c>
      <c r="K17" s="1926"/>
      <c r="L17" s="1926"/>
      <c r="M17" s="1958">
        <f>VLOOKUP($D$127+IF($D$127=2,1,IF($D$127=3,2,IF($D$127=4,2,IF($D$127=5,3,IF($D$127&gt;5,4))))),$C$128:$O$138,11,FALSE)</f>
        <v>45</v>
      </c>
      <c r="N17" s="1927"/>
    </row>
    <row r="18" spans="4:14">
      <c r="D18" s="1928" t="str">
        <f>IF(OR($D$127=1,$D$127=2,$D$127=4,$D$127=5),VLOOKUP($D$127+IF($D$127=1,1,IF($D$127=2,2,IF($D$127=4,3,IF($D$127=5,4,"")))),$C$128:$O$138,2,FALSE),"")</f>
        <v/>
      </c>
      <c r="E18" s="1929" t="str">
        <f>IF(OR($D$127=1,$D$127=2,$D$127=4,$D$127=5),VLOOKUP($D$127+IF($D$127=1,1,IF($D$127=2,2,IF($D$127=4,3,IF($D$127=5,4,"")))),$C$128:$O$138,3,FALSE),"")</f>
        <v/>
      </c>
      <c r="F18" s="1930" t="str">
        <f>IF(OR($D$127=1,$D$127=2,$D$127=4,$D$127=5),VLOOKUP($D$127+IF($D$127=1,1,IF($D$127=2,2,IF($D$127=4,3,IF($D$127=5,4,"")))),$C$128:$O$138,4,FALSE),"")</f>
        <v/>
      </c>
      <c r="G18" s="1910" t="str">
        <f>IF(OR($D$127=1,$D$127=2,$D$127=4,$D$127=5),VLOOKUP($D$127+IF($D$127=1,1,IF($D$127=2,2,IF($D$127=4,3,IF($D$127=5,4,"")))),$C$128:$O$138,5,FALSE),"")</f>
        <v/>
      </c>
      <c r="H18" s="1913"/>
      <c r="I18" s="1912" t="str">
        <f>IF(OR($D$127=1,$D$127=2,$D$127=4,$D$127=5),VLOOKUP($D$127+IF($D$127=1,1,IF($D$127=2,2,IF($D$127=4,3,IF($D$127=5,4,"")))),$C$128:$O$138,7,FALSE),"")</f>
        <v/>
      </c>
      <c r="J18" s="1959" t="str">
        <f>IF(OR($D$127=1,$D$127=2,$D$127=4,$D$127=5),VLOOKUP($D$127+IF($D$127=1,1,IF($D$127=2,2,IF($D$127=4,3,IF($D$127=5,4,"")))),$C$128:$M$138,9,FALSE),"")</f>
        <v/>
      </c>
      <c r="K18" s="1913"/>
      <c r="L18" s="1913"/>
      <c r="M18" s="1959" t="str">
        <f>IF(OR($D$127=1,$D$127=2,$D$127=4,$D$127=5),VLOOKUP($D$127+IF($D$127=1,1,IF($D$127=2,2,IF($D$127=4,3,IF($D$127=5,4,"")))),$C$128:$M$138,11,FALSE),"")</f>
        <v/>
      </c>
      <c r="N18" s="1912"/>
    </row>
    <row r="89" spans="6:6" hidden="1"/>
    <row r="90" spans="6:6" hidden="1">
      <c r="F90" s="1880" t="str">
        <f>REPLACE(F3,17,9,G5)&amp;" стержн"&amp; IF(OR(RIGHT(G5,2)="11",RIGHT(G5)&lt;&gt;"1"),"ей","я")</f>
        <v>Площадь сечения 3 стержней</v>
      </c>
    </row>
    <row r="91" spans="6:6" hidden="1"/>
    <row r="92" spans="6:6" hidden="1"/>
    <row r="93" spans="6:6" hidden="1"/>
    <row r="94" spans="6:6" hidden="1"/>
    <row r="95" spans="6:6" hidden="1"/>
    <row r="96" spans="6:6" hidden="1"/>
    <row r="97" spans="3:17" hidden="1"/>
    <row r="98" spans="3:17" hidden="1"/>
    <row r="99" spans="3:17" hidden="1"/>
    <row r="100" spans="3:17" hidden="1">
      <c r="D100" s="1960">
        <v>6</v>
      </c>
    </row>
    <row r="101" spans="3:17" hidden="1">
      <c r="C101" s="1880">
        <v>1</v>
      </c>
      <c r="D101" s="1880">
        <v>10</v>
      </c>
      <c r="E101" s="1931">
        <v>0.78500000000000003</v>
      </c>
      <c r="F101" s="1931">
        <v>0.61622500000000002</v>
      </c>
      <c r="G101" s="1880">
        <v>8.6999999999999993</v>
      </c>
      <c r="H101" s="1880">
        <v>1.6</v>
      </c>
      <c r="I101" s="1880">
        <v>11.9</v>
      </c>
      <c r="J101" s="1880">
        <v>1.6</v>
      </c>
      <c r="K101" s="1880">
        <v>0.6</v>
      </c>
      <c r="L101" s="1880">
        <v>1</v>
      </c>
      <c r="M101" s="1880">
        <v>10</v>
      </c>
      <c r="N101" s="1880">
        <v>0.7</v>
      </c>
      <c r="O101" s="1880">
        <v>1.5</v>
      </c>
      <c r="P101" s="1880">
        <v>11</v>
      </c>
      <c r="Q101" s="1880">
        <v>50</v>
      </c>
    </row>
    <row r="102" spans="3:17" hidden="1">
      <c r="C102" s="1880">
        <v>2</v>
      </c>
      <c r="D102" s="1880">
        <v>12</v>
      </c>
      <c r="E102" s="1931">
        <v>1.131</v>
      </c>
      <c r="F102" s="1931">
        <v>0.88783500000000004</v>
      </c>
      <c r="G102" s="1880">
        <v>10.6</v>
      </c>
      <c r="H102" s="1880">
        <v>1.6</v>
      </c>
      <c r="I102" s="1880">
        <v>13.8</v>
      </c>
      <c r="J102" s="1880">
        <v>1.6</v>
      </c>
      <c r="K102" s="1880">
        <v>0.6</v>
      </c>
      <c r="L102" s="1880">
        <v>1</v>
      </c>
      <c r="M102" s="1880">
        <v>10</v>
      </c>
      <c r="N102" s="1880">
        <v>0.7</v>
      </c>
      <c r="O102" s="1880">
        <v>2</v>
      </c>
      <c r="P102" s="1880">
        <v>11</v>
      </c>
      <c r="Q102" s="1880">
        <v>50</v>
      </c>
    </row>
    <row r="103" spans="3:17" hidden="1">
      <c r="C103" s="1880">
        <v>3</v>
      </c>
      <c r="D103" s="1880">
        <v>14</v>
      </c>
      <c r="E103" s="1931">
        <v>1.54</v>
      </c>
      <c r="F103" s="1931">
        <v>1.2089000000000001</v>
      </c>
      <c r="G103" s="1880">
        <v>12.5</v>
      </c>
      <c r="H103" s="1880">
        <v>2</v>
      </c>
      <c r="I103" s="1880">
        <v>16.5</v>
      </c>
      <c r="J103" s="1880">
        <v>2</v>
      </c>
      <c r="K103" s="1880">
        <v>0.8</v>
      </c>
      <c r="L103" s="1880">
        <v>1.2</v>
      </c>
      <c r="M103" s="1880">
        <v>12</v>
      </c>
      <c r="N103" s="1880">
        <v>1</v>
      </c>
      <c r="O103" s="1880">
        <v>2</v>
      </c>
      <c r="P103" s="1880">
        <v>12</v>
      </c>
      <c r="Q103" s="1880">
        <v>50</v>
      </c>
    </row>
    <row r="104" spans="3:17" hidden="1">
      <c r="C104" s="1880">
        <v>4</v>
      </c>
      <c r="D104" s="1880">
        <v>16</v>
      </c>
      <c r="E104" s="1931">
        <v>2.0099999999999998</v>
      </c>
      <c r="F104" s="1931">
        <v>1.57785</v>
      </c>
      <c r="G104" s="1880">
        <v>14.2</v>
      </c>
      <c r="H104" s="1880">
        <v>2.5</v>
      </c>
      <c r="I104" s="1880">
        <v>19.2</v>
      </c>
      <c r="J104" s="1880">
        <v>2.5</v>
      </c>
      <c r="K104" s="1880">
        <v>1</v>
      </c>
      <c r="L104" s="1880">
        <v>1.5</v>
      </c>
      <c r="M104" s="1880">
        <v>12</v>
      </c>
      <c r="N104" s="1880">
        <v>1</v>
      </c>
      <c r="O104" s="1880">
        <v>2</v>
      </c>
      <c r="P104" s="1880">
        <v>12</v>
      </c>
      <c r="Q104" s="1880">
        <v>50</v>
      </c>
    </row>
    <row r="105" spans="3:17" hidden="1">
      <c r="C105" s="1880">
        <v>5</v>
      </c>
      <c r="D105" s="1880">
        <v>18</v>
      </c>
      <c r="E105" s="1931">
        <v>2.54</v>
      </c>
      <c r="F105" s="1931">
        <v>1.9939</v>
      </c>
      <c r="G105" s="1880">
        <v>16.2</v>
      </c>
      <c r="H105" s="1880">
        <v>2.5</v>
      </c>
      <c r="I105" s="1880">
        <v>21.2</v>
      </c>
      <c r="J105" s="1880">
        <v>2.5</v>
      </c>
      <c r="K105" s="1880">
        <v>1</v>
      </c>
      <c r="L105" s="1880">
        <v>1.5</v>
      </c>
      <c r="M105" s="1880">
        <v>12</v>
      </c>
      <c r="N105" s="1880">
        <v>1</v>
      </c>
      <c r="O105" s="1880">
        <v>2</v>
      </c>
      <c r="P105" s="1880">
        <v>12</v>
      </c>
      <c r="Q105" s="1880">
        <v>50</v>
      </c>
    </row>
    <row r="106" spans="3:17" hidden="1">
      <c r="C106" s="1880">
        <v>6</v>
      </c>
      <c r="D106" s="1880">
        <v>20</v>
      </c>
      <c r="E106" s="1931">
        <v>3.14</v>
      </c>
      <c r="F106" s="1931">
        <v>2.4649000000000001</v>
      </c>
      <c r="G106" s="1880">
        <v>18.2</v>
      </c>
      <c r="H106" s="1880">
        <v>2.5</v>
      </c>
      <c r="I106" s="1880">
        <v>23.2</v>
      </c>
      <c r="J106" s="1880">
        <v>2.5</v>
      </c>
      <c r="K106" s="1880">
        <v>1</v>
      </c>
      <c r="L106" s="1880">
        <v>1.5</v>
      </c>
      <c r="M106" s="1880">
        <v>12</v>
      </c>
      <c r="N106" s="1880">
        <v>1</v>
      </c>
      <c r="O106" s="1880">
        <v>2</v>
      </c>
      <c r="P106" s="1880">
        <v>12</v>
      </c>
      <c r="Q106" s="1880">
        <v>50</v>
      </c>
    </row>
    <row r="107" spans="3:17" hidden="1">
      <c r="C107" s="1880">
        <v>7</v>
      </c>
      <c r="D107" s="1880">
        <v>22</v>
      </c>
      <c r="E107" s="1931">
        <v>3.8</v>
      </c>
      <c r="F107" s="1931">
        <v>2.9830000000000001</v>
      </c>
      <c r="G107" s="1880">
        <v>20.3</v>
      </c>
      <c r="H107" s="1880">
        <v>2.5</v>
      </c>
      <c r="I107" s="1880">
        <v>25.3</v>
      </c>
      <c r="J107" s="1880">
        <v>2.5</v>
      </c>
      <c r="K107" s="1880">
        <v>1</v>
      </c>
      <c r="L107" s="1880">
        <v>1.5</v>
      </c>
      <c r="M107" s="1880">
        <v>12</v>
      </c>
      <c r="N107" s="1880">
        <v>1</v>
      </c>
      <c r="O107" s="1880">
        <v>2</v>
      </c>
      <c r="P107" s="1880">
        <v>12</v>
      </c>
      <c r="Q107" s="1880">
        <v>50</v>
      </c>
    </row>
    <row r="108" spans="3:17" hidden="1">
      <c r="C108" s="1880">
        <v>8</v>
      </c>
      <c r="D108" s="1880">
        <v>25</v>
      </c>
      <c r="E108" s="1931">
        <v>4.91</v>
      </c>
      <c r="F108" s="1931">
        <v>3.8543500000000002</v>
      </c>
      <c r="G108" s="1880">
        <v>23.3</v>
      </c>
      <c r="H108" s="1880">
        <v>2.5</v>
      </c>
      <c r="I108" s="1880">
        <v>28.3</v>
      </c>
      <c r="J108" s="1880">
        <v>2.5</v>
      </c>
      <c r="K108" s="1880">
        <v>1</v>
      </c>
      <c r="L108" s="1880">
        <v>1.5</v>
      </c>
      <c r="M108" s="1880">
        <v>14</v>
      </c>
      <c r="N108" s="1880">
        <v>1.2</v>
      </c>
      <c r="O108" s="1880">
        <v>2</v>
      </c>
      <c r="P108" s="1880">
        <v>14</v>
      </c>
      <c r="Q108" s="1880">
        <v>50</v>
      </c>
    </row>
    <row r="109" spans="3:17" hidden="1">
      <c r="C109" s="1880">
        <v>9</v>
      </c>
      <c r="D109" s="1880">
        <v>28</v>
      </c>
      <c r="E109" s="1931">
        <v>6.16</v>
      </c>
      <c r="F109" s="1931">
        <v>4.8356000000000003</v>
      </c>
      <c r="G109" s="1880">
        <v>25.9</v>
      </c>
      <c r="H109" s="1880">
        <v>3</v>
      </c>
      <c r="I109" s="1880">
        <v>31.9</v>
      </c>
      <c r="J109" s="1880">
        <v>3</v>
      </c>
      <c r="K109" s="1880">
        <v>1.2</v>
      </c>
      <c r="L109" s="1880">
        <v>1.8</v>
      </c>
      <c r="M109" s="1880">
        <v>14</v>
      </c>
      <c r="N109" s="1880">
        <v>1.2</v>
      </c>
      <c r="O109" s="1880">
        <v>2.5</v>
      </c>
      <c r="P109" s="1880">
        <v>14</v>
      </c>
      <c r="Q109" s="1880">
        <v>50</v>
      </c>
    </row>
    <row r="110" spans="3:17" hidden="1">
      <c r="C110" s="1880">
        <v>10</v>
      </c>
      <c r="D110" s="1880">
        <v>32</v>
      </c>
      <c r="E110" s="1931">
        <v>8.0399999999999991</v>
      </c>
      <c r="F110" s="1931">
        <v>6.3113999999999999</v>
      </c>
      <c r="G110" s="1880">
        <v>29.8</v>
      </c>
      <c r="H110" s="1880">
        <v>3.2</v>
      </c>
      <c r="I110" s="1880">
        <v>36.200000000000003</v>
      </c>
      <c r="J110" s="1880">
        <v>3.2</v>
      </c>
      <c r="K110" s="1880">
        <v>1.2</v>
      </c>
      <c r="L110" s="1880">
        <v>2</v>
      </c>
      <c r="M110" s="1880">
        <v>16</v>
      </c>
      <c r="N110" s="1880">
        <v>1.5</v>
      </c>
      <c r="O110" s="1880">
        <v>3</v>
      </c>
      <c r="P110" s="1880">
        <v>14</v>
      </c>
      <c r="Q110" s="1880">
        <v>50</v>
      </c>
    </row>
    <row r="111" spans="3:17" hidden="1">
      <c r="C111" s="1880">
        <v>11</v>
      </c>
      <c r="D111" s="1880">
        <v>36</v>
      </c>
      <c r="E111" s="1931">
        <v>10.18</v>
      </c>
      <c r="F111" s="1931">
        <v>7.9912999999999998</v>
      </c>
      <c r="G111" s="1880">
        <v>33.700000000000003</v>
      </c>
      <c r="H111" s="1880">
        <v>3.5</v>
      </c>
      <c r="I111" s="1880">
        <v>40.700000000000003</v>
      </c>
      <c r="J111" s="1880">
        <v>3.5</v>
      </c>
      <c r="K111" s="1880">
        <v>1.5</v>
      </c>
      <c r="L111" s="1880">
        <v>2</v>
      </c>
      <c r="M111" s="1880">
        <v>18</v>
      </c>
      <c r="N111" s="1880">
        <v>1.5</v>
      </c>
      <c r="O111" s="1880">
        <v>3</v>
      </c>
      <c r="P111" s="1880">
        <v>19</v>
      </c>
      <c r="Q111" s="1880">
        <v>50</v>
      </c>
    </row>
    <row r="112" spans="3:17" hidden="1">
      <c r="C112" s="1880">
        <v>12</v>
      </c>
      <c r="D112" s="1880">
        <v>40</v>
      </c>
      <c r="E112" s="1931">
        <v>12.57</v>
      </c>
      <c r="F112" s="1931">
        <v>9.8674499999999998</v>
      </c>
      <c r="G112" s="1880">
        <v>37.6</v>
      </c>
      <c r="H112" s="1880">
        <v>3.5</v>
      </c>
      <c r="I112" s="1880">
        <v>44.6</v>
      </c>
      <c r="J112" s="1880">
        <v>3.5</v>
      </c>
      <c r="K112" s="1880">
        <v>1.5</v>
      </c>
      <c r="L112" s="1880">
        <v>2</v>
      </c>
      <c r="M112" s="1880">
        <v>18</v>
      </c>
      <c r="N112" s="1880">
        <v>1.5</v>
      </c>
      <c r="O112" s="1880">
        <v>3</v>
      </c>
      <c r="P112" s="1880">
        <v>19</v>
      </c>
      <c r="Q112" s="1880">
        <v>50</v>
      </c>
    </row>
    <row r="113" spans="1:13" hidden="1"/>
    <row r="114" spans="1:13" hidden="1"/>
    <row r="115" spans="1:13" hidden="1"/>
    <row r="116" spans="1:13" hidden="1"/>
    <row r="117" spans="1:13" hidden="1"/>
    <row r="118" spans="1:13" hidden="1"/>
    <row r="119" spans="1:13" hidden="1"/>
    <row r="120" spans="1:13" hidden="1"/>
    <row r="121" spans="1:13" hidden="1"/>
    <row r="122" spans="1:13" hidden="1"/>
    <row r="123" spans="1:13" hidden="1"/>
    <row r="124" spans="1:13" hidden="1"/>
    <row r="125" spans="1:13" hidden="1"/>
    <row r="126" spans="1:13" hidden="1"/>
    <row r="127" spans="1:13" hidden="1">
      <c r="D127" s="1027">
        <v>3</v>
      </c>
      <c r="E127" s="1463"/>
      <c r="F127" s="1463"/>
      <c r="G127" s="1463"/>
      <c r="H127" s="1463"/>
      <c r="I127" s="1463"/>
      <c r="J127" s="1463"/>
    </row>
    <row r="128" spans="1:13" ht="38.25" hidden="1">
      <c r="A128" s="1880">
        <v>1</v>
      </c>
      <c r="B128" s="1463" t="s">
        <v>1514</v>
      </c>
      <c r="C128" s="1880">
        <v>1</v>
      </c>
      <c r="D128" s="1463" t="s">
        <v>1514</v>
      </c>
      <c r="E128" s="1933" t="s">
        <v>1494</v>
      </c>
      <c r="F128" s="1934" t="s">
        <v>1496</v>
      </c>
      <c r="G128" s="1463">
        <v>235</v>
      </c>
      <c r="H128" s="1463"/>
      <c r="I128" s="1463">
        <v>24</v>
      </c>
      <c r="J128" s="1463"/>
      <c r="K128" s="1880">
        <v>373</v>
      </c>
      <c r="M128" s="1880">
        <v>38</v>
      </c>
    </row>
    <row r="129" spans="1:13" hidden="1">
      <c r="A129" s="1880">
        <v>2</v>
      </c>
      <c r="B129" s="1463" t="s">
        <v>1515</v>
      </c>
      <c r="C129" s="1880">
        <v>2</v>
      </c>
      <c r="D129" s="1463" t="s">
        <v>1514</v>
      </c>
      <c r="E129" s="1933" t="s">
        <v>1495</v>
      </c>
      <c r="F129" s="1463" t="s">
        <v>1497</v>
      </c>
      <c r="G129" s="1463">
        <v>235</v>
      </c>
      <c r="H129" s="1463"/>
      <c r="I129" s="1463">
        <v>24</v>
      </c>
      <c r="J129" s="1463"/>
      <c r="K129" s="1880">
        <v>373</v>
      </c>
      <c r="M129" s="1880">
        <v>38</v>
      </c>
    </row>
    <row r="130" spans="1:13" hidden="1">
      <c r="A130" s="1880">
        <v>3</v>
      </c>
      <c r="B130" s="1463" t="s">
        <v>1516</v>
      </c>
      <c r="C130" s="1880">
        <v>3</v>
      </c>
      <c r="D130" s="1463" t="s">
        <v>1515</v>
      </c>
      <c r="E130" s="1933" t="s">
        <v>1498</v>
      </c>
      <c r="F130" s="1463" t="s">
        <v>1499</v>
      </c>
      <c r="G130" s="1463">
        <v>295</v>
      </c>
      <c r="H130" s="1463"/>
      <c r="I130" s="1463">
        <v>30</v>
      </c>
      <c r="J130" s="1463"/>
      <c r="K130" s="1880">
        <v>490</v>
      </c>
      <c r="M130" s="1880">
        <v>50</v>
      </c>
    </row>
    <row r="131" spans="1:13" hidden="1">
      <c r="A131" s="1880">
        <v>4</v>
      </c>
      <c r="B131" s="1463" t="s">
        <v>1517</v>
      </c>
      <c r="C131" s="1880">
        <v>4</v>
      </c>
      <c r="D131" s="1463" t="s">
        <v>1515</v>
      </c>
      <c r="E131" s="1933" t="s">
        <v>1500</v>
      </c>
      <c r="F131" s="1463" t="s">
        <v>1501</v>
      </c>
      <c r="G131" s="1463">
        <v>295</v>
      </c>
      <c r="H131" s="1463"/>
      <c r="I131" s="1463">
        <v>30</v>
      </c>
      <c r="J131" s="1463"/>
      <c r="K131" s="1880">
        <v>490</v>
      </c>
      <c r="M131" s="1880">
        <v>50</v>
      </c>
    </row>
    <row r="132" spans="1:13" hidden="1">
      <c r="A132" s="1880">
        <v>5</v>
      </c>
      <c r="B132" s="1463" t="s">
        <v>1518</v>
      </c>
      <c r="C132" s="1880">
        <v>5</v>
      </c>
      <c r="D132" s="1463" t="s">
        <v>1516</v>
      </c>
      <c r="E132" s="1935" t="s">
        <v>1502</v>
      </c>
      <c r="F132" s="1463" t="s">
        <v>1503</v>
      </c>
      <c r="G132" s="1463">
        <v>295</v>
      </c>
      <c r="H132" s="1463"/>
      <c r="I132" s="1463">
        <v>30</v>
      </c>
      <c r="J132" s="1463"/>
      <c r="K132" s="1880">
        <v>441</v>
      </c>
      <c r="M132" s="1880">
        <v>45</v>
      </c>
    </row>
    <row r="133" spans="1:13" hidden="1">
      <c r="A133" s="1880">
        <v>6</v>
      </c>
      <c r="B133" s="1463" t="s">
        <v>1519</v>
      </c>
      <c r="C133" s="1880">
        <v>6</v>
      </c>
      <c r="D133" s="1463" t="s">
        <v>1517</v>
      </c>
      <c r="E133" s="1933" t="s">
        <v>1494</v>
      </c>
      <c r="F133" s="1463" t="s">
        <v>1505</v>
      </c>
      <c r="G133" s="1463">
        <v>390</v>
      </c>
      <c r="H133" s="1463"/>
      <c r="I133" s="1463">
        <v>40</v>
      </c>
      <c r="J133" s="1463"/>
      <c r="K133" s="1880">
        <v>590</v>
      </c>
      <c r="M133" s="1880">
        <v>60</v>
      </c>
    </row>
    <row r="134" spans="1:13" hidden="1">
      <c r="A134" s="1880">
        <v>7</v>
      </c>
      <c r="B134" s="1463" t="s">
        <v>1520</v>
      </c>
      <c r="C134" s="1880">
        <v>7</v>
      </c>
      <c r="D134" s="1463" t="s">
        <v>1517</v>
      </c>
      <c r="E134" s="1933" t="s">
        <v>1504</v>
      </c>
      <c r="F134" s="1463" t="s">
        <v>1506</v>
      </c>
      <c r="G134" s="1463">
        <v>390</v>
      </c>
      <c r="H134" s="1463"/>
      <c r="I134" s="1463">
        <v>40</v>
      </c>
      <c r="J134" s="1463"/>
      <c r="K134" s="1880">
        <v>590</v>
      </c>
      <c r="M134" s="1880">
        <v>60</v>
      </c>
    </row>
    <row r="135" spans="1:13" hidden="1">
      <c r="C135" s="1880">
        <v>8</v>
      </c>
      <c r="D135" s="1463" t="s">
        <v>1518</v>
      </c>
      <c r="E135" s="1933" t="s">
        <v>1507</v>
      </c>
      <c r="F135" s="1463" t="s">
        <v>1508</v>
      </c>
      <c r="G135" s="1463">
        <v>590</v>
      </c>
      <c r="H135" s="1463"/>
      <c r="I135" s="1463">
        <v>60</v>
      </c>
      <c r="J135" s="1463"/>
      <c r="K135" s="1880">
        <v>883</v>
      </c>
      <c r="M135" s="1880">
        <v>90</v>
      </c>
    </row>
    <row r="136" spans="1:13" hidden="1">
      <c r="C136" s="1880">
        <v>9</v>
      </c>
      <c r="D136" s="1463" t="s">
        <v>1518</v>
      </c>
      <c r="E136" s="1936" t="s">
        <v>1502</v>
      </c>
      <c r="F136" s="1463" t="s">
        <v>1509</v>
      </c>
      <c r="G136" s="1463">
        <v>590</v>
      </c>
      <c r="H136" s="1463"/>
      <c r="I136" s="1463">
        <v>60</v>
      </c>
      <c r="J136" s="1463"/>
      <c r="K136" s="1880">
        <v>883</v>
      </c>
      <c r="M136" s="1880">
        <v>90</v>
      </c>
    </row>
    <row r="137" spans="1:13" ht="25.5" hidden="1">
      <c r="C137" s="1880">
        <v>10</v>
      </c>
      <c r="D137" s="1463" t="s">
        <v>1519</v>
      </c>
      <c r="E137" s="1933" t="s">
        <v>1510</v>
      </c>
      <c r="F137" s="1463" t="s">
        <v>1511</v>
      </c>
      <c r="G137" s="1463">
        <v>785</v>
      </c>
      <c r="H137" s="1463"/>
      <c r="I137" s="1463">
        <v>80</v>
      </c>
      <c r="J137" s="1463"/>
      <c r="K137" s="1880">
        <v>1030</v>
      </c>
      <c r="M137" s="1880">
        <v>105</v>
      </c>
    </row>
    <row r="138" spans="1:13" ht="24" hidden="1">
      <c r="C138" s="1880">
        <v>11</v>
      </c>
      <c r="D138" s="1463" t="s">
        <v>1520</v>
      </c>
      <c r="E138" s="1933" t="s">
        <v>1512</v>
      </c>
      <c r="F138" s="1937" t="s">
        <v>1513</v>
      </c>
      <c r="G138" s="1463">
        <v>980</v>
      </c>
      <c r="H138" s="1463"/>
      <c r="I138" s="1463">
        <v>100</v>
      </c>
      <c r="J138" s="1463"/>
      <c r="K138" s="1880">
        <v>1230</v>
      </c>
      <c r="M138" s="1880">
        <v>125</v>
      </c>
    </row>
    <row r="139" spans="1:13" hidden="1"/>
    <row r="140" spans="1:13" hidden="1"/>
    <row r="141" spans="1:13" hidden="1"/>
    <row r="142" spans="1:13" hidden="1"/>
    <row r="143" spans="1:13" hidden="1"/>
    <row r="144" spans="1:13" hidden="1"/>
    <row r="145" hidden="1"/>
    <row r="146" hidden="1"/>
    <row r="147" hidden="1"/>
    <row r="148" hidden="1"/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61" r:id="rId3" name="Button 617">
              <controlPr defaultSize="0" print="0" autoFill="0" autoLine="0" autoPict="0" macro="[0]!Вначало">
                <anchor moveWithCells="1">
                  <from>
                    <xdr:col>5</xdr:col>
                    <xdr:colOff>314325</xdr:colOff>
                    <xdr:row>0</xdr:row>
                    <xdr:rowOff>57150</xdr:rowOff>
                  </from>
                  <to>
                    <xdr:col>9</xdr:col>
                    <xdr:colOff>57150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3" r:id="rId4" name="List Box 619">
              <controlPr defaultSize="0" autoLine="0" autoPict="0">
                <anchor moveWithCells="1" siz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4</xdr:col>
                    <xdr:colOff>28575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2" r:id="rId5" name="List Box 618">
              <controlPr defaultSize="0" print="0" autoLine="0" autoPict="0">
                <anchor moveWithCells="1" sizeWithCells="1">
                  <from>
                    <xdr:col>4</xdr:col>
                    <xdr:colOff>133350</xdr:colOff>
                    <xdr:row>1</xdr:row>
                    <xdr:rowOff>57150</xdr:rowOff>
                  </from>
                  <to>
                    <xdr:col>4</xdr:col>
                    <xdr:colOff>476250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23"/>
  <dimension ref="A1:P37"/>
  <sheetViews>
    <sheetView workbookViewId="0">
      <selection activeCell="A12" sqref="A12"/>
    </sheetView>
  </sheetViews>
  <sheetFormatPr defaultRowHeight="12.75"/>
  <cols>
    <col min="1" max="1" width="3.5703125" customWidth="1"/>
    <col min="2" max="2" width="3.42578125" customWidth="1"/>
    <col min="3" max="3" width="10.42578125" style="69" customWidth="1"/>
    <col min="4" max="4" width="1.85546875" customWidth="1"/>
    <col min="5" max="5" width="6.7109375" customWidth="1"/>
    <col min="6" max="6" width="1.7109375" style="58" customWidth="1"/>
    <col min="7" max="7" width="3" style="1" customWidth="1"/>
    <col min="8" max="8" width="1.7109375" style="1" customWidth="1"/>
    <col min="9" max="9" width="54.85546875" style="59" customWidth="1"/>
    <col min="10" max="10" width="4.140625" style="34" customWidth="1"/>
    <col min="11" max="11" width="2.140625" customWidth="1"/>
    <col min="13" max="13" width="27.140625" customWidth="1"/>
    <col min="14" max="14" width="7" style="1" customWidth="1"/>
    <col min="15" max="16" width="9.140625" style="1"/>
  </cols>
  <sheetData>
    <row r="1" spans="2:16">
      <c r="C1" s="1978"/>
    </row>
    <row r="2" spans="2:16" ht="13.5" thickBot="1">
      <c r="N2" s="1" t="s">
        <v>1483</v>
      </c>
      <c r="O2" s="1" t="s">
        <v>1549</v>
      </c>
    </row>
    <row r="3" spans="2:16" s="1" customFormat="1" ht="13.5" thickBot="1">
      <c r="C3" s="1967" t="s">
        <v>573</v>
      </c>
      <c r="D3" s="61"/>
      <c r="E3" s="62" t="s">
        <v>843</v>
      </c>
      <c r="F3" s="63"/>
      <c r="G3" s="64"/>
      <c r="H3" s="65"/>
      <c r="I3" s="66" t="s">
        <v>844</v>
      </c>
      <c r="J3" s="67"/>
      <c r="N3" s="65" t="s">
        <v>845</v>
      </c>
      <c r="O3" s="71" t="s">
        <v>846</v>
      </c>
      <c r="P3" s="64" t="s">
        <v>847</v>
      </c>
    </row>
    <row r="4" spans="2:16" s="1020" customFormat="1">
      <c r="B4" s="1963"/>
      <c r="C4" s="1961">
        <v>1</v>
      </c>
      <c r="D4" s="121"/>
      <c r="E4" s="122">
        <v>8509</v>
      </c>
      <c r="F4" s="123" t="s">
        <v>860</v>
      </c>
      <c r="G4" s="124">
        <v>86</v>
      </c>
      <c r="H4" s="125"/>
      <c r="I4" s="126" t="s">
        <v>861</v>
      </c>
      <c r="J4" s="1019"/>
      <c r="N4" s="1968">
        <v>85</v>
      </c>
      <c r="O4" s="1968">
        <v>173</v>
      </c>
      <c r="P4" s="1972">
        <f>N4/(O4/100)^2</f>
        <v>28.400547963513649</v>
      </c>
    </row>
    <row r="5" spans="2:16" ht="13.5" thickBot="1">
      <c r="B5" s="1963"/>
      <c r="C5" s="245">
        <v>2</v>
      </c>
      <c r="D5" s="127"/>
      <c r="E5" s="128">
        <v>8510</v>
      </c>
      <c r="F5" s="129" t="s">
        <v>860</v>
      </c>
      <c r="G5" s="130">
        <v>86</v>
      </c>
      <c r="H5" s="125"/>
      <c r="I5" s="126" t="s">
        <v>862</v>
      </c>
      <c r="J5" s="36"/>
      <c r="P5" s="37"/>
    </row>
    <row r="6" spans="2:16" ht="23.25" thickBot="1">
      <c r="B6" s="1963"/>
      <c r="C6" s="1962">
        <v>3.4</v>
      </c>
      <c r="D6" s="131"/>
      <c r="E6" s="132">
        <v>8240</v>
      </c>
      <c r="F6" s="133" t="s">
        <v>860</v>
      </c>
      <c r="G6" s="134">
        <v>89</v>
      </c>
      <c r="H6" s="125"/>
      <c r="I6" s="135" t="s">
        <v>867</v>
      </c>
      <c r="J6" s="36"/>
      <c r="M6" s="69" t="s">
        <v>864</v>
      </c>
      <c r="N6" s="1970">
        <f>P6*(O6/100)^2</f>
        <v>74.523209999999992</v>
      </c>
      <c r="O6" s="1463">
        <f>O4</f>
        <v>173</v>
      </c>
      <c r="P6" s="1971">
        <v>24.9</v>
      </c>
    </row>
    <row r="7" spans="2:16">
      <c r="B7" s="1963"/>
      <c r="C7" s="245">
        <v>5.1100000000000003</v>
      </c>
      <c r="D7" s="127"/>
      <c r="E7" s="128">
        <v>19425</v>
      </c>
      <c r="F7" s="129" t="s">
        <v>860</v>
      </c>
      <c r="G7" s="130">
        <v>74</v>
      </c>
      <c r="H7" s="125"/>
      <c r="I7" s="126" t="s">
        <v>865</v>
      </c>
      <c r="J7" s="36"/>
      <c r="M7" s="69"/>
      <c r="P7" s="37"/>
    </row>
    <row r="8" spans="2:16">
      <c r="B8" s="1964"/>
      <c r="C8" s="245">
        <v>6</v>
      </c>
      <c r="D8" s="127"/>
      <c r="E8" s="128">
        <v>8239</v>
      </c>
      <c r="F8" s="129" t="s">
        <v>860</v>
      </c>
      <c r="G8" s="130">
        <v>89</v>
      </c>
      <c r="H8" s="125"/>
      <c r="I8" s="126" t="s">
        <v>863</v>
      </c>
      <c r="J8" s="36"/>
    </row>
    <row r="9" spans="2:16" ht="33.75">
      <c r="B9" s="1964"/>
      <c r="C9" s="1962" t="s">
        <v>568</v>
      </c>
      <c r="D9" s="131"/>
      <c r="E9" s="132">
        <v>26020</v>
      </c>
      <c r="F9" s="133" t="s">
        <v>860</v>
      </c>
      <c r="G9" s="134">
        <v>83</v>
      </c>
      <c r="H9" s="125"/>
      <c r="I9" s="135" t="s">
        <v>866</v>
      </c>
      <c r="J9" s="36"/>
      <c r="N9" s="1969" t="str">
        <f>IF(P4&lt;20,"сниженный вес-Вы недоедаете",IF(AND(P4&gt;20,P4&lt;24.9),"нормальный вес-так держать!",IF(AND(P4&gt;25,P4&lt;29.9),"избыточный вес-перебор,нужна диета",IF(AND(P4&gt;30,P4&lt;39.9),"ожирение-риск расположений умеренный,но без врача не обойтись",IF(P4&gt;40,"выраженное ожирение-риск развития осложнений высок.Необходимо немедленное снижение массы тела!")))))</f>
        <v>избыточный вес-перебор,нужна диета</v>
      </c>
    </row>
    <row r="10" spans="2:16">
      <c r="B10" s="1964"/>
      <c r="C10" s="245">
        <v>12</v>
      </c>
      <c r="D10" s="127"/>
      <c r="E10" s="128">
        <v>19903</v>
      </c>
      <c r="F10" s="129" t="s">
        <v>860</v>
      </c>
      <c r="G10" s="130">
        <v>74</v>
      </c>
      <c r="H10" s="125"/>
      <c r="I10" s="126" t="s">
        <v>868</v>
      </c>
      <c r="J10" s="36"/>
      <c r="N10" s="70"/>
    </row>
    <row r="11" spans="2:16">
      <c r="B11" s="1963"/>
      <c r="C11" s="245">
        <v>12</v>
      </c>
      <c r="D11" s="127"/>
      <c r="E11" s="128">
        <v>19904</v>
      </c>
      <c r="F11" s="129" t="s">
        <v>860</v>
      </c>
      <c r="G11" s="130">
        <v>90</v>
      </c>
      <c r="H11" s="125"/>
      <c r="I11" s="126" t="s">
        <v>869</v>
      </c>
      <c r="J11" s="36"/>
    </row>
    <row r="12" spans="2:16" ht="22.5">
      <c r="B12" s="1963"/>
      <c r="C12" s="245">
        <v>13</v>
      </c>
      <c r="D12" s="127"/>
      <c r="E12" s="128">
        <v>82</v>
      </c>
      <c r="F12" s="129" t="s">
        <v>860</v>
      </c>
      <c r="G12" s="130">
        <v>70</v>
      </c>
      <c r="H12" s="125"/>
      <c r="I12" s="135" t="s">
        <v>870</v>
      </c>
      <c r="J12" s="36"/>
    </row>
    <row r="13" spans="2:16">
      <c r="B13" s="1963"/>
      <c r="C13" s="245">
        <v>13</v>
      </c>
      <c r="D13" s="127"/>
      <c r="E13" s="128">
        <v>103</v>
      </c>
      <c r="F13" s="129" t="s">
        <v>860</v>
      </c>
      <c r="G13" s="130">
        <v>76</v>
      </c>
      <c r="H13" s="125"/>
      <c r="I13" s="126" t="s">
        <v>717</v>
      </c>
      <c r="J13" s="36"/>
    </row>
    <row r="14" spans="2:16">
      <c r="B14" s="1963"/>
      <c r="C14" s="245">
        <v>14</v>
      </c>
      <c r="D14" s="127"/>
      <c r="E14" s="128">
        <v>2590</v>
      </c>
      <c r="F14" s="129" t="s">
        <v>860</v>
      </c>
      <c r="G14" s="130">
        <v>88</v>
      </c>
      <c r="H14" s="125"/>
      <c r="I14" s="126" t="s">
        <v>871</v>
      </c>
      <c r="J14" s="36"/>
    </row>
    <row r="15" spans="2:16">
      <c r="B15" s="1963"/>
      <c r="C15" s="245">
        <v>14</v>
      </c>
      <c r="D15" s="127"/>
      <c r="E15" s="128">
        <v>2591</v>
      </c>
      <c r="F15" s="129" t="s">
        <v>860</v>
      </c>
      <c r="G15" s="130">
        <v>88</v>
      </c>
      <c r="H15" s="125"/>
      <c r="I15" s="126" t="s">
        <v>872</v>
      </c>
      <c r="J15" s="36"/>
    </row>
    <row r="16" spans="2:16">
      <c r="B16" s="1963"/>
      <c r="C16" s="245">
        <v>14</v>
      </c>
      <c r="D16" s="127"/>
      <c r="E16" s="128">
        <v>2879</v>
      </c>
      <c r="F16" s="129" t="s">
        <v>860</v>
      </c>
      <c r="G16" s="130">
        <v>88</v>
      </c>
      <c r="H16" s="125"/>
      <c r="I16" s="126" t="s">
        <v>873</v>
      </c>
      <c r="J16" s="36"/>
    </row>
    <row r="17" spans="1:10">
      <c r="B17" s="1963"/>
      <c r="C17" s="245">
        <v>15</v>
      </c>
      <c r="D17" s="127"/>
      <c r="E17" s="128">
        <v>8732</v>
      </c>
      <c r="F17" s="129" t="s">
        <v>860</v>
      </c>
      <c r="G17" s="130">
        <v>78</v>
      </c>
      <c r="H17" s="125"/>
      <c r="I17" s="126" t="s">
        <v>874</v>
      </c>
      <c r="J17" s="36"/>
    </row>
    <row r="18" spans="1:10">
      <c r="B18" s="1965"/>
      <c r="C18" s="245">
        <v>15</v>
      </c>
      <c r="D18" s="127"/>
      <c r="E18" s="128">
        <v>10704</v>
      </c>
      <c r="F18" s="129" t="s">
        <v>860</v>
      </c>
      <c r="G18" s="130">
        <v>91</v>
      </c>
      <c r="H18" s="125"/>
      <c r="I18" s="126" t="s">
        <v>875</v>
      </c>
      <c r="J18" s="36"/>
    </row>
    <row r="19" spans="1:10">
      <c r="B19" s="1965"/>
      <c r="C19" s="245">
        <v>15</v>
      </c>
      <c r="D19" s="127"/>
      <c r="E19" s="128">
        <v>8734</v>
      </c>
      <c r="F19" s="129" t="s">
        <v>860</v>
      </c>
      <c r="G19" s="130">
        <v>75</v>
      </c>
      <c r="H19" s="125"/>
      <c r="I19" s="126" t="s">
        <v>876</v>
      </c>
      <c r="J19" s="36"/>
    </row>
    <row r="20" spans="1:10" ht="22.5">
      <c r="B20" s="1965"/>
      <c r="C20" s="245">
        <v>16.170000000000002</v>
      </c>
      <c r="D20" s="127"/>
      <c r="E20" s="128">
        <v>25577</v>
      </c>
      <c r="F20" s="129" t="s">
        <v>860</v>
      </c>
      <c r="G20" s="130">
        <v>83</v>
      </c>
      <c r="H20" s="125"/>
      <c r="I20" s="135" t="s">
        <v>877</v>
      </c>
      <c r="J20" s="36"/>
    </row>
    <row r="21" spans="1:10">
      <c r="B21" s="1965"/>
      <c r="C21" s="245">
        <v>18</v>
      </c>
      <c r="D21" s="127"/>
      <c r="E21" s="128">
        <v>8639</v>
      </c>
      <c r="F21" s="129" t="s">
        <v>860</v>
      </c>
      <c r="G21" s="130">
        <v>82</v>
      </c>
      <c r="H21" s="125"/>
      <c r="I21" s="126" t="s">
        <v>878</v>
      </c>
      <c r="J21" s="36"/>
    </row>
    <row r="22" spans="1:10">
      <c r="A22" s="31"/>
      <c r="B22" s="1966"/>
      <c r="C22" s="245">
        <v>19</v>
      </c>
      <c r="D22" s="127"/>
      <c r="E22" s="128">
        <v>8645</v>
      </c>
      <c r="F22" s="129"/>
      <c r="G22" s="130" t="s">
        <v>569</v>
      </c>
      <c r="H22" s="125"/>
      <c r="I22" s="126" t="s">
        <v>570</v>
      </c>
      <c r="J22" s="36"/>
    </row>
    <row r="23" spans="1:10" ht="22.5">
      <c r="B23" s="1966"/>
      <c r="C23" s="245">
        <v>20</v>
      </c>
      <c r="D23" s="127"/>
      <c r="E23" s="128" t="s">
        <v>571</v>
      </c>
      <c r="F23" s="129" t="s">
        <v>860</v>
      </c>
      <c r="G23" s="130">
        <v>80</v>
      </c>
      <c r="H23" s="125"/>
      <c r="I23" s="135" t="s">
        <v>879</v>
      </c>
      <c r="J23" s="36"/>
    </row>
    <row r="24" spans="1:10">
      <c r="B24" s="1966"/>
      <c r="C24" s="245">
        <v>21</v>
      </c>
      <c r="D24" s="127"/>
      <c r="E24" s="128">
        <v>5781</v>
      </c>
      <c r="F24" s="129" t="s">
        <v>860</v>
      </c>
      <c r="G24" s="130">
        <v>82</v>
      </c>
      <c r="H24" s="125"/>
      <c r="I24" s="126" t="s">
        <v>572</v>
      </c>
      <c r="J24" s="36"/>
    </row>
    <row r="25" spans="1:10">
      <c r="B25" s="1966"/>
      <c r="C25" s="245"/>
      <c r="D25" s="127"/>
      <c r="E25" s="128"/>
      <c r="F25" s="129" t="s">
        <v>860</v>
      </c>
      <c r="G25" s="130"/>
      <c r="H25" s="125"/>
      <c r="I25" s="126"/>
      <c r="J25" s="36"/>
    </row>
    <row r="26" spans="1:10" ht="13.5" customHeight="1">
      <c r="B26" s="36"/>
      <c r="C26" s="245"/>
      <c r="D26" s="127"/>
      <c r="E26" s="128"/>
      <c r="F26" s="129" t="s">
        <v>860</v>
      </c>
      <c r="G26" s="130"/>
      <c r="H26" s="125"/>
      <c r="I26" s="126"/>
      <c r="J26" s="36"/>
    </row>
    <row r="27" spans="1:10">
      <c r="B27" s="1966"/>
      <c r="F27"/>
      <c r="G27"/>
      <c r="H27"/>
      <c r="I27"/>
      <c r="J27" s="36"/>
    </row>
    <row r="28" spans="1:10">
      <c r="B28" s="36"/>
      <c r="F28"/>
      <c r="G28"/>
      <c r="H28"/>
      <c r="I28"/>
      <c r="J28" s="36"/>
    </row>
    <row r="29" spans="1:10">
      <c r="B29" s="36"/>
      <c r="J29" s="36"/>
    </row>
    <row r="30" spans="1:10">
      <c r="B30" s="1966"/>
      <c r="I30" s="142"/>
      <c r="J30" s="36"/>
    </row>
    <row r="31" spans="1:10">
      <c r="B31" s="1966"/>
      <c r="J31" s="36"/>
    </row>
    <row r="32" spans="1:10">
      <c r="B32" s="1966"/>
      <c r="I32" s="142"/>
      <c r="J32" s="36"/>
    </row>
    <row r="33" spans="2:16">
      <c r="B33" s="1966"/>
      <c r="I33" s="142"/>
      <c r="J33" s="36"/>
    </row>
    <row r="34" spans="2:16">
      <c r="B34" s="1966"/>
      <c r="I34" s="142"/>
      <c r="J34" s="36"/>
    </row>
    <row r="35" spans="2:16">
      <c r="B35" s="1966"/>
      <c r="J35" s="36"/>
    </row>
    <row r="36" spans="2:16" s="608" customFormat="1">
      <c r="B36"/>
      <c r="C36" s="69"/>
      <c r="D36"/>
      <c r="E36"/>
      <c r="F36" s="58"/>
      <c r="G36" s="1"/>
      <c r="H36" s="1"/>
      <c r="I36" s="59"/>
      <c r="J36" s="607"/>
      <c r="N36" s="609"/>
      <c r="O36" s="609"/>
      <c r="P36" s="609"/>
    </row>
    <row r="37" spans="2:16" s="608" customFormat="1">
      <c r="B37"/>
      <c r="C37" s="69"/>
      <c r="D37"/>
      <c r="E37"/>
      <c r="F37" s="58"/>
      <c r="G37" s="1"/>
      <c r="H37" s="1"/>
      <c r="I37" s="59"/>
      <c r="J37" s="607"/>
      <c r="N37" s="609"/>
      <c r="O37" s="609"/>
      <c r="P37" s="609"/>
    </row>
  </sheetData>
  <pageMargins left="0.75" right="0.75" top="1" bottom="1" header="0.5" footer="0.5"/>
  <pageSetup paperSize="9" orientation="portrait" horizontalDpi="300" verticalDpi="0" copies="0" r:id="rId1"/>
  <headerFooter alignWithMargins="0">
    <oddHeader>&amp;A</oddHeader>
    <oddFooter>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77</vt:i4>
      </vt:variant>
    </vt:vector>
  </HeadingPairs>
  <TitlesOfParts>
    <vt:vector size="103" baseType="lpstr">
      <vt:lpstr>Начало</vt:lpstr>
      <vt:lpstr>1Уголок равнобок</vt:lpstr>
      <vt:lpstr>2Уголок неравнобок</vt:lpstr>
      <vt:lpstr>3Швеллер с уклоном полок</vt:lpstr>
      <vt:lpstr>4Швеллер с параллельн. полками</vt:lpstr>
      <vt:lpstr>5Швеллеры специальные</vt:lpstr>
      <vt:lpstr>6Двутавр</vt:lpstr>
      <vt:lpstr>7Двут с парал. полк.норм.</vt:lpstr>
      <vt:lpstr>8Двут. с парал. полк. широкоп.</vt:lpstr>
      <vt:lpstr>9Двут. с парал. полк. колонны</vt:lpstr>
      <vt:lpstr>10Двут.с парал. полк. доп.серии</vt:lpstr>
      <vt:lpstr>11Двутавры специальные</vt:lpstr>
      <vt:lpstr>Толстолистовая</vt:lpstr>
      <vt:lpstr>12Сталь листовая</vt:lpstr>
      <vt:lpstr>Тонколистовая</vt:lpstr>
      <vt:lpstr>13Сталь полосовая</vt:lpstr>
      <vt:lpstr>14Стержни</vt:lpstr>
      <vt:lpstr>15Трубы</vt:lpstr>
      <vt:lpstr>16Труба квадр сварная</vt:lpstr>
      <vt:lpstr>17Труба прямоуг сварная</vt:lpstr>
      <vt:lpstr>18Труба квадратная</vt:lpstr>
      <vt:lpstr>19Труба прямоугольная</vt:lpstr>
      <vt:lpstr>20Трубы канализационные</vt:lpstr>
      <vt:lpstr>21Арматура</vt:lpstr>
      <vt:lpstr>22Арматура</vt:lpstr>
      <vt:lpstr>ГОСТы размеров</vt:lpstr>
      <vt:lpstr>Dlina1</vt:lpstr>
      <vt:lpstr>Dlina10</vt:lpstr>
      <vt:lpstr>Dlina11</vt:lpstr>
      <vt:lpstr>Dlina12</vt:lpstr>
      <vt:lpstr>Dlina13</vt:lpstr>
      <vt:lpstr>Dlina14</vt:lpstr>
      <vt:lpstr>Dlina15</vt:lpstr>
      <vt:lpstr>Dlina16</vt:lpstr>
      <vt:lpstr>Dlina17</vt:lpstr>
      <vt:lpstr>Dlina18</vt:lpstr>
      <vt:lpstr>Dlina19</vt:lpstr>
      <vt:lpstr>Dlina2</vt:lpstr>
      <vt:lpstr>Dlina20</vt:lpstr>
      <vt:lpstr>Dlina21</vt:lpstr>
      <vt:lpstr>Dlina22</vt:lpstr>
      <vt:lpstr>Dlina23</vt:lpstr>
      <vt:lpstr>Dlina24</vt:lpstr>
      <vt:lpstr>Dlina25</vt:lpstr>
      <vt:lpstr>Dlina26</vt:lpstr>
      <vt:lpstr>Dlina27</vt:lpstr>
      <vt:lpstr>Dlina28</vt:lpstr>
      <vt:lpstr>Dlina29</vt:lpstr>
      <vt:lpstr>Dlina3</vt:lpstr>
      <vt:lpstr>Dlina30</vt:lpstr>
      <vt:lpstr>Dlina31</vt:lpstr>
      <vt:lpstr>Dlina32</vt:lpstr>
      <vt:lpstr>Dlina4</vt:lpstr>
      <vt:lpstr>Dlina5</vt:lpstr>
      <vt:lpstr>Dlina6</vt:lpstr>
      <vt:lpstr>Dlina7</vt:lpstr>
      <vt:lpstr>Dlina8</vt:lpstr>
      <vt:lpstr>Dlina9</vt:lpstr>
      <vt:lpstr>Shirina05_06</vt:lpstr>
      <vt:lpstr>Shirina065_075</vt:lpstr>
      <vt:lpstr>Shirina08_09</vt:lpstr>
      <vt:lpstr>Shirina1</vt:lpstr>
      <vt:lpstr>Shirina110_120</vt:lpstr>
      <vt:lpstr>Shirina12_14</vt:lpstr>
      <vt:lpstr>Shirina130_250</vt:lpstr>
      <vt:lpstr>Shirina15_18</vt:lpstr>
      <vt:lpstr>Shirina20_28</vt:lpstr>
      <vt:lpstr>Shirina260_400</vt:lpstr>
      <vt:lpstr>Shirina30_39</vt:lpstr>
      <vt:lpstr>Shirina40_50</vt:lpstr>
      <vt:lpstr>Shirina420_1600</vt:lpstr>
      <vt:lpstr>Shirina60_70</vt:lpstr>
      <vt:lpstr>Shirina80_100</vt:lpstr>
      <vt:lpstr>длина1</vt:lpstr>
      <vt:lpstr>длина10</vt:lpstr>
      <vt:lpstr>длина11</vt:lpstr>
      <vt:lpstr>длина12</vt:lpstr>
      <vt:lpstr>длина13</vt:lpstr>
      <vt:lpstr>длина14</vt:lpstr>
      <vt:lpstr>длина15</vt:lpstr>
      <vt:lpstr>длина16</vt:lpstr>
      <vt:lpstr>длина17</vt:lpstr>
      <vt:lpstr>длина18</vt:lpstr>
      <vt:lpstr>длина19</vt:lpstr>
      <vt:lpstr>длина2</vt:lpstr>
      <vt:lpstr>длина20</vt:lpstr>
      <vt:lpstr>длина21</vt:lpstr>
      <vt:lpstr>длина22</vt:lpstr>
      <vt:lpstr>длина3</vt:lpstr>
      <vt:lpstr>длина4</vt:lpstr>
      <vt:lpstr>длина5</vt:lpstr>
      <vt:lpstr>длина6</vt:lpstr>
      <vt:lpstr>длина7</vt:lpstr>
      <vt:lpstr>длина8</vt:lpstr>
      <vt:lpstr>длина9</vt:lpstr>
      <vt:lpstr>ширина1</vt:lpstr>
      <vt:lpstr>ширина2</vt:lpstr>
      <vt:lpstr>ширина3</vt:lpstr>
      <vt:lpstr>ширина4</vt:lpstr>
      <vt:lpstr>ширина5</vt:lpstr>
      <vt:lpstr>ширина6</vt:lpstr>
      <vt:lpstr>ширина7</vt:lpstr>
      <vt:lpstr>ширина8</vt:lpstr>
    </vt:vector>
  </TitlesOfParts>
  <Company>Elcom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 Korolev</dc:creator>
  <cp:lastModifiedBy>User</cp:lastModifiedBy>
  <cp:lastPrinted>1999-04-22T16:36:16Z</cp:lastPrinted>
  <dcterms:created xsi:type="dcterms:W3CDTF">1998-03-24T07:42:34Z</dcterms:created>
  <dcterms:modified xsi:type="dcterms:W3CDTF">2022-09-16T19:39:10Z</dcterms:modified>
</cp:coreProperties>
</file>